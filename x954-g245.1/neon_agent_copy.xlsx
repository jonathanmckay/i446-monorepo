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6060" yWindow="-33240" windowWidth="30080" windowHeight="33240" tabRatio="600" firstSheet="0" activeTab="1" autoFilterDateGrouping="1"/>
  </bookViews>
  <sheets>
    <sheet xmlns:r="http://schemas.openxmlformats.org/officeDocument/2006/relationships" name="0分" sheetId="1" state="visible" r:id="rId1"/>
    <sheet xmlns:r="http://schemas.openxmlformats.org/officeDocument/2006/relationships" name="0₦" sheetId="2" state="visible" r:id="rId2"/>
    <sheet xmlns:r="http://schemas.openxmlformats.org/officeDocument/2006/relationships" name="0s" sheetId="3" state="visible" r:id="rId3"/>
    <sheet xmlns:r="http://schemas.openxmlformats.org/officeDocument/2006/relationships" name="hcbi" sheetId="4" state="visible" r:id="rId4"/>
    <sheet xmlns:r="http://schemas.openxmlformats.org/officeDocument/2006/relationships" name="m5x2" sheetId="5" state="visible" r:id="rId5"/>
    <sheet xmlns:r="http://schemas.openxmlformats.org/officeDocument/2006/relationships" name="i9" sheetId="6" state="visible" r:id="rId6"/>
    <sheet xmlns:r="http://schemas.openxmlformats.org/officeDocument/2006/relationships" name="1₦+" sheetId="7" state="visible" r:id="rId7"/>
    <sheet xmlns:r="http://schemas.openxmlformats.org/officeDocument/2006/relationships" name="1₹+1s" sheetId="8" state="visible" r:id="rId8"/>
    <sheet xmlns:r="http://schemas.openxmlformats.org/officeDocument/2006/relationships" name="1g" sheetId="9" state="visible" r:id="rId9"/>
    <sheet xmlns:r="http://schemas.openxmlformats.org/officeDocument/2006/relationships" name="meta" sheetId="10" state="visible" r:id="rId10"/>
  </sheets>
  <definedNames>
    <definedName name="_xlnm._FilterDatabase" localSheetId="2" hidden="1">'0s'!$B$1:$AJ$387</definedName>
    <definedName name="_xlnm._FilterDatabase" localSheetId="9" hidden="1">'meta'!$A$1:$R$174</definedName>
  </definedNames>
  <calcPr calcId="191028" fullCalcOnLoad="1"/>
</workbook>
</file>

<file path=xl/styles.xml><?xml version="1.0" encoding="utf-8"?>
<styleSheet xmlns="http://schemas.openxmlformats.org/spreadsheetml/2006/main">
  <numFmts count="6">
    <numFmt numFmtId="164" formatCode="[$-2000401]0"/>
    <numFmt numFmtId="165" formatCode="_(* #,##0.0_);_(* \(#,##0.0\);_(* &quot;-&quot;??_);_(@_)"/>
    <numFmt numFmtId="166" formatCode="0.0"/>
    <numFmt numFmtId="167" formatCode="&quot;$&quot;#,##0_);[Red]\(&quot;$&quot;#,##0\)"/>
    <numFmt numFmtId="168" formatCode="_(* #,##0_);_(* \(#,##0\);_(* &quot;-&quot;??_);_(@_)"/>
    <numFmt numFmtId="169" formatCode="m/d"/>
  </numFmts>
  <fonts count="16">
    <font>
      <name val="Calibri"/>
      <family val="2"/>
      <color theme="1"/>
      <sz val="12"/>
      <scheme val="minor"/>
    </font>
    <font>
      <name val="Calibri"/>
      <family val="2"/>
      <b val="1"/>
      <color theme="1"/>
      <sz val="12"/>
      <scheme val="minor"/>
    </font>
    <font>
      <name val="Calibri"/>
      <family val="2"/>
      <color theme="0" tint="-0.1499984740745262"/>
      <sz val="12"/>
      <scheme val="minor"/>
    </font>
    <font>
      <name val="Calibri"/>
      <family val="2"/>
      <color theme="0" tint="-0.249977111117893"/>
      <sz val="12"/>
      <scheme val="minor"/>
    </font>
    <font>
      <name val="Calibri"/>
      <family val="2"/>
      <color theme="0" tint="-0.3499862666707358"/>
      <sz val="12"/>
      <scheme val="minor"/>
    </font>
    <font>
      <name val="Calibri"/>
      <family val="2"/>
      <color theme="2"/>
      <sz val="12"/>
      <scheme val="minor"/>
    </font>
    <font>
      <name val="Calibri"/>
      <family val="2"/>
      <b val="1"/>
      <color theme="0"/>
      <sz val="12"/>
      <scheme val="minor"/>
    </font>
    <font>
      <name val="Calibri"/>
      <family val="2"/>
      <color theme="0"/>
      <sz val="12"/>
      <scheme val="minor"/>
    </font>
    <font>
      <name val="Calibri"/>
      <family val="2"/>
      <color theme="1"/>
      <sz val="12"/>
      <scheme val="minor"/>
    </font>
    <font>
      <name val="Calibri"/>
      <family val="2"/>
      <color rgb="FF000000"/>
      <sz val="12"/>
      <scheme val="minor"/>
    </font>
    <font>
      <name val="Calibri"/>
      <family val="2"/>
      <sz val="12"/>
      <scheme val="minor"/>
    </font>
    <font>
      <name val="Traditional Arabic"/>
      <charset val="178"/>
      <family val="1"/>
      <color theme="0"/>
      <sz val="12"/>
    </font>
    <font>
      <name val="Calibri"/>
      <family val="2"/>
      <b val="1"/>
      <color theme="0"/>
      <sz val="16"/>
      <scheme val="minor"/>
    </font>
    <font>
      <name val="Calibri"/>
      <family val="2"/>
      <color theme="10"/>
      <sz val="12"/>
      <u val="single"/>
      <scheme val="minor"/>
    </font>
    <font>
      <name val="Calibri"/>
      <family val="2"/>
      <color rgb="FFFF0000"/>
      <sz val="12"/>
      <scheme val="minor"/>
    </font>
    <font>
      <name val="Calibri"/>
      <family val="2"/>
      <color rgb="FFFFFFFF"/>
      <sz val="12"/>
      <scheme val="minor"/>
    </font>
  </fonts>
  <fills count="118">
    <fill>
      <patternFill/>
    </fill>
    <fill>
      <patternFill patternType="gray125"/>
    </fill>
    <fill>
      <patternFill patternType="solid">
        <fgColor rgb="FF333333"/>
        <bgColor indexed="64"/>
      </patternFill>
    </fill>
    <fill>
      <patternFill patternType="solid">
        <fgColor rgb="FF4CAF50"/>
        <bgColor indexed="64"/>
      </patternFill>
    </fill>
    <fill>
      <patternFill patternType="solid">
        <fgColor rgb="FF222222"/>
        <bgColor indexed="64"/>
      </patternFill>
    </fill>
    <fill>
      <patternFill patternType="solid">
        <fgColor rgb="FFE57373"/>
        <bgColor indexed="64"/>
      </patternFill>
    </fill>
    <fill>
      <patternFill patternType="solid">
        <fgColor rgb="FFF44336"/>
        <bgColor indexed="64"/>
      </patternFill>
    </fill>
    <fill>
      <patternFill patternType="solid">
        <fgColor rgb="FF666666"/>
        <bgColor indexed="64"/>
      </patternFill>
    </fill>
    <fill>
      <patternFill patternType="solid">
        <fgColor rgb="FF430891"/>
        <bgColor indexed="64"/>
      </patternFill>
    </fill>
    <fill>
      <patternFill patternType="solid">
        <fgColor rgb="FFE2CFFC"/>
        <bgColor indexed="64"/>
      </patternFill>
    </fill>
    <fill>
      <patternFill patternType="solid">
        <fgColor rgb="FFD7F7D4"/>
        <bgColor indexed="64"/>
      </patternFill>
    </fill>
    <fill>
      <patternFill patternType="solid">
        <fgColor rgb="FF0A54C2"/>
        <bgColor indexed="64"/>
      </patternFill>
    </fill>
    <fill>
      <patternFill patternType="solid">
        <fgColor rgb="FFFFFFFF"/>
        <bgColor indexed="64"/>
      </patternFill>
    </fill>
    <fill>
      <patternFill patternType="solid">
        <fgColor rgb="FFDD5D5D"/>
        <bgColor indexed="64"/>
      </patternFill>
    </fill>
    <fill>
      <patternFill patternType="solid">
        <fgColor rgb="FFE6E6E6"/>
        <bgColor indexed="64"/>
      </patternFill>
    </fill>
    <fill>
      <patternFill patternType="solid">
        <fgColor rgb="FFCFE1FC"/>
        <bgColor indexed="64"/>
      </patternFill>
    </fill>
    <fill>
      <patternFill patternType="solid">
        <fgColor rgb="FFAFEFA9"/>
        <bgColor indexed="64"/>
      </patternFill>
    </fill>
    <fill>
      <patternFill patternType="solid">
        <fgColor rgb="FF660200"/>
        <bgColor indexed="64"/>
      </patternFill>
    </fill>
    <fill>
      <patternFill patternType="solid">
        <fgColor rgb="FFFECCFF"/>
        <bgColor indexed="64"/>
      </patternFill>
    </fill>
    <fill>
      <patternFill patternType="solid">
        <fgColor rgb="FFF13DF5"/>
        <bgColor indexed="64"/>
      </patternFill>
    </fill>
    <fill>
      <patternFill patternType="solid">
        <fgColor rgb="FFB3B3B3"/>
        <bgColor indexed="64"/>
      </patternFill>
    </fill>
    <fill>
      <patternFill patternType="solid">
        <fgColor rgb="FFFFAE00"/>
        <bgColor indexed="64"/>
      </patternFill>
    </fill>
    <fill>
      <patternFill patternType="solid">
        <fgColor rgb="FF0AA0C2"/>
        <bgColor indexed="64"/>
      </patternFill>
    </fill>
    <fill>
      <patternFill patternType="solid">
        <fgColor rgb="FF3D87F5"/>
        <bgColor indexed="64"/>
      </patternFill>
    </fill>
    <fill>
      <patternFill patternType="solid">
        <fgColor rgb="FF2CAB21"/>
        <bgColor indexed="64"/>
      </patternFill>
    </fill>
    <fill>
      <patternFill patternType="solid">
        <fgColor rgb="FF37D629"/>
        <bgColor indexed="64"/>
      </patternFill>
    </fill>
    <fill>
      <patternFill patternType="solid">
        <fgColor rgb="FF9EE9FA"/>
        <bgColor indexed="64"/>
      </patternFill>
    </fill>
    <fill>
      <patternFill patternType="solid">
        <fgColor rgb="FF218118"/>
        <bgColor indexed="64"/>
      </patternFill>
    </fill>
    <fill>
      <patternFill patternType="solid">
        <fgColor rgb="FF5A0AC2"/>
        <bgColor indexed="64"/>
      </patternFill>
    </fill>
    <fill>
      <patternFill patternType="solid">
        <fgColor rgb="FF8D3DF5"/>
        <bgColor indexed="64"/>
      </patternFill>
    </fill>
    <fill>
      <patternFill patternType="solid">
        <fgColor rgb="FFEBFBEA"/>
        <bgColor indexed="64"/>
      </patternFill>
    </fill>
    <fill>
      <patternFill patternType="solid">
        <fgColor rgb="FFC8E6C9"/>
        <bgColor indexed="64"/>
      </patternFill>
    </fill>
    <fill>
      <patternFill patternType="solid">
        <fgColor rgb="FF3DD4F5"/>
        <bgColor indexed="64"/>
      </patternFill>
    </fill>
    <fill>
      <patternFill patternType="solid">
        <fgColor rgb="FFB2EBF2"/>
        <bgColor indexed="64"/>
      </patternFill>
    </fill>
    <fill>
      <patternFill patternType="solid">
        <fgColor rgb="FF3F51B5"/>
        <bgColor indexed="64"/>
      </patternFill>
    </fill>
    <fill>
      <patternFill patternType="solid">
        <fgColor rgb="FFFFE6E5"/>
        <bgColor indexed="64"/>
      </patternFill>
    </fill>
    <fill>
      <patternFill patternType="solid">
        <fgColor rgb="FFE7FAFE"/>
        <bgColor indexed="64"/>
      </patternFill>
    </fill>
    <fill>
      <patternFill patternType="solid">
        <fgColor rgb="FFF2F2F2"/>
        <bgColor indexed="64"/>
      </patternFill>
    </fill>
    <fill>
      <patternFill patternType="solid">
        <fgColor rgb="FFCCF6FF"/>
        <bgColor indexed="64"/>
      </patternFill>
    </fill>
    <fill>
      <patternFill patternType="solid">
        <fgColor rgb="FFF89EFA"/>
        <bgColor indexed="64"/>
      </patternFill>
    </fill>
    <fill>
      <patternFill patternType="solid">
        <fgColor rgb="FF087891"/>
        <bgColor indexed="64"/>
      </patternFill>
    </fill>
    <fill>
      <patternFill patternType="solid">
        <fgColor rgb="FFCC0300"/>
        <bgColor indexed="64"/>
      </patternFill>
    </fill>
    <fill>
      <patternFill patternType="solid">
        <fgColor rgb="FFF26C0D"/>
        <bgColor indexed="64"/>
      </patternFill>
    </fill>
    <fill>
      <patternFill patternType="solid">
        <fgColor rgb="FFE1E1E1"/>
        <bgColor indexed="64"/>
      </patternFill>
    </fill>
    <fill>
      <patternFill patternType="solid">
        <fgColor rgb="FFC2570A"/>
        <bgColor indexed="64"/>
      </patternFill>
    </fill>
    <fill>
      <patternFill patternType="solid">
        <fgColor theme="0" tint="-0.1499984740745262"/>
        <bgColor indexed="64"/>
      </patternFill>
    </fill>
    <fill>
      <patternFill patternType="solid">
        <fgColor theme="4"/>
        <bgColor indexed="64"/>
      </patternFill>
    </fill>
    <fill>
      <patternFill patternType="solid">
        <fgColor theme="0" tint="-0.249977111117893"/>
        <bgColor indexed="64"/>
      </patternFill>
    </fill>
    <fill>
      <patternFill patternType="solid">
        <fgColor theme="3"/>
        <bgColor indexed="64"/>
      </patternFill>
    </fill>
    <fill>
      <patternFill patternType="solid">
        <fgColor theme="3" tint="0.3999755851924192"/>
        <bgColor indexed="64"/>
      </patternFill>
    </fill>
    <fill>
      <patternFill patternType="solid">
        <fgColor theme="3" tint="0.7999816888943144"/>
        <bgColor indexed="64"/>
      </patternFill>
    </fill>
    <fill>
      <patternFill patternType="solid">
        <fgColor rgb="FFFFF8DE"/>
        <bgColor indexed="64"/>
      </patternFill>
    </fill>
    <fill>
      <patternFill patternType="solid">
        <fgColor theme="1"/>
        <bgColor indexed="64"/>
      </patternFill>
    </fill>
    <fill>
      <patternFill patternType="solid">
        <fgColor theme="9"/>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rgb="FF1B206F"/>
        <bgColor indexed="64"/>
      </patternFill>
    </fill>
    <fill>
      <patternFill patternType="solid">
        <fgColor theme="5"/>
        <bgColor indexed="64"/>
      </patternFill>
    </fill>
    <fill>
      <patternFill patternType="solid">
        <fgColor theme="8" tint="-0.249977111117893"/>
        <bgColor indexed="64"/>
      </patternFill>
    </fill>
    <fill>
      <patternFill patternType="solid">
        <fgColor rgb="FF2BAA1F"/>
        <bgColor indexed="64"/>
      </patternFill>
    </fill>
    <fill>
      <patternFill patternType="solid">
        <fgColor rgb="FF7030A0"/>
        <bgColor indexed="64"/>
      </patternFill>
    </fill>
    <fill>
      <patternFill patternType="solid">
        <fgColor theme="1" tint="0.1499984740745262"/>
        <bgColor indexed="64"/>
      </patternFill>
    </fill>
    <fill>
      <patternFill patternType="solid">
        <fgColor rgb="FF00653E"/>
        <bgColor indexed="64"/>
      </patternFill>
    </fill>
    <fill>
      <patternFill patternType="solid">
        <fgColor theme="3" tint="-0.249977111117893"/>
        <bgColor indexed="64"/>
      </patternFill>
    </fill>
    <fill>
      <patternFill patternType="solid">
        <fgColor theme="7" tint="-0.499984740745262"/>
        <bgColor indexed="64"/>
      </patternFill>
    </fill>
    <fill>
      <patternFill patternType="solid">
        <fgColor rgb="FFC69EFA"/>
        <bgColor indexed="64"/>
      </patternFill>
    </fill>
    <fill>
      <patternFill patternType="solid">
        <fgColor theme="8"/>
        <bgColor indexed="64"/>
      </patternFill>
    </fill>
    <fill>
      <patternFill patternType="solid">
        <fgColor theme="1" tint="0.0499893185216834"/>
        <bgColor indexed="64"/>
      </patternFill>
    </fill>
    <fill>
      <patternFill patternType="solid">
        <fgColor theme="7"/>
        <bgColor indexed="64"/>
      </patternFill>
    </fill>
    <fill>
      <patternFill patternType="solid">
        <fgColor theme="9" tint="-0.499984740745262"/>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
        <bgColor indexed="64"/>
      </patternFill>
    </fill>
    <fill>
      <patternFill patternType="solid">
        <fgColor rgb="FFA1A1A1"/>
        <bgColor indexed="64"/>
      </patternFill>
    </fill>
    <fill>
      <patternFill patternType="solid">
        <fgColor rgb="FF81C784"/>
        <bgColor indexed="64"/>
      </patternFill>
    </fill>
    <fill>
      <patternFill patternType="solid">
        <fgColor rgb="FFFF9800"/>
        <bgColor indexed="64"/>
      </patternFill>
    </fill>
    <fill>
      <patternFill patternType="solid">
        <fgColor rgb="FFC3134E"/>
        <bgColor indexed="64"/>
      </patternFill>
    </fill>
    <fill>
      <patternFill patternType="solid">
        <fgColor theme="4" tint="0.7999816888943144"/>
        <bgColor indexed="64"/>
      </patternFill>
    </fill>
    <fill>
      <patternFill patternType="solid">
        <fgColor rgb="FFF89EFB"/>
        <bgColor indexed="64"/>
      </patternFill>
    </fill>
    <fill>
      <patternFill patternType="solid">
        <fgColor theme="9" tint="-0.249977111117893"/>
        <bgColor indexed="64"/>
      </patternFill>
    </fill>
    <fill>
      <patternFill patternType="solid">
        <fgColor rgb="FF00B0F0"/>
        <bgColor indexed="64"/>
      </patternFill>
    </fill>
    <fill>
      <patternFill patternType="solid">
        <fgColor rgb="FFF89EFD"/>
        <bgColor indexed="64"/>
      </patternFill>
    </fill>
    <fill>
      <patternFill patternType="solid">
        <fgColor theme="5" tint="-0.249977111117893"/>
        <bgColor indexed="64"/>
      </patternFill>
    </fill>
    <fill>
      <patternFill patternType="solid">
        <fgColor theme="6"/>
        <bgColor indexed="64"/>
      </patternFill>
    </fill>
    <fill>
      <patternFill patternType="solid">
        <fgColor theme="6" tint="0.7999816888943144"/>
        <bgColor indexed="64"/>
      </patternFill>
    </fill>
    <fill>
      <patternFill patternType="solid">
        <fgColor theme="0" tint="-0.499984740745262"/>
        <bgColor indexed="64"/>
      </patternFill>
    </fill>
    <fill>
      <patternFill patternType="solid">
        <fgColor rgb="FF930041"/>
        <bgColor indexed="64"/>
      </patternFill>
    </fill>
    <fill>
      <patternFill patternType="solid">
        <fgColor theme="6" tint="-0.499984740745262"/>
        <bgColor indexed="64"/>
      </patternFill>
    </fill>
    <fill>
      <patternFill patternType="solid">
        <fgColor rgb="FFFFFF00"/>
        <bgColor indexed="64"/>
      </patternFill>
    </fill>
    <fill>
      <patternFill patternType="solid">
        <fgColor theme="6" tint="-0.249977111117893"/>
        <bgColor indexed="64"/>
      </patternFill>
    </fill>
    <fill>
      <patternFill patternType="solid">
        <fgColor theme="2" tint="-0.09997863704336681"/>
        <bgColor indexed="64"/>
      </patternFill>
    </fill>
    <fill>
      <patternFill patternType="solid">
        <fgColor theme="2" tint="-0.499984740745262"/>
        <bgColor indexed="64"/>
      </patternFill>
    </fill>
    <fill>
      <patternFill patternType="solid">
        <fgColor rgb="FFD9D9D9"/>
        <bgColor rgb="FF000000"/>
      </patternFill>
    </fill>
    <fill>
      <patternFill patternType="solid">
        <fgColor rgb="FFFFEBFF"/>
        <bgColor indexed="64"/>
      </patternFill>
    </fill>
    <fill>
      <patternFill patternType="solid">
        <fgColor theme="5" tint="0.5999938962981048"/>
        <bgColor indexed="64"/>
      </patternFill>
    </fill>
    <fill>
      <patternFill patternType="solid">
        <fgColor rgb="FF660100"/>
        <bgColor indexed="64"/>
      </patternFill>
    </fill>
    <fill>
      <patternFill patternType="solid">
        <fgColor rgb="FFFECA54"/>
        <bgColor indexed="64"/>
      </patternFill>
    </fill>
    <fill>
      <patternFill patternType="solid">
        <fgColor rgb="FFC00000"/>
        <bgColor indexed="64"/>
      </patternFill>
    </fill>
    <fill>
      <patternFill patternType="solid">
        <fgColor rgb="FFFEEAD9"/>
        <bgColor indexed="64"/>
      </patternFill>
    </fill>
    <fill>
      <patternFill patternType="solid">
        <fgColor rgb="FFFB15FF"/>
        <bgColor indexed="64"/>
      </patternFill>
    </fill>
    <fill>
      <patternFill patternType="solid">
        <fgColor rgb="FF0B54C2"/>
        <bgColor indexed="64"/>
      </patternFill>
    </fill>
    <fill>
      <patternFill patternType="solid">
        <fgColor theme="7" tint="0.5999938962981048"/>
        <bgColor indexed="64"/>
      </patternFill>
    </fill>
    <fill>
      <patternFill patternType="solid">
        <fgColor theme="1" tint="0.3499862666707358"/>
        <bgColor indexed="64"/>
      </patternFill>
    </fill>
    <fill>
      <patternFill patternType="solid">
        <fgColor rgb="FF208117"/>
        <bgColor indexed="64"/>
      </patternFill>
    </fill>
    <fill>
      <patternFill patternType="solid">
        <fgColor theme="7" tint="0.7999816888943144"/>
        <bgColor indexed="64"/>
      </patternFill>
    </fill>
    <fill>
      <patternFill patternType="solid">
        <fgColor theme="7" tint="0.3999755851924192"/>
        <bgColor indexed="64"/>
      </patternFill>
    </fill>
    <fill>
      <patternFill patternType="solid">
        <fgColor rgb="FFFFC000"/>
        <bgColor indexed="64"/>
      </patternFill>
    </fill>
    <fill>
      <patternFill patternType="solid">
        <fgColor rgb="FF00A3EE"/>
        <bgColor indexed="64"/>
      </patternFill>
    </fill>
    <fill>
      <patternFill patternType="solid">
        <fgColor theme="9" tint="0.5999938962981048"/>
        <bgColor indexed="64"/>
      </patternFill>
    </fill>
    <fill>
      <patternFill patternType="solid">
        <fgColor rgb="FF00AFEF"/>
        <bgColor indexed="64"/>
      </patternFill>
    </fill>
    <fill>
      <patternFill patternType="solid">
        <fgColor rgb="FFC6D9F2"/>
        <bgColor indexed="64"/>
      </patternFill>
    </fill>
    <fill>
      <patternFill patternType="solid">
        <fgColor rgb="FF000000"/>
        <bgColor rgb="FF000000"/>
      </patternFill>
    </fill>
    <fill>
      <patternFill patternType="solid">
        <fgColor rgb="FF34CE28"/>
        <bgColor indexed="64"/>
      </patternFill>
    </fill>
    <fill>
      <patternFill patternType="solid">
        <fgColor theme="5" tint="-0.499984740745262"/>
        <bgColor indexed="64"/>
      </patternFill>
    </fill>
    <fill>
      <patternFill patternType="solid">
        <fgColor theme="0" tint="-0.0499893185216834"/>
        <bgColor indexed="64"/>
      </patternFill>
    </fill>
    <fill>
      <patternFill patternType="solid">
        <fgColor rgb="FFFEFFD7"/>
        <bgColor indexed="64"/>
      </patternFill>
    </fill>
  </fills>
  <borders count="19">
    <border>
      <left/>
      <right/>
      <top/>
      <bottom/>
      <diagonal/>
    </border>
    <border>
      <left/>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4">
    <xf numFmtId="0" fontId="8" fillId="0" borderId="0"/>
    <xf numFmtId="9" fontId="8" fillId="0" borderId="0"/>
    <xf numFmtId="43" fontId="8" fillId="0" borderId="0"/>
    <xf numFmtId="0" fontId="13" fillId="0" borderId="0"/>
  </cellStyleXfs>
  <cellXfs count="584">
    <xf numFmtId="0" fontId="0" fillId="0" borderId="0" applyAlignment="1" pivotButton="0" quotePrefix="0" xfId="0">
      <alignment wrapText="1"/>
    </xf>
    <xf numFmtId="0" fontId="0" fillId="7" borderId="0" applyAlignment="1" pivotButton="0" quotePrefix="0" xfId="0">
      <alignment vertical="center" wrapText="1"/>
    </xf>
    <xf numFmtId="3" fontId="0" fillId="0" borderId="0" applyAlignment="1" pivotButton="0" quotePrefix="0" xfId="0">
      <alignment vertical="center" wrapText="1"/>
    </xf>
    <xf numFmtId="3" fontId="0" fillId="7" borderId="0" applyAlignment="1" pivotButton="0" quotePrefix="0" xfId="0">
      <alignment vertical="center" wrapText="1"/>
    </xf>
    <xf numFmtId="3" fontId="0" fillId="11" borderId="0" applyAlignment="1" pivotButton="0" quotePrefix="0" xfId="0">
      <alignment vertical="center" wrapText="1"/>
    </xf>
    <xf numFmtId="3" fontId="0" fillId="13" borderId="0" applyAlignment="1" pivotButton="0" quotePrefix="0" xfId="0">
      <alignment vertical="center" wrapText="1"/>
    </xf>
    <xf numFmtId="3" fontId="0" fillId="14" borderId="0" applyAlignment="1" pivotButton="0" quotePrefix="0" xfId="0">
      <alignment vertical="center" wrapText="1"/>
    </xf>
    <xf numFmtId="3" fontId="0" fillId="18" borderId="0" applyAlignment="1" pivotButton="0" quotePrefix="0" xfId="0">
      <alignment vertical="center" wrapText="1"/>
    </xf>
    <xf numFmtId="3" fontId="0" fillId="19" borderId="0" applyAlignment="1" pivotButton="0" quotePrefix="0" xfId="0">
      <alignment vertical="center" wrapText="1"/>
    </xf>
    <xf numFmtId="3" fontId="0" fillId="20" borderId="0" applyAlignment="1" pivotButton="0" quotePrefix="0" xfId="0">
      <alignment vertical="center" wrapText="1"/>
    </xf>
    <xf numFmtId="0" fontId="0" fillId="21" borderId="0" applyAlignment="1" pivotButton="0" quotePrefix="0" xfId="0">
      <alignment vertical="center" wrapText="1"/>
    </xf>
    <xf numFmtId="0" fontId="0" fillId="11" borderId="0" applyAlignment="1" pivotButton="0" quotePrefix="0" xfId="0">
      <alignment vertical="center" wrapText="1"/>
    </xf>
    <xf numFmtId="0" fontId="0" fillId="14" borderId="0" applyAlignment="1" pivotButton="0" quotePrefix="0" xfId="0">
      <alignment vertical="center" wrapText="1"/>
    </xf>
    <xf numFmtId="0" fontId="0" fillId="22" borderId="0" applyAlignment="1" pivotButton="0" quotePrefix="0" xfId="0">
      <alignment vertical="center" wrapText="1"/>
    </xf>
    <xf numFmtId="0" fontId="0" fillId="10" borderId="0" applyAlignment="1" pivotButton="0" quotePrefix="0" xfId="0">
      <alignment vertical="center" wrapText="1"/>
    </xf>
    <xf numFmtId="0" fontId="0" fillId="13" borderId="0" applyAlignment="1" pivotButton="0" quotePrefix="0" xfId="0">
      <alignment vertical="center" wrapText="1"/>
    </xf>
    <xf numFmtId="0" fontId="0" fillId="15" borderId="0" applyAlignment="1" pivotButton="0" quotePrefix="0" xfId="0">
      <alignment vertical="center" wrapText="1"/>
    </xf>
    <xf numFmtId="0" fontId="0" fillId="16" borderId="0" applyAlignment="1" pivotButton="0" quotePrefix="0" xfId="0">
      <alignment vertical="center" wrapText="1"/>
    </xf>
    <xf numFmtId="0" fontId="0" fillId="18" borderId="0" applyAlignment="1" pivotButton="0" quotePrefix="0" xfId="0">
      <alignment vertical="center" wrapText="1"/>
    </xf>
    <xf numFmtId="0" fontId="0" fillId="19" borderId="0" applyAlignment="1" pivotButton="0" quotePrefix="0" xfId="0">
      <alignment vertical="center" wrapText="1"/>
    </xf>
    <xf numFmtId="0" fontId="0" fillId="20" borderId="0" applyAlignment="1" pivotButton="0" quotePrefix="0" xfId="0">
      <alignment vertical="center" wrapText="1"/>
    </xf>
    <xf numFmtId="3" fontId="0" fillId="24" borderId="0" applyAlignment="1" pivotButton="0" quotePrefix="0" xfId="0">
      <alignment vertical="center" wrapText="1"/>
    </xf>
    <xf numFmtId="0" fontId="0" fillId="0" borderId="0" applyAlignment="1" pivotButton="0" quotePrefix="0" xfId="0">
      <alignment horizontal="righ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vertical="center"/>
    </xf>
    <xf numFmtId="3" fontId="0" fillId="31" borderId="0" applyAlignment="1" pivotButton="0" quotePrefix="0" xfId="0">
      <alignment vertical="center" wrapText="1"/>
    </xf>
    <xf numFmtId="0" fontId="0" fillId="35" borderId="0" applyAlignment="1" pivotButton="0" quotePrefix="0" xfId="0">
      <alignment vertical="center" wrapText="1"/>
    </xf>
    <xf numFmtId="0" fontId="0" fillId="27" borderId="0" applyAlignment="1" pivotButton="0" quotePrefix="0" xfId="0">
      <alignment vertical="center" wrapText="1"/>
    </xf>
    <xf numFmtId="0" fontId="0" fillId="38" borderId="0" applyAlignment="1" pivotButton="0" quotePrefix="0" xfId="0">
      <alignment vertical="center" wrapText="1"/>
    </xf>
    <xf numFmtId="3" fontId="0" fillId="43" borderId="0" applyAlignment="1" pivotButton="0" quotePrefix="0" xfId="0">
      <alignment horizontal="right" vertical="center" wrapText="1"/>
    </xf>
    <xf numFmtId="3" fontId="0" fillId="29" borderId="0" applyAlignment="1" pivotButton="0" quotePrefix="0" xfId="0">
      <alignment horizontal="right" vertical="center" wrapText="1"/>
    </xf>
    <xf numFmtId="0" fontId="0" fillId="12" borderId="0" applyAlignment="1" pivotButton="0" quotePrefix="0" xfId="0">
      <alignment horizontal="right" vertical="center" wrapText="1"/>
    </xf>
    <xf numFmtId="3" fontId="0" fillId="44" borderId="0" applyAlignment="1" pivotButton="0" quotePrefix="0" xfId="0">
      <alignment horizontal="right" vertical="center" wrapText="1"/>
    </xf>
    <xf numFmtId="0" fontId="0" fillId="0" borderId="0" applyAlignment="1" pivotButton="0" quotePrefix="0" xfId="0">
      <alignment horizontal="right" vertical="center"/>
    </xf>
    <xf numFmtId="3" fontId="0" fillId="43" borderId="0" applyAlignment="1" pivotButton="0" quotePrefix="0" xfId="0">
      <alignment horizontal="right" vertical="center"/>
    </xf>
    <xf numFmtId="0" fontId="0" fillId="12" borderId="0" applyAlignment="1" pivotButton="0" quotePrefix="0" xfId="0">
      <alignment horizontal="right" vertical="center"/>
    </xf>
    <xf numFmtId="0" fontId="0" fillId="0" borderId="0" pivotButton="0" quotePrefix="0" xfId="0"/>
    <xf numFmtId="164" fontId="0" fillId="0" borderId="0" applyAlignment="1" pivotButton="0" quotePrefix="0" xfId="0">
      <alignment wrapText="1"/>
    </xf>
    <xf numFmtId="1" fontId="0"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horizontal="right" wrapText="1"/>
    </xf>
    <xf numFmtId="3" fontId="0" fillId="0" borderId="0" applyAlignment="1" pivotButton="0" quotePrefix="0" xfId="0">
      <alignment wrapText="1"/>
    </xf>
    <xf numFmtId="0" fontId="0" fillId="0" borderId="0" applyAlignment="1" pivotButton="0" quotePrefix="0" xfId="0">
      <alignment horizontal="center" wrapText="1"/>
    </xf>
    <xf numFmtId="0" fontId="3" fillId="0" borderId="0" applyAlignment="1" pivotButton="0" quotePrefix="0" xfId="0">
      <alignment wrapText="1"/>
    </xf>
    <xf numFmtId="0" fontId="0" fillId="45" borderId="0" applyAlignment="1" pivotButton="0" quotePrefix="0" xfId="0">
      <alignment wrapText="1"/>
    </xf>
    <xf numFmtId="9" fontId="0" fillId="45" borderId="0" applyAlignment="1" pivotButton="0" quotePrefix="0" xfId="0">
      <alignment horizontal="right" vertical="center" wrapText="1"/>
    </xf>
    <xf numFmtId="0" fontId="0" fillId="43" borderId="0" applyAlignment="1" pivotButton="0" quotePrefix="0" xfId="0">
      <alignment wrapText="1"/>
    </xf>
    <xf numFmtId="0" fontId="2" fillId="4"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4" borderId="0" applyAlignment="1" pivotButton="0" quotePrefix="0" xfId="0">
      <alignment horizontal="right" vertical="center" wrapText="1"/>
    </xf>
    <xf numFmtId="0" fontId="2" fillId="2" borderId="0" applyAlignment="1" pivotButton="0" quotePrefix="0" xfId="0">
      <alignment horizontal="right" vertical="center" wrapText="1"/>
    </xf>
    <xf numFmtId="0" fontId="2" fillId="2" borderId="0" applyAlignment="1" pivotButton="0" quotePrefix="0" xfId="0">
      <alignment vertical="center" wrapText="1"/>
    </xf>
    <xf numFmtId="0" fontId="2" fillId="4" borderId="0" applyAlignment="1" pivotButton="0" quotePrefix="0" xfId="0">
      <alignment vertical="center" wrapText="1"/>
    </xf>
    <xf numFmtId="1" fontId="4" fillId="0" borderId="0" applyAlignment="1" pivotButton="0" quotePrefix="0" xfId="0">
      <alignment horizontal="right" wrapText="1"/>
    </xf>
    <xf numFmtId="0" fontId="0" fillId="30" borderId="0" applyAlignment="1" pivotButton="0" quotePrefix="0" xfId="0">
      <alignment horizontal="center" wrapText="1"/>
    </xf>
    <xf numFmtId="3" fontId="2" fillId="0" borderId="0" applyAlignment="1" pivotButton="0" quotePrefix="0" xfId="0">
      <alignment wrapText="1"/>
    </xf>
    <xf numFmtId="0" fontId="0" fillId="0" borderId="2" applyAlignment="1" pivotButton="0" quotePrefix="0" xfId="0">
      <alignment wrapText="1"/>
    </xf>
    <xf numFmtId="0" fontId="0" fillId="0" borderId="1" applyAlignment="1" pivotButton="0" quotePrefix="0" xfId="0">
      <alignment wrapText="1"/>
    </xf>
    <xf numFmtId="3" fontId="0" fillId="0" borderId="0" applyAlignment="1" pivotButton="0" quotePrefix="0" xfId="0">
      <alignment horizontal="left" wrapText="1"/>
    </xf>
    <xf numFmtId="0" fontId="0" fillId="0" borderId="0" applyAlignment="1" pivotButton="0" quotePrefix="0" xfId="0">
      <alignment horizontal="left" wrapText="1"/>
    </xf>
    <xf numFmtId="164" fontId="3" fillId="0" borderId="0" applyAlignment="1" pivotButton="0" quotePrefix="0" xfId="0">
      <alignment wrapText="1"/>
    </xf>
    <xf numFmtId="0" fontId="6" fillId="52" borderId="0" applyAlignment="1" pivotButton="0" quotePrefix="0" xfId="0">
      <alignment horizontal="center" wrapText="1"/>
    </xf>
    <xf numFmtId="0" fontId="7" fillId="52" borderId="0" applyAlignment="1" pivotButton="0" quotePrefix="0" xfId="0">
      <alignment wrapText="1"/>
    </xf>
    <xf numFmtId="0" fontId="0" fillId="53" borderId="0" applyAlignment="1" pivotButton="0" quotePrefix="0" xfId="0">
      <alignment wrapText="1"/>
    </xf>
    <xf numFmtId="0" fontId="0" fillId="48" borderId="0" applyAlignment="1" pivotButton="0" quotePrefix="0" xfId="0">
      <alignment wrapText="1"/>
    </xf>
    <xf numFmtId="0" fontId="0" fillId="19" borderId="0" applyAlignment="1" pivotButton="0" quotePrefix="0" xfId="0">
      <alignment wrapText="1"/>
    </xf>
    <xf numFmtId="0" fontId="0" fillId="54" borderId="0" applyAlignment="1" pivotButton="0" quotePrefix="0" xfId="0">
      <alignment wrapText="1"/>
    </xf>
    <xf numFmtId="0" fontId="0" fillId="55" borderId="0" applyAlignment="1" pivotButton="0" quotePrefix="0" xfId="0">
      <alignment wrapText="1"/>
    </xf>
    <xf numFmtId="0" fontId="7" fillId="2" borderId="0" applyAlignment="1" pivotButton="0" quotePrefix="0" xfId="0">
      <alignment vertical="center" wrapText="1"/>
    </xf>
    <xf numFmtId="3" fontId="7" fillId="2" borderId="0" applyAlignment="1" pivotButton="0" quotePrefix="0" xfId="0">
      <alignment vertical="center" wrapText="1"/>
    </xf>
    <xf numFmtId="0" fontId="6" fillId="2" borderId="0" applyAlignment="1" pivotButton="0" quotePrefix="0" xfId="0">
      <alignment vertical="center" wrapText="1"/>
    </xf>
    <xf numFmtId="3" fontId="0" fillId="45" borderId="0" applyAlignment="1" pivotButton="0" quotePrefix="0" xfId="0">
      <alignment horizontal="right" vertical="center" wrapText="1"/>
    </xf>
    <xf numFmtId="3" fontId="3" fillId="0" borderId="0" applyAlignment="1" pivotButton="0" quotePrefix="0" xfId="0">
      <alignment wrapText="1"/>
    </xf>
    <xf numFmtId="3" fontId="0" fillId="37" borderId="0" applyAlignment="1" pivotButton="0" quotePrefix="0" xfId="0">
      <alignment vertical="center" wrapText="1"/>
    </xf>
    <xf numFmtId="0" fontId="7" fillId="17" borderId="0" applyAlignment="1" pivotButton="0" quotePrefix="0" xfId="0">
      <alignment vertical="center" wrapText="1"/>
    </xf>
    <xf numFmtId="0" fontId="7" fillId="52" borderId="0" applyAlignment="1" pivotButton="0" quotePrefix="0" xfId="0">
      <alignment vertical="center" wrapText="1"/>
    </xf>
    <xf numFmtId="3" fontId="0" fillId="0" borderId="0" applyAlignment="1" pivotButton="0" quotePrefix="0" xfId="0">
      <alignment horizontal="right" wrapText="1"/>
    </xf>
    <xf numFmtId="0" fontId="0" fillId="56" borderId="0" pivotButton="0" quotePrefix="0" xfId="0"/>
    <xf numFmtId="0" fontId="0" fillId="56" borderId="0" applyAlignment="1" pivotButton="0" quotePrefix="0" xfId="0">
      <alignment wrapText="1"/>
    </xf>
    <xf numFmtId="0" fontId="7" fillId="8" borderId="0" applyAlignment="1" pivotButton="0" quotePrefix="0" xfId="0">
      <alignment vertical="center" wrapText="1"/>
    </xf>
    <xf numFmtId="0" fontId="7" fillId="58" borderId="0" applyAlignment="1" pivotButton="0" quotePrefix="0" xfId="0">
      <alignment vertical="center" wrapText="1"/>
    </xf>
    <xf numFmtId="0" fontId="2" fillId="45" borderId="0" applyAlignment="1" pivotButton="0" quotePrefix="0" xfId="0">
      <alignment wrapText="1"/>
    </xf>
    <xf numFmtId="0" fontId="0" fillId="52" borderId="0" applyAlignment="1" pivotButton="0" quotePrefix="0" xfId="0">
      <alignment wrapText="1"/>
    </xf>
    <xf numFmtId="0" fontId="0" fillId="52" borderId="0" applyAlignment="1" pivotButton="0" quotePrefix="0" xfId="0">
      <alignment vertical="center" wrapText="1"/>
    </xf>
    <xf numFmtId="0" fontId="0" fillId="45" borderId="0" applyAlignment="1" pivotButton="0" quotePrefix="0" xfId="0">
      <alignment vertical="center" wrapText="1"/>
    </xf>
    <xf numFmtId="0" fontId="2" fillId="52" borderId="0" applyAlignment="1" pivotButton="0" quotePrefix="0" xfId="0">
      <alignment horizontal="center" vertical="center" wrapText="1"/>
    </xf>
    <xf numFmtId="0" fontId="0" fillId="53" borderId="0" applyAlignment="1" pivotButton="0" quotePrefix="0" xfId="0">
      <alignment vertical="center" wrapText="1"/>
    </xf>
    <xf numFmtId="0" fontId="7" fillId="0" borderId="0" applyAlignment="1" pivotButton="0" quotePrefix="0" xfId="0">
      <alignment wrapText="1"/>
    </xf>
    <xf numFmtId="0" fontId="7" fillId="48" borderId="0" applyAlignment="1" pivotButton="0" quotePrefix="0" xfId="0">
      <alignment vertical="center" wrapText="1"/>
    </xf>
    <xf numFmtId="0" fontId="7" fillId="4" borderId="0" applyAlignment="1" pivotButton="0" quotePrefix="0" xfId="0">
      <alignment vertical="center"/>
    </xf>
    <xf numFmtId="0" fontId="7" fillId="52" borderId="0" applyAlignment="1" pivotButton="0" quotePrefix="0" xfId="0">
      <alignment vertical="center"/>
    </xf>
    <xf numFmtId="0" fontId="7" fillId="52" borderId="0" applyAlignment="1" pivotButton="0" quotePrefix="0" xfId="0">
      <alignment horizontal="right" vertical="center"/>
    </xf>
    <xf numFmtId="3" fontId="0" fillId="43" borderId="0" applyAlignment="1" pivotButton="0" quotePrefix="0" xfId="0">
      <alignment wrapText="1"/>
    </xf>
    <xf numFmtId="1" fontId="0" fillId="60" borderId="0" applyAlignment="1" pivotButton="0" quotePrefix="0" xfId="0">
      <alignment wrapText="1"/>
    </xf>
    <xf numFmtId="0" fontId="2" fillId="59" borderId="0" applyAlignment="1" pivotButton="0" quotePrefix="0" xfId="0">
      <alignment wrapText="1"/>
    </xf>
    <xf numFmtId="0" fontId="0" fillId="61" borderId="0" applyAlignment="1" pivotButton="0" quotePrefix="0" xfId="0">
      <alignment wrapText="1"/>
    </xf>
    <xf numFmtId="0" fontId="9" fillId="0" borderId="0" applyAlignment="1" pivotButton="0" quotePrefix="0" xfId="0">
      <alignment wrapText="1"/>
    </xf>
    <xf numFmtId="0" fontId="7" fillId="63" borderId="0" applyAlignment="1" pivotButton="0" quotePrefix="0" xfId="0">
      <alignment wrapText="1"/>
    </xf>
    <xf numFmtId="0" fontId="7" fillId="63" borderId="0" applyAlignment="1" pivotButton="0" quotePrefix="0" xfId="0">
      <alignment horizontal="center" vertical="center" wrapText="1"/>
    </xf>
    <xf numFmtId="0" fontId="0" fillId="46" borderId="0" applyAlignment="1" pivotButton="0" quotePrefix="0" xfId="0">
      <alignment wrapText="1"/>
    </xf>
    <xf numFmtId="0" fontId="0" fillId="62" borderId="0" applyAlignment="1" pivotButton="0" quotePrefix="0" xfId="0">
      <alignment wrapText="1"/>
    </xf>
    <xf numFmtId="0" fontId="7" fillId="63" borderId="0" applyAlignment="1" pivotButton="0" quotePrefix="0" xfId="0">
      <alignment horizontal="left" wrapText="1"/>
    </xf>
    <xf numFmtId="0" fontId="0" fillId="47" borderId="0" applyAlignment="1" pivotButton="0" quotePrefix="0" xfId="0">
      <alignment horizontal="left"/>
    </xf>
    <xf numFmtId="0" fontId="7" fillId="4" borderId="0" applyAlignment="1" pivotButton="0" quotePrefix="0" xfId="0">
      <alignment horizontal="left"/>
    </xf>
    <xf numFmtId="0" fontId="0" fillId="5" borderId="0" applyAlignment="1" pivotButton="0" quotePrefix="0" xfId="0">
      <alignment horizontal="left"/>
    </xf>
    <xf numFmtId="0" fontId="0" fillId="3" borderId="0" applyAlignment="1" pivotButton="0" quotePrefix="0" xfId="0">
      <alignment horizontal="left"/>
    </xf>
    <xf numFmtId="0" fontId="0" fillId="6" borderId="0" applyAlignment="1" pivotButton="0" quotePrefix="0" xfId="0">
      <alignment horizontal="left"/>
    </xf>
    <xf numFmtId="0" fontId="0" fillId="51" borderId="0" applyAlignment="1" pivotButton="0" quotePrefix="0" xfId="0">
      <alignment horizontal="left"/>
    </xf>
    <xf numFmtId="0" fontId="0" fillId="50" borderId="0" applyAlignment="1" pivotButton="0" quotePrefix="0" xfId="0">
      <alignment horizontal="left"/>
    </xf>
    <xf numFmtId="0" fontId="0" fillId="49" borderId="0" applyAlignment="1" pivotButton="0" quotePrefix="0" xfId="0">
      <alignment horizontal="left"/>
    </xf>
    <xf numFmtId="0" fontId="0" fillId="48" borderId="0" applyAlignment="1" pivotButton="0" quotePrefix="0" xfId="0">
      <alignment horizontal="left"/>
    </xf>
    <xf numFmtId="0" fontId="2" fillId="2" borderId="0" applyAlignment="1" pivotButton="0" quotePrefix="0" xfId="0">
      <alignment horizontal="left" wrapText="1"/>
    </xf>
    <xf numFmtId="0" fontId="0" fillId="64" borderId="0" applyAlignment="1" pivotButton="0" quotePrefix="0" xfId="0">
      <alignment vertical="center" wrapText="1"/>
    </xf>
    <xf numFmtId="0" fontId="1" fillId="0" borderId="0" applyAlignment="1" pivotButton="0" quotePrefix="0" xfId="0">
      <alignment wrapText="1"/>
    </xf>
    <xf numFmtId="0" fontId="2" fillId="65" borderId="0" applyAlignment="1" pivotButton="0" quotePrefix="0" xfId="0">
      <alignment wrapText="1"/>
    </xf>
    <xf numFmtId="0" fontId="2" fillId="49" borderId="0" applyAlignment="1" pivotButton="0" quotePrefix="0" xfId="0">
      <alignment wrapText="1"/>
    </xf>
    <xf numFmtId="164" fontId="0" fillId="0" borderId="0" applyAlignment="1" pivotButton="0" quotePrefix="0" xfId="0">
      <alignment vertical="center" wrapText="1"/>
    </xf>
    <xf numFmtId="165" fontId="0" fillId="0" borderId="0" applyAlignment="1" pivotButton="0" quotePrefix="0" xfId="2">
      <alignment wrapText="1"/>
    </xf>
    <xf numFmtId="3" fontId="0" fillId="43" borderId="0" applyAlignment="1" pivotButton="0" quotePrefix="0" xfId="0">
      <alignment vertical="center" wrapText="1"/>
    </xf>
    <xf numFmtId="0" fontId="0" fillId="43" borderId="0" applyAlignment="1" pivotButton="0" quotePrefix="0" xfId="0">
      <alignment vertical="center" wrapText="1"/>
    </xf>
    <xf numFmtId="0" fontId="0" fillId="43" borderId="0" applyAlignment="1" pivotButton="0" quotePrefix="0" xfId="0">
      <alignment vertical="center"/>
    </xf>
    <xf numFmtId="3" fontId="0" fillId="0" borderId="0" applyAlignment="1" pivotButton="0" quotePrefix="0" xfId="0">
      <alignment horizontal="left" vertical="center" wrapText="1"/>
    </xf>
    <xf numFmtId="0" fontId="0" fillId="43" borderId="0" applyAlignment="1" pivotButton="0" quotePrefix="0" xfId="0">
      <alignment horizontal="right" vertical="center" wrapText="1"/>
    </xf>
    <xf numFmtId="14" fontId="0" fillId="43" borderId="0" applyAlignment="1" pivotButton="0" quotePrefix="0" xfId="0">
      <alignment horizontal="right" vertical="center" wrapText="1"/>
    </xf>
    <xf numFmtId="14" fontId="0" fillId="43" borderId="2" applyAlignment="1" pivotButton="0" quotePrefix="0" xfId="0">
      <alignment horizontal="right" vertical="center" wrapText="1"/>
    </xf>
    <xf numFmtId="0" fontId="0" fillId="14" borderId="0" applyAlignment="1" pivotButton="0" quotePrefix="0" xfId="0">
      <alignment horizontal="right" vertical="center" wrapText="1"/>
    </xf>
    <xf numFmtId="164" fontId="0" fillId="0" borderId="0" pivotButton="0" quotePrefix="0" xfId="0"/>
    <xf numFmtId="165" fontId="0" fillId="21" borderId="0" applyAlignment="1" pivotButton="0" quotePrefix="0" xfId="2">
      <alignment horizontal="center" vertical="center" wrapText="1"/>
    </xf>
    <xf numFmtId="0" fontId="0" fillId="22" borderId="0" applyAlignment="1" pivotButton="0" quotePrefix="0" xfId="0">
      <alignment horizontal="center" vertical="center" wrapText="1"/>
    </xf>
    <xf numFmtId="165" fontId="0" fillId="67" borderId="0" applyAlignment="1" pivotButton="0" quotePrefix="0" xfId="2">
      <alignment horizontal="center" vertical="center" wrapText="1"/>
    </xf>
    <xf numFmtId="0" fontId="0" fillId="39" borderId="0" applyAlignment="1" pivotButton="0" quotePrefix="0" xfId="0">
      <alignment horizontal="center" vertical="center"/>
    </xf>
    <xf numFmtId="0" fontId="0" fillId="19" borderId="0" applyAlignment="1" pivotButton="0" quotePrefix="0" xfId="0">
      <alignment horizontal="center" vertical="center" wrapText="1"/>
    </xf>
    <xf numFmtId="0" fontId="0" fillId="26" borderId="0" applyAlignment="1" pivotButton="0" quotePrefix="0" xfId="0">
      <alignment horizontal="center" vertical="center" wrapText="1"/>
    </xf>
    <xf numFmtId="0" fontId="0" fillId="24" borderId="0" applyAlignment="1" pivotButton="0" quotePrefix="0" xfId="0">
      <alignment horizontal="center" vertical="center"/>
    </xf>
    <xf numFmtId="0" fontId="0" fillId="22" borderId="0" applyAlignment="1" pivotButton="0" quotePrefix="0" xfId="0">
      <alignment horizontal="center" vertical="center"/>
    </xf>
    <xf numFmtId="0" fontId="0" fillId="27" borderId="0" applyAlignment="1" pivotButton="0" quotePrefix="0" xfId="0">
      <alignment horizontal="center" vertical="center" wrapText="1"/>
    </xf>
    <xf numFmtId="0" fontId="0" fillId="67" borderId="0" applyAlignment="1" pivotButton="0" quotePrefix="0" xfId="0">
      <alignment horizontal="center" vertical="center" wrapText="1"/>
    </xf>
    <xf numFmtId="0" fontId="7" fillId="8" borderId="0" applyAlignment="1" pivotButton="0" quotePrefix="0" xfId="0">
      <alignment horizontal="left" vertical="center" wrapText="1"/>
    </xf>
    <xf numFmtId="0" fontId="7" fillId="4" borderId="0" applyAlignment="1" pivotButton="0" quotePrefix="0" xfId="0">
      <alignment horizontal="center" vertical="center" wrapText="1"/>
    </xf>
    <xf numFmtId="0" fontId="7" fillId="65" borderId="0" applyAlignment="1" pivotButton="0" quotePrefix="0" xfId="0">
      <alignment horizontal="center" vertical="center" wrapText="1"/>
    </xf>
    <xf numFmtId="0" fontId="10" fillId="53" borderId="0" applyAlignment="1" pivotButton="0" quotePrefix="0" xfId="0">
      <alignment horizontal="left" wrapText="1"/>
    </xf>
    <xf numFmtId="0" fontId="0" fillId="43" borderId="0" applyAlignment="1" pivotButton="0" quotePrefix="0" xfId="0">
      <alignment horizontal="center" wrapText="1"/>
    </xf>
    <xf numFmtId="0" fontId="0" fillId="14" borderId="0" applyAlignment="1" pivotButton="0" quotePrefix="0" xfId="0">
      <alignment horizontal="center" wrapText="1"/>
    </xf>
    <xf numFmtId="0" fontId="0" fillId="23" borderId="0" applyAlignment="1" pivotButton="0" quotePrefix="0" xfId="0">
      <alignment vertical="center"/>
    </xf>
    <xf numFmtId="0" fontId="0" fillId="20" borderId="0" applyAlignment="1" pivotButton="0" quotePrefix="0" xfId="0">
      <alignment vertical="center"/>
    </xf>
    <xf numFmtId="3" fontId="0" fillId="32" borderId="0" applyAlignment="1" pivotButton="0" quotePrefix="0" xfId="0">
      <alignment vertical="center" wrapText="1"/>
    </xf>
    <xf numFmtId="3" fontId="0" fillId="36" borderId="0" applyAlignment="1" pivotButton="0" quotePrefix="0" xfId="0">
      <alignment vertical="center" wrapText="1"/>
    </xf>
    <xf numFmtId="0" fontId="0" fillId="37" borderId="0" applyAlignment="1" pivotButton="0" quotePrefix="0" xfId="0">
      <alignment vertical="center" wrapText="1"/>
    </xf>
    <xf numFmtId="0" fontId="0" fillId="36" borderId="0" applyAlignment="1" pivotButton="0" quotePrefix="0" xfId="0">
      <alignment vertical="center" wrapText="1"/>
    </xf>
    <xf numFmtId="0" fontId="0" fillId="37" borderId="0" applyAlignment="1" pivotButton="0" quotePrefix="0" xfId="0">
      <alignment horizontal="right" vertical="center" wrapText="1"/>
    </xf>
    <xf numFmtId="3" fontId="0" fillId="20" borderId="0" applyAlignment="1" pivotButton="0" quotePrefix="0" xfId="0">
      <alignment horizontal="right" vertical="center" wrapText="1"/>
    </xf>
    <xf numFmtId="1" fontId="0" fillId="20" borderId="0" applyAlignment="1" pivotButton="0" quotePrefix="0" xfId="0">
      <alignment horizontal="right" vertical="center" wrapText="1"/>
    </xf>
    <xf numFmtId="0" fontId="0" fillId="43" borderId="0" applyAlignment="1" pivotButton="0" quotePrefix="0" xfId="0">
      <alignment horizontal="center" vertical="center" wrapText="1"/>
    </xf>
    <xf numFmtId="0" fontId="0" fillId="29" borderId="0" applyAlignment="1" pivotButton="0" quotePrefix="0" xfId="0">
      <alignment vertical="center" wrapText="1"/>
    </xf>
    <xf numFmtId="3" fontId="0" fillId="20" borderId="0" applyAlignment="1" pivotButton="0" quotePrefix="0" xfId="0">
      <alignment horizontal="center" vertical="center" wrapText="1"/>
    </xf>
    <xf numFmtId="9" fontId="0" fillId="20" borderId="0" applyAlignment="1" pivotButton="0" quotePrefix="0" xfId="0">
      <alignment horizontal="right" vertical="center" wrapText="1"/>
    </xf>
    <xf numFmtId="0" fontId="0" fillId="20" borderId="0" applyAlignment="1" pivotButton="0" quotePrefix="0" xfId="0">
      <alignment horizontal="left" wrapText="1"/>
    </xf>
    <xf numFmtId="4" fontId="0" fillId="20" borderId="0" applyAlignment="1" pivotButton="0" quotePrefix="0" xfId="0">
      <alignment horizontal="right" vertical="center" wrapText="1"/>
    </xf>
    <xf numFmtId="0" fontId="0" fillId="25" borderId="0" applyAlignment="1" pivotButton="0" quotePrefix="0" xfId="0">
      <alignment horizontal="left"/>
    </xf>
    <xf numFmtId="0" fontId="0" fillId="22" borderId="0" applyAlignment="1" pivotButton="0" quotePrefix="0" xfId="0">
      <alignment horizontal="left"/>
    </xf>
    <xf numFmtId="0" fontId="0" fillId="14" borderId="0" applyAlignment="1" pivotButton="0" quotePrefix="0" xfId="0">
      <alignment horizontal="left"/>
    </xf>
    <xf numFmtId="0" fontId="0" fillId="23" borderId="0" applyAlignment="1" pivotButton="0" quotePrefix="0" xfId="0">
      <alignment horizontal="left"/>
    </xf>
    <xf numFmtId="0" fontId="0" fillId="11" borderId="0" applyAlignment="1" pivotButton="0" quotePrefix="0" xfId="0">
      <alignment horizontal="left"/>
    </xf>
    <xf numFmtId="0" fontId="0" fillId="34" borderId="0" applyAlignment="1" pivotButton="0" quotePrefix="0" xfId="0">
      <alignment horizontal="left"/>
    </xf>
    <xf numFmtId="0" fontId="0" fillId="39" borderId="0" applyAlignment="1" pivotButton="0" quotePrefix="0" xfId="0">
      <alignment horizontal="left"/>
    </xf>
    <xf numFmtId="0" fontId="0" fillId="19" borderId="0" applyAlignment="1" pivotButton="0" quotePrefix="0" xfId="0">
      <alignment horizontal="left"/>
    </xf>
    <xf numFmtId="0" fontId="0" fillId="26" borderId="0" applyAlignment="1" pivotButton="0" quotePrefix="0" xfId="0">
      <alignment horizontal="left"/>
    </xf>
    <xf numFmtId="0" fontId="0" fillId="20" borderId="0" applyAlignment="1" pivotButton="0" quotePrefix="0" xfId="0">
      <alignment horizontal="left"/>
    </xf>
    <xf numFmtId="0" fontId="0" fillId="21" borderId="0" applyAlignment="1" pivotButton="0" quotePrefix="0" xfId="0">
      <alignment horizontal="left"/>
    </xf>
    <xf numFmtId="0" fontId="7" fillId="11" borderId="0" applyAlignment="1" pivotButton="0" quotePrefix="0" xfId="0">
      <alignment horizontal="left"/>
    </xf>
    <xf numFmtId="0" fontId="7" fillId="28" borderId="0" applyAlignment="1" pivotButton="0" quotePrefix="0" xfId="0">
      <alignment horizontal="left"/>
    </xf>
    <xf numFmtId="0" fontId="7" fillId="29" borderId="0" applyAlignment="1" pivotButton="0" quotePrefix="0" xfId="0">
      <alignment horizontal="left"/>
    </xf>
    <xf numFmtId="0" fontId="0" fillId="69" borderId="0" applyAlignment="1" pivotButton="0" quotePrefix="0" xfId="0">
      <alignment horizontal="center" vertical="center" wrapText="1"/>
    </xf>
    <xf numFmtId="0" fontId="0" fillId="69" borderId="0" applyAlignment="1" pivotButton="0" quotePrefix="0" xfId="0">
      <alignment wrapText="1"/>
    </xf>
    <xf numFmtId="0" fontId="0" fillId="69" borderId="0" applyAlignment="1" pivotButton="0" quotePrefix="0" xfId="0">
      <alignment vertical="center" wrapText="1"/>
    </xf>
    <xf numFmtId="0" fontId="2" fillId="68" borderId="0" applyAlignment="1" pivotButton="0" quotePrefix="0" xfId="0">
      <alignment horizontal="left" wrapText="1"/>
    </xf>
    <xf numFmtId="0" fontId="2" fillId="53" borderId="0" applyAlignment="1" pivotButton="0" quotePrefix="0" xfId="0">
      <alignment horizontal="left" wrapText="1"/>
    </xf>
    <xf numFmtId="0" fontId="0" fillId="53" borderId="0" applyAlignment="1" pivotButton="0" quotePrefix="0" xfId="0">
      <alignment horizontal="left" wrapText="1"/>
    </xf>
    <xf numFmtId="0" fontId="0" fillId="68" borderId="0" applyAlignment="1" pivotButton="0" quotePrefix="0" xfId="0">
      <alignment horizontal="left" wrapText="1"/>
    </xf>
    <xf numFmtId="20" fontId="0" fillId="53" borderId="0" applyAlignment="1" pivotButton="0" quotePrefix="0" xfId="0">
      <alignment horizontal="left" wrapText="1"/>
    </xf>
    <xf numFmtId="0" fontId="2" fillId="70" borderId="0" applyAlignment="1" pivotButton="0" quotePrefix="0" xfId="0">
      <alignment horizontal="left" wrapText="1"/>
    </xf>
    <xf numFmtId="0" fontId="2" fillId="66" borderId="0" applyAlignment="1" pivotButton="0" quotePrefix="0" xfId="0">
      <alignment horizontal="left" wrapText="1"/>
    </xf>
    <xf numFmtId="0" fontId="2" fillId="71" borderId="0" applyAlignment="1" pivotButton="0" quotePrefix="0" xfId="0">
      <alignment horizontal="left" wrapText="1"/>
    </xf>
    <xf numFmtId="0" fontId="0" fillId="0" borderId="3" pivotButton="0" quotePrefix="0" xfId="0"/>
    <xf numFmtId="0" fontId="2" fillId="52" borderId="0" applyAlignment="1" pivotButton="0" quotePrefix="0" xfId="0">
      <alignment wrapText="1"/>
    </xf>
    <xf numFmtId="0" fontId="0" fillId="52" borderId="0" applyAlignment="1" pivotButton="0" quotePrefix="0" xfId="0">
      <alignment horizontal="center" wrapText="1"/>
    </xf>
    <xf numFmtId="0" fontId="0" fillId="52" borderId="0" pivotButton="0" quotePrefix="0" xfId="0"/>
    <xf numFmtId="165" fontId="0" fillId="52" borderId="0" applyAlignment="1" pivotButton="0" quotePrefix="0" xfId="2">
      <alignment wrapText="1"/>
    </xf>
    <xf numFmtId="0" fontId="0" fillId="30" borderId="0" applyAlignment="1" pivotButton="0" quotePrefix="0" xfId="0">
      <alignment vertical="center" wrapText="1"/>
    </xf>
    <xf numFmtId="0" fontId="0" fillId="48" borderId="0" applyAlignment="1" pivotButton="0" quotePrefix="0" xfId="0">
      <alignment vertical="center" wrapText="1"/>
    </xf>
    <xf numFmtId="0" fontId="7" fillId="4" borderId="0" applyAlignment="1" pivotButton="0" quotePrefix="0" xfId="0">
      <alignment horizontal="right" vertical="center" wrapText="1"/>
    </xf>
    <xf numFmtId="3" fontId="7" fillId="4" borderId="0" applyAlignment="1" pivotButton="0" quotePrefix="0" xfId="0">
      <alignment horizontal="right" vertical="center" wrapText="1"/>
    </xf>
    <xf numFmtId="0" fontId="7" fillId="4" borderId="0" applyAlignment="1" pivotButton="0" quotePrefix="0" xfId="0">
      <alignment horizontal="left" wrapText="1"/>
    </xf>
    <xf numFmtId="0" fontId="7" fillId="4" borderId="0" applyAlignment="1" pivotButton="0" quotePrefix="0" xfId="0">
      <alignment horizontal="left" vertical="center"/>
    </xf>
    <xf numFmtId="0" fontId="7" fillId="4" borderId="0" applyAlignment="1" pivotButton="0" quotePrefix="0" xfId="0">
      <alignment horizontal="right" vertical="center"/>
    </xf>
    <xf numFmtId="0" fontId="2" fillId="46" borderId="0" applyAlignment="1" pivotButton="0" quotePrefix="0" xfId="0">
      <alignment horizontal="left" wrapText="1"/>
    </xf>
    <xf numFmtId="3" fontId="0" fillId="72" borderId="0" applyAlignment="1" pivotButton="0" quotePrefix="0" xfId="0">
      <alignment vertical="center" wrapText="1"/>
    </xf>
    <xf numFmtId="3" fontId="7" fillId="72" borderId="0" applyAlignment="1" pivotButton="0" quotePrefix="0" xfId="0">
      <alignment vertical="center" wrapText="1"/>
    </xf>
    <xf numFmtId="0" fontId="0" fillId="74" borderId="0" applyAlignment="1" pivotButton="0" quotePrefix="0" xfId="0">
      <alignment wrapText="1"/>
    </xf>
    <xf numFmtId="0" fontId="0" fillId="3" borderId="0" applyAlignment="1" pivotButton="0" quotePrefix="0" xfId="0">
      <alignment vertical="center" wrapText="1"/>
    </xf>
    <xf numFmtId="0" fontId="0" fillId="4" borderId="0" applyAlignment="1" pivotButton="0" quotePrefix="0" xfId="0">
      <alignment vertical="center" wrapText="1"/>
    </xf>
    <xf numFmtId="3" fontId="0" fillId="30" borderId="0" applyAlignment="1" pivotButton="0" quotePrefix="0" xfId="0">
      <alignment vertical="center" wrapText="1"/>
    </xf>
    <xf numFmtId="9" fontId="0" fillId="31" borderId="0" applyAlignment="1" pivotButton="0" quotePrefix="0" xfId="0">
      <alignment vertical="center" wrapText="1"/>
    </xf>
    <xf numFmtId="0" fontId="0" fillId="75" borderId="0" applyAlignment="1" pivotButton="0" quotePrefix="0" xfId="0">
      <alignment vertical="center" wrapText="1"/>
    </xf>
    <xf numFmtId="0" fontId="1" fillId="43" borderId="0" applyAlignment="1" pivotButton="0" quotePrefix="0" xfId="0">
      <alignment vertical="center" wrapText="1"/>
    </xf>
    <xf numFmtId="0" fontId="0" fillId="40" borderId="0" applyAlignment="1" pivotButton="0" quotePrefix="0" xfId="0">
      <alignment vertical="center" wrapText="1"/>
    </xf>
    <xf numFmtId="3" fontId="0" fillId="76" borderId="0" applyAlignment="1" pivotButton="0" quotePrefix="0" xfId="0">
      <alignment vertical="center" wrapText="1"/>
    </xf>
    <xf numFmtId="9" fontId="0" fillId="0" borderId="0" applyAlignment="1" pivotButton="0" quotePrefix="0" xfId="1">
      <alignment wrapText="1"/>
    </xf>
    <xf numFmtId="0" fontId="1" fillId="77" borderId="0" applyAlignment="1" pivotButton="0" quotePrefix="0" xfId="0">
      <alignment vertical="center" wrapText="1"/>
    </xf>
    <xf numFmtId="0" fontId="1" fillId="33" borderId="0" applyAlignment="1" pivotButton="0" quotePrefix="0" xfId="0">
      <alignment vertical="center" wrapText="1"/>
    </xf>
    <xf numFmtId="9" fontId="0" fillId="0" borderId="0" applyAlignment="1" pivotButton="0" quotePrefix="0" xfId="0">
      <alignment wrapText="1"/>
    </xf>
    <xf numFmtId="0" fontId="1" fillId="78" borderId="0" applyAlignment="1" pivotButton="0" quotePrefix="0" xfId="0">
      <alignment vertical="center" wrapText="1"/>
    </xf>
    <xf numFmtId="0" fontId="0" fillId="73" borderId="0" applyAlignment="1" pivotButton="0" quotePrefix="0" xfId="0">
      <alignment wrapText="1"/>
    </xf>
    <xf numFmtId="164" fontId="0" fillId="47" borderId="0" applyAlignment="1" pivotButton="0" quotePrefix="0" xfId="0">
      <alignment wrapText="1"/>
    </xf>
    <xf numFmtId="0" fontId="0" fillId="47" borderId="0" applyAlignment="1" pivotButton="0" quotePrefix="0" xfId="0">
      <alignment vertical="center" wrapText="1"/>
    </xf>
    <xf numFmtId="0" fontId="0" fillId="47" borderId="0" applyAlignment="1" pivotButton="0" quotePrefix="0" xfId="0">
      <alignment wrapText="1"/>
    </xf>
    <xf numFmtId="0" fontId="2" fillId="49" borderId="0" applyAlignment="1" pivotButton="0" quotePrefix="0" xfId="0">
      <alignment horizontal="left" wrapText="1"/>
    </xf>
    <xf numFmtId="0" fontId="2" fillId="80" borderId="0" applyAlignment="1" pivotButton="0" quotePrefix="0" xfId="0">
      <alignment horizontal="left" wrapText="1"/>
    </xf>
    <xf numFmtId="0" fontId="2" fillId="55" borderId="0" applyAlignment="1" pivotButton="0" quotePrefix="0" xfId="0">
      <alignment horizontal="left" wrapText="1"/>
    </xf>
    <xf numFmtId="0" fontId="2" fillId="81" borderId="0" applyAlignment="1" pivotButton="0" quotePrefix="0" xfId="0">
      <alignment horizontal="left" wrapText="1"/>
    </xf>
    <xf numFmtId="0" fontId="2" fillId="48" borderId="0" applyAlignment="1" pivotButton="0" quotePrefix="0" xfId="0">
      <alignment horizontal="left" wrapText="1"/>
    </xf>
    <xf numFmtId="0" fontId="0" fillId="84" borderId="0" applyAlignment="1" pivotButton="0" quotePrefix="0" xfId="0">
      <alignment wrapText="1"/>
    </xf>
    <xf numFmtId="0" fontId="0" fillId="83" borderId="0" applyAlignment="1" pivotButton="0" quotePrefix="0" xfId="0">
      <alignment wrapText="1"/>
    </xf>
    <xf numFmtId="0" fontId="0" fillId="82" borderId="0" applyAlignment="1" pivotButton="0" quotePrefix="0" xfId="0">
      <alignment wrapText="1"/>
    </xf>
    <xf numFmtId="0" fontId="13" fillId="0" borderId="0" applyAlignment="1" pivotButton="0" quotePrefix="0" xfId="3">
      <alignment wrapText="1"/>
    </xf>
    <xf numFmtId="0" fontId="2" fillId="73" borderId="0" applyAlignment="1" pivotButton="0" quotePrefix="0" xfId="0">
      <alignment horizontal="left" wrapText="1"/>
    </xf>
    <xf numFmtId="0" fontId="2" fillId="85" borderId="0" applyAlignment="1" pivotButton="0" quotePrefix="0" xfId="0">
      <alignment horizontal="left" wrapText="1"/>
    </xf>
    <xf numFmtId="0" fontId="2" fillId="84" borderId="0" applyAlignment="1" pivotButton="0" quotePrefix="0" xfId="0">
      <alignment horizontal="left" wrapText="1"/>
    </xf>
    <xf numFmtId="0" fontId="2" fillId="19" borderId="0" applyAlignment="1" pivotButton="0" quotePrefix="0" xfId="0">
      <alignment horizontal="left" wrapText="1"/>
    </xf>
    <xf numFmtId="0" fontId="2" fillId="59" borderId="0" applyAlignment="1" pivotButton="0" quotePrefix="0" xfId="0">
      <alignment horizontal="left" wrapText="1"/>
    </xf>
    <xf numFmtId="20" fontId="0" fillId="46" borderId="0" applyAlignment="1" pivotButton="0" quotePrefix="0" xfId="0">
      <alignment horizontal="left" wrapText="1"/>
    </xf>
    <xf numFmtId="0" fontId="0" fillId="55" borderId="0" applyAlignment="1" pivotButton="0" quotePrefix="0" xfId="0">
      <alignment horizontal="left" wrapText="1"/>
    </xf>
    <xf numFmtId="0" fontId="0" fillId="82" borderId="0" applyAlignment="1" pivotButton="0" quotePrefix="0" xfId="0">
      <alignment horizontal="left" wrapText="1"/>
    </xf>
    <xf numFmtId="0" fontId="0" fillId="86" borderId="0" applyAlignment="1" pivotButton="0" quotePrefix="0" xfId="0">
      <alignment wrapText="1"/>
    </xf>
    <xf numFmtId="0" fontId="0" fillId="87" borderId="0" applyAlignment="1" pivotButton="0" quotePrefix="0" xfId="0">
      <alignment vertical="center" wrapText="1"/>
    </xf>
    <xf numFmtId="166" fontId="0" fillId="30" borderId="0" applyAlignment="1" pivotButton="0" quotePrefix="0" xfId="0">
      <alignment horizontal="center" wrapText="1"/>
    </xf>
    <xf numFmtId="3" fontId="0" fillId="45" borderId="0" applyAlignment="1" pivotButton="0" quotePrefix="0" xfId="0">
      <alignment horizontal="center" wrapText="1"/>
    </xf>
    <xf numFmtId="9" fontId="7" fillId="20" borderId="0" applyAlignment="1" pivotButton="0" quotePrefix="0" xfId="0">
      <alignment horizontal="right" vertical="center" wrapText="1"/>
    </xf>
    <xf numFmtId="166" fontId="0" fillId="52" borderId="0" applyAlignment="1" pivotButton="0" quotePrefix="0" xfId="0">
      <alignment horizontal="center" wrapText="1"/>
    </xf>
    <xf numFmtId="1" fontId="7" fillId="0" borderId="0" applyAlignment="1" pivotButton="0" quotePrefix="0" xfId="0">
      <alignment wrapText="1"/>
    </xf>
    <xf numFmtId="0" fontId="0" fillId="0" borderId="3" applyAlignment="1" pivotButton="0" quotePrefix="0" xfId="0">
      <alignment horizontal="right" vertical="center" wrapText="1"/>
    </xf>
    <xf numFmtId="0" fontId="0" fillId="72" borderId="0" applyAlignment="1" pivotButton="0" quotePrefix="0" xfId="0">
      <alignment wrapText="1"/>
    </xf>
    <xf numFmtId="0" fontId="9" fillId="70" borderId="0" applyAlignment="1" pivotButton="0" quotePrefix="0" xfId="0">
      <alignment wrapText="1"/>
    </xf>
    <xf numFmtId="0" fontId="3" fillId="0" borderId="2" applyAlignment="1" pivotButton="0" quotePrefix="0" xfId="0">
      <alignment wrapText="1"/>
    </xf>
    <xf numFmtId="0" fontId="9" fillId="94" borderId="0" applyAlignment="1" pivotButton="0" quotePrefix="0" xfId="0">
      <alignment horizontal="left" wrapText="1"/>
    </xf>
    <xf numFmtId="9" fontId="7" fillId="52" borderId="0" applyAlignment="1" pivotButton="0" quotePrefix="0" xfId="1">
      <alignment horizontal="center" vertical="center" wrapText="1"/>
    </xf>
    <xf numFmtId="0" fontId="7" fillId="54" borderId="0" applyAlignment="1" pivotButton="0" quotePrefix="0" xfId="0">
      <alignment vertical="center" wrapText="1"/>
    </xf>
    <xf numFmtId="0" fontId="0" fillId="59" borderId="0" applyAlignment="1" pivotButton="0" quotePrefix="0" xfId="0">
      <alignment vertical="center" wrapText="1"/>
    </xf>
    <xf numFmtId="0" fontId="2" fillId="62" borderId="0" applyAlignment="1" pivotButton="0" quotePrefix="0" xfId="0">
      <alignment wrapText="1"/>
    </xf>
    <xf numFmtId="1" fontId="0" fillId="56" borderId="0" applyAlignment="1" pivotButton="0" quotePrefix="0" xfId="0">
      <alignment wrapText="1"/>
    </xf>
    <xf numFmtId="164" fontId="0" fillId="45" borderId="0" applyAlignment="1" pivotButton="0" quotePrefix="0" xfId="0">
      <alignment wrapText="1"/>
    </xf>
    <xf numFmtId="3" fontId="0" fillId="45" borderId="0" applyAlignment="1" pivotButton="0" quotePrefix="0" xfId="0">
      <alignment horizontal="center" vertical="center" wrapText="1"/>
    </xf>
    <xf numFmtId="0" fontId="0" fillId="45" borderId="0" applyAlignment="1" pivotButton="0" quotePrefix="0" xfId="0">
      <alignment horizontal="center" wrapText="1"/>
    </xf>
    <xf numFmtId="166" fontId="0" fillId="45" borderId="0" applyAlignment="1" pivotButton="0" quotePrefix="0" xfId="0">
      <alignment horizontal="center" vertical="center" wrapText="1"/>
    </xf>
    <xf numFmtId="166" fontId="0" fillId="45" borderId="0" applyAlignment="1" pivotButton="0" quotePrefix="0" xfId="0">
      <alignment horizontal="center" wrapText="1"/>
    </xf>
    <xf numFmtId="3" fontId="7" fillId="8" borderId="0" applyAlignment="1" pivotButton="0" quotePrefix="0" xfId="0">
      <alignment vertical="center" wrapText="1"/>
    </xf>
    <xf numFmtId="3" fontId="0" fillId="32" borderId="0" applyAlignment="1" pivotButton="0" quotePrefix="0" xfId="0">
      <alignment wrapText="1"/>
    </xf>
    <xf numFmtId="0" fontId="6" fillId="52" borderId="2" applyAlignment="1" pivotButton="0" quotePrefix="0" xfId="0">
      <alignment horizontal="center" wrapText="1"/>
    </xf>
    <xf numFmtId="0" fontId="0" fillId="52" borderId="2" applyAlignment="1" pivotButton="0" quotePrefix="0" xfId="0">
      <alignment wrapText="1"/>
    </xf>
    <xf numFmtId="0" fontId="2" fillId="52" borderId="0" applyAlignment="1" pivotButton="0" quotePrefix="0" xfId="0">
      <alignment vertical="center" wrapText="1"/>
    </xf>
    <xf numFmtId="0" fontId="0" fillId="95" borderId="0" applyAlignment="1" pivotButton="0" quotePrefix="0" xfId="0">
      <alignment wrapText="1"/>
    </xf>
    <xf numFmtId="0" fontId="0" fillId="95" borderId="0" applyAlignment="1" pivotButton="0" quotePrefix="0" xfId="0">
      <alignment horizontal="left" vertical="center"/>
    </xf>
    <xf numFmtId="0" fontId="0" fillId="95" borderId="0" pivotButton="0" quotePrefix="0" xfId="0"/>
    <xf numFmtId="3" fontId="7" fillId="4" borderId="0" applyAlignment="1" pivotButton="0" quotePrefix="0" xfId="0">
      <alignment horizontal="center" vertical="center" wrapText="1"/>
    </xf>
    <xf numFmtId="0" fontId="0" fillId="0" borderId="6" applyAlignment="1" pivotButton="0" quotePrefix="0" xfId="0">
      <alignment wrapText="1"/>
    </xf>
    <xf numFmtId="0" fontId="0" fillId="74" borderId="0" applyAlignment="1" pivotButton="0" quotePrefix="0" xfId="0">
      <alignment horizontal="left"/>
    </xf>
    <xf numFmtId="0" fontId="0" fillId="96" borderId="0" applyAlignment="1" pivotButton="0" quotePrefix="0" xfId="0">
      <alignment horizontal="left"/>
    </xf>
    <xf numFmtId="0" fontId="0" fillId="84" borderId="0" applyAlignment="1" pivotButton="0" quotePrefix="0" xfId="0">
      <alignment horizontal="left"/>
    </xf>
    <xf numFmtId="0" fontId="6" fillId="52" borderId="0" applyAlignment="1" pivotButton="0" quotePrefix="0" xfId="0">
      <alignment horizontal="left" wrapText="1"/>
    </xf>
    <xf numFmtId="0" fontId="6" fillId="52" borderId="0" applyAlignment="1" pivotButton="0" quotePrefix="0" xfId="0">
      <alignment horizontal="center"/>
    </xf>
    <xf numFmtId="14" fontId="0" fillId="45" borderId="0" applyAlignment="1" pivotButton="0" quotePrefix="0" xfId="0">
      <alignment horizontal="right" vertical="center" wrapText="1"/>
    </xf>
    <xf numFmtId="0" fontId="0" fillId="45" borderId="0" applyAlignment="1" pivotButton="0" quotePrefix="0" xfId="0">
      <alignment vertical="center"/>
    </xf>
    <xf numFmtId="164" fontId="0" fillId="47" borderId="0" applyAlignment="1" pivotButton="0" quotePrefix="0" xfId="0">
      <alignment vertical="center" wrapText="1"/>
    </xf>
    <xf numFmtId="0" fontId="7" fillId="52" borderId="0" applyAlignment="1" pivotButton="0" quotePrefix="0" xfId="0">
      <alignment horizontal="center" vertical="center" wrapText="1"/>
    </xf>
    <xf numFmtId="0" fontId="0" fillId="101" borderId="0" applyAlignment="1" pivotButton="0" quotePrefix="0" xfId="0">
      <alignment wrapText="1"/>
    </xf>
    <xf numFmtId="0" fontId="2" fillId="43" borderId="0" applyAlignment="1" pivotButton="0" quotePrefix="0" xfId="0">
      <alignment wrapText="1"/>
    </xf>
    <xf numFmtId="0" fontId="0" fillId="43" borderId="2" applyAlignment="1" pivotButton="0" quotePrefix="0" xfId="0">
      <alignment wrapText="1"/>
    </xf>
    <xf numFmtId="3" fontId="0" fillId="45" borderId="0" applyAlignment="1" pivotButton="0" quotePrefix="0" xfId="0">
      <alignment horizontal="left" wrapText="1"/>
    </xf>
    <xf numFmtId="0" fontId="0" fillId="45" borderId="0" applyAlignment="1" pivotButton="0" quotePrefix="0" xfId="0">
      <alignment horizontal="right" vertical="center" wrapText="1"/>
    </xf>
    <xf numFmtId="0" fontId="7" fillId="45" borderId="0" applyAlignment="1" pivotButton="0" quotePrefix="0" xfId="0">
      <alignment wrapText="1"/>
    </xf>
    <xf numFmtId="0" fontId="0" fillId="0" borderId="0" applyAlignment="1" pivotButton="0" quotePrefix="1" xfId="0">
      <alignment wrapText="1"/>
    </xf>
    <xf numFmtId="3" fontId="0" fillId="47" borderId="0" applyAlignment="1" pivotButton="0" quotePrefix="0" xfId="0">
      <alignment horizontal="right" vertical="center" wrapText="1"/>
    </xf>
    <xf numFmtId="0" fontId="7" fillId="79" borderId="0" applyAlignment="1" pivotButton="0" quotePrefix="0" xfId="0">
      <alignment wrapText="1"/>
    </xf>
    <xf numFmtId="0" fontId="0" fillId="79" borderId="0" applyAlignment="1" pivotButton="0" quotePrefix="0" xfId="0">
      <alignment wrapText="1"/>
    </xf>
    <xf numFmtId="0" fontId="7" fillId="101" borderId="0" applyAlignment="1" pivotButton="0" quotePrefix="0" xfId="0">
      <alignment wrapText="1"/>
    </xf>
    <xf numFmtId="0" fontId="2" fillId="48" borderId="0" applyAlignment="1" pivotButton="0" quotePrefix="0" xfId="0">
      <alignment wrapText="1"/>
    </xf>
    <xf numFmtId="164" fontId="0" fillId="0" borderId="2" applyAlignment="1" pivotButton="0" quotePrefix="0" xfId="0">
      <alignment wrapText="1"/>
    </xf>
    <xf numFmtId="3" fontId="7" fillId="55" borderId="0" applyAlignment="1" pivotButton="0" quotePrefix="0" xfId="0">
      <alignment wrapText="1"/>
    </xf>
    <xf numFmtId="1" fontId="0" fillId="101" borderId="0" applyAlignment="1" pivotButton="0" quotePrefix="0" xfId="0">
      <alignment wrapText="1"/>
    </xf>
    <xf numFmtId="0" fontId="0" fillId="59" borderId="0" applyAlignment="1" pivotButton="0" quotePrefix="0" xfId="0">
      <alignment wrapText="1"/>
    </xf>
    <xf numFmtId="0" fontId="9" fillId="45" borderId="0" applyAlignment="1" pivotButton="0" quotePrefix="0" xfId="0">
      <alignment wrapText="1"/>
    </xf>
    <xf numFmtId="167" fontId="9" fillId="86" borderId="0" applyAlignment="1" pivotButton="0" quotePrefix="0" xfId="0">
      <alignment horizontal="center" vertical="center" wrapText="1"/>
    </xf>
    <xf numFmtId="9" fontId="0" fillId="0" borderId="0" applyAlignment="1" pivotButton="0" quotePrefix="0" xfId="0">
      <alignment horizontal="right" wrapText="1"/>
    </xf>
    <xf numFmtId="0" fontId="5" fillId="66" borderId="0" applyAlignment="1" pivotButton="0" quotePrefix="0" xfId="0">
      <alignment wrapText="1"/>
    </xf>
    <xf numFmtId="0" fontId="0" fillId="104" borderId="0" applyAlignment="1" pivotButton="0" quotePrefix="0" xfId="0">
      <alignment wrapText="1"/>
    </xf>
    <xf numFmtId="1" fontId="0" fillId="0" borderId="0" applyAlignment="1" pivotButton="0" quotePrefix="0" xfId="0">
      <alignment vertical="center" wrapText="1"/>
    </xf>
    <xf numFmtId="9" fontId="0" fillId="0" borderId="0" applyAlignment="1" pivotButton="0" quotePrefix="0" xfId="1">
      <alignment vertical="center" wrapText="1"/>
    </xf>
    <xf numFmtId="0" fontId="2" fillId="47" borderId="0" applyAlignment="1" pivotButton="0" quotePrefix="0" xfId="0">
      <alignment wrapText="1"/>
    </xf>
    <xf numFmtId="0" fontId="6" fillId="52" borderId="3" applyAlignment="1" pivotButton="0" quotePrefix="0" xfId="0">
      <alignment horizontal="center" wrapText="1"/>
    </xf>
    <xf numFmtId="0" fontId="2" fillId="2" borderId="0" applyAlignment="1" pivotButton="0" quotePrefix="0" xfId="0">
      <alignment horizontal="center" vertical="center" wrapText="1"/>
    </xf>
    <xf numFmtId="0" fontId="2" fillId="105" borderId="0" applyAlignment="1" pivotButton="0" quotePrefix="0" xfId="0">
      <alignment wrapText="1"/>
    </xf>
    <xf numFmtId="0" fontId="7" fillId="89" borderId="0" applyAlignment="1" pivotButton="0" quotePrefix="0" xfId="0">
      <alignment wrapText="1"/>
    </xf>
    <xf numFmtId="0" fontId="0" fillId="106" borderId="0" applyAlignment="1" pivotButton="0" quotePrefix="0" xfId="0">
      <alignment wrapText="1"/>
    </xf>
    <xf numFmtId="0" fontId="2" fillId="56" borderId="0" applyAlignment="1" pivotButton="0" quotePrefix="0" xfId="0">
      <alignment wrapText="1"/>
    </xf>
    <xf numFmtId="0" fontId="0" fillId="74" borderId="0" applyAlignment="1" pivotButton="0" quotePrefix="0" xfId="0">
      <alignment horizontal="center" vertical="center" wrapText="1"/>
    </xf>
    <xf numFmtId="0" fontId="0" fillId="86" borderId="0" applyAlignment="1" pivotButton="0" quotePrefix="0" xfId="0">
      <alignment horizontal="center" vertical="center" wrapText="1"/>
    </xf>
    <xf numFmtId="0" fontId="0" fillId="56" borderId="0" applyAlignment="1" pivotButton="0" quotePrefix="0" xfId="0">
      <alignment horizontal="center" wrapText="1"/>
    </xf>
    <xf numFmtId="3" fontId="0" fillId="56" borderId="0" applyAlignment="1" pivotButton="0" quotePrefix="0" xfId="0">
      <alignment wrapText="1"/>
    </xf>
    <xf numFmtId="166" fontId="0" fillId="0" borderId="0" applyAlignment="1" pivotButton="0" quotePrefix="0" xfId="0">
      <alignment vertical="center" wrapText="1"/>
    </xf>
    <xf numFmtId="0" fontId="0" fillId="12" borderId="0" applyAlignment="1" pivotButton="0" quotePrefix="0" xfId="0">
      <alignment vertical="center" wrapText="1"/>
    </xf>
    <xf numFmtId="0" fontId="0" fillId="0" borderId="2" applyAlignment="1" pivotButton="0" quotePrefix="0" xfId="0">
      <alignment vertical="center" wrapText="1"/>
    </xf>
    <xf numFmtId="0" fontId="0" fillId="0" borderId="0" applyAlignment="1" pivotButton="0" quotePrefix="1" xfId="0">
      <alignment vertical="center" wrapText="1"/>
    </xf>
    <xf numFmtId="1" fontId="0" fillId="79" borderId="0" applyAlignment="1" pivotButton="0" quotePrefix="0" xfId="0">
      <alignment wrapText="1"/>
    </xf>
    <xf numFmtId="0" fontId="0" fillId="90" borderId="0" applyAlignment="1" pivotButton="0" quotePrefix="0" xfId="0">
      <alignment wrapText="1"/>
    </xf>
    <xf numFmtId="0" fontId="0" fillId="108" borderId="0" applyAlignment="1" pivotButton="0" quotePrefix="0" xfId="0">
      <alignment wrapText="1"/>
    </xf>
    <xf numFmtId="0" fontId="7" fillId="48" borderId="0" applyAlignment="1" pivotButton="0" quotePrefix="0" xfId="0">
      <alignment wrapText="1"/>
    </xf>
    <xf numFmtId="0" fontId="0" fillId="59" borderId="0" applyAlignment="1" pivotButton="0" quotePrefix="0" xfId="0">
      <alignment horizontal="left"/>
    </xf>
    <xf numFmtId="0" fontId="0" fillId="46" borderId="0" applyAlignment="1" pivotButton="0" quotePrefix="0" xfId="0">
      <alignment horizontal="left"/>
    </xf>
    <xf numFmtId="0" fontId="7" fillId="17" borderId="0" applyAlignment="1" pivotButton="0" quotePrefix="0" xfId="0">
      <alignment horizontal="left"/>
    </xf>
    <xf numFmtId="0" fontId="0" fillId="96" borderId="0" applyAlignment="1" pivotButton="0" quotePrefix="0" xfId="0">
      <alignment wrapText="1"/>
    </xf>
    <xf numFmtId="0" fontId="0" fillId="73" borderId="0" applyAlignment="1" pivotButton="0" quotePrefix="0" xfId="0">
      <alignment horizontal="center" vertical="center" wrapText="1"/>
    </xf>
    <xf numFmtId="0" fontId="0" fillId="110" borderId="0" applyAlignment="1" pivotButton="0" quotePrefix="0" xfId="0">
      <alignment wrapText="1"/>
    </xf>
    <xf numFmtId="0" fontId="0" fillId="0" borderId="0" applyAlignment="1" pivotButton="0" quotePrefix="0" xfId="0">
      <alignment horizontal="right"/>
    </xf>
    <xf numFmtId="0" fontId="0" fillId="0" borderId="2" applyAlignment="1" pivotButton="0" quotePrefix="0" xfId="0">
      <alignment horizontal="left" vertical="center" wrapText="1"/>
    </xf>
    <xf numFmtId="14" fontId="0" fillId="106" borderId="0" applyAlignment="1" pivotButton="0" quotePrefix="0" xfId="0">
      <alignment wrapText="1"/>
    </xf>
    <xf numFmtId="3" fontId="0" fillId="0" borderId="0" applyAlignment="1" pivotButton="0" quotePrefix="0" xfId="0">
      <alignment horizontal="center" wrapText="1"/>
    </xf>
    <xf numFmtId="0" fontId="0" fillId="45" borderId="0" applyAlignment="1" pivotButton="0" quotePrefix="0" xfId="0">
      <alignment horizontal="center" vertical="center" wrapText="1"/>
    </xf>
    <xf numFmtId="1" fontId="0" fillId="74" borderId="0" applyAlignment="1" pivotButton="0" quotePrefix="0" xfId="0">
      <alignment horizontal="center" wrapText="1"/>
    </xf>
    <xf numFmtId="0" fontId="0" fillId="74" borderId="0" applyAlignment="1" pivotButton="0" quotePrefix="0" xfId="0">
      <alignment horizontal="center" wrapText="1"/>
    </xf>
    <xf numFmtId="0" fontId="0" fillId="20" borderId="0" applyAlignment="1" pivotButton="0" quotePrefix="0" xfId="0">
      <alignment horizontal="right" vertical="center" wrapText="1"/>
    </xf>
    <xf numFmtId="0" fontId="0" fillId="0" borderId="3" applyAlignment="1" pivotButton="0" quotePrefix="0" xfId="0">
      <alignment wrapText="1"/>
    </xf>
    <xf numFmtId="3" fontId="0" fillId="0" borderId="0" applyAlignment="1" pivotButton="0" quotePrefix="0" xfId="0">
      <alignment horizontal="right" vertical="center" wrapText="1"/>
    </xf>
    <xf numFmtId="0" fontId="7" fillId="52" borderId="0" applyAlignment="1" pivotButton="0" quotePrefix="0" xfId="0">
      <alignment horizontal="center" wrapText="1"/>
    </xf>
    <xf numFmtId="0" fontId="0" fillId="45" borderId="0" applyAlignment="1" pivotButton="0" quotePrefix="0" xfId="0">
      <alignment horizontal="left" wrapText="1"/>
    </xf>
    <xf numFmtId="0" fontId="0" fillId="0" borderId="0" applyAlignment="1" pivotButton="0" quotePrefix="0" xfId="0">
      <alignment vertical="center" wrapText="1"/>
    </xf>
    <xf numFmtId="0" fontId="7" fillId="4" borderId="0" applyAlignment="1" pivotButton="0" quotePrefix="0" xfId="0">
      <alignment vertical="center" wrapText="1"/>
    </xf>
    <xf numFmtId="0" fontId="0" fillId="32" borderId="0" applyAlignment="1" pivotButton="0" quotePrefix="0" xfId="0">
      <alignment vertical="center" wrapText="1"/>
    </xf>
    <xf numFmtId="0" fontId="0" fillId="23" borderId="0" applyAlignment="1" pivotButton="0" quotePrefix="0" xfId="0">
      <alignment vertical="center" wrapText="1"/>
    </xf>
    <xf numFmtId="0" fontId="7" fillId="28" borderId="0" applyAlignment="1" pivotButton="0" quotePrefix="0" xfId="0">
      <alignment vertical="center" wrapText="1"/>
    </xf>
    <xf numFmtId="0" fontId="0" fillId="24" borderId="0" applyAlignment="1" pivotButton="0" quotePrefix="0" xfId="0">
      <alignment vertical="center" wrapText="1"/>
    </xf>
    <xf numFmtId="0" fontId="0" fillId="0" borderId="0" applyAlignment="1" pivotButton="0" quotePrefix="0" xfId="0">
      <alignment horizontal="center" vertical="center" wrapText="1"/>
    </xf>
    <xf numFmtId="0" fontId="1" fillId="0" borderId="0" applyAlignment="1" pivotButton="0" quotePrefix="0" xfId="0">
      <alignment horizontal="center" wrapText="1"/>
    </xf>
    <xf numFmtId="1" fontId="0" fillId="45" borderId="0" applyAlignment="1" pivotButton="0" quotePrefix="0" xfId="0">
      <alignment wrapText="1"/>
    </xf>
    <xf numFmtId="0" fontId="0" fillId="111" borderId="0" applyAlignment="1" pivotButton="0" quotePrefix="0" xfId="0">
      <alignment wrapText="1"/>
    </xf>
    <xf numFmtId="20" fontId="0" fillId="0" borderId="0" applyAlignment="1" pivotButton="0" quotePrefix="0" xfId="0">
      <alignment horizontal="center" wrapText="1"/>
    </xf>
    <xf numFmtId="20" fontId="0" fillId="0" borderId="0" applyAlignment="1" pivotButton="0" quotePrefix="0" xfId="0">
      <alignment wrapText="1"/>
    </xf>
    <xf numFmtId="165" fontId="0" fillId="0" borderId="3" applyAlignment="1" pivotButton="0" quotePrefix="0" xfId="2">
      <alignment wrapText="1"/>
    </xf>
    <xf numFmtId="165" fontId="0" fillId="0" borderId="2" applyAlignment="1" pivotButton="0" quotePrefix="0" xfId="2">
      <alignment wrapText="1"/>
    </xf>
    <xf numFmtId="0" fontId="0" fillId="22" borderId="0" applyAlignment="1" pivotButton="0" quotePrefix="0" xfId="0">
      <alignment horizontal="left" vertical="center" wrapText="1"/>
    </xf>
    <xf numFmtId="0" fontId="0" fillId="52" borderId="0" applyAlignment="1" pivotButton="0" quotePrefix="0" xfId="0">
      <alignment horizontal="left" wrapText="1"/>
    </xf>
    <xf numFmtId="0" fontId="0" fillId="42" borderId="0" applyAlignment="1" pivotButton="0" quotePrefix="0" xfId="0">
      <alignment vertical="center" wrapText="1"/>
    </xf>
    <xf numFmtId="0" fontId="0" fillId="41" borderId="0" applyAlignment="1" pivotButton="0" quotePrefix="0" xfId="0">
      <alignment vertical="center" wrapText="1"/>
    </xf>
    <xf numFmtId="0" fontId="0" fillId="41" borderId="0" applyAlignment="1" pivotButton="0" quotePrefix="0" xfId="0">
      <alignment horizontal="center" vertical="center" wrapText="1"/>
    </xf>
    <xf numFmtId="0" fontId="0" fillId="25" borderId="0" applyAlignment="1" pivotButton="0" quotePrefix="0" xfId="0">
      <alignment vertical="center" wrapText="1"/>
    </xf>
    <xf numFmtId="0" fontId="0" fillId="101" borderId="0" applyAlignment="1" pivotButton="0" quotePrefix="0" xfId="0">
      <alignment horizontal="left"/>
    </xf>
    <xf numFmtId="0" fontId="0" fillId="109" borderId="0" applyAlignment="1" pivotButton="0" quotePrefix="0" xfId="0">
      <alignment horizontal="left"/>
    </xf>
    <xf numFmtId="0" fontId="0" fillId="90" borderId="0" applyAlignment="1" pivotButton="0" quotePrefix="0" xfId="0">
      <alignment horizontal="left"/>
    </xf>
    <xf numFmtId="0" fontId="1" fillId="88" borderId="0" applyAlignment="1" pivotButton="0" quotePrefix="0" xfId="0">
      <alignment horizontal="left" wrapText="1"/>
    </xf>
    <xf numFmtId="0" fontId="1" fillId="72" borderId="0" applyAlignment="1" pivotButton="0" quotePrefix="0" xfId="0">
      <alignment horizontal="left" wrapText="1"/>
    </xf>
    <xf numFmtId="0" fontId="1" fillId="89" borderId="0" applyAlignment="1" pivotButton="0" quotePrefix="0" xfId="0">
      <alignment horizontal="left" wrapText="1"/>
    </xf>
    <xf numFmtId="0" fontId="1" fillId="91" borderId="0" applyAlignment="1" pivotButton="0" quotePrefix="0" xfId="0">
      <alignment horizontal="left" wrapText="1"/>
    </xf>
    <xf numFmtId="0" fontId="1" fillId="53" borderId="0" applyAlignment="1" pivotButton="0" quotePrefix="0" xfId="0">
      <alignment horizontal="left" wrapText="1"/>
    </xf>
    <xf numFmtId="0" fontId="1" fillId="92" borderId="0" applyAlignment="1" pivotButton="0" quotePrefix="0" xfId="0">
      <alignment horizontal="left" wrapText="1"/>
    </xf>
    <xf numFmtId="0" fontId="1" fillId="93" borderId="0" applyAlignment="1" pivotButton="0" quotePrefix="0" xfId="0">
      <alignment horizontal="left" wrapText="1"/>
    </xf>
    <xf numFmtId="0" fontId="1" fillId="71" borderId="0" applyAlignment="1" pivotButton="0" quotePrefix="0" xfId="0">
      <alignment horizontal="left" wrapText="1"/>
    </xf>
    <xf numFmtId="0" fontId="1" fillId="81" borderId="0" applyAlignment="1" pivotButton="0" quotePrefix="0" xfId="0">
      <alignment horizontal="left" wrapText="1"/>
    </xf>
    <xf numFmtId="0" fontId="1" fillId="59" borderId="0" applyAlignment="1" pivotButton="0" quotePrefix="0" xfId="0">
      <alignment horizontal="left" wrapText="1"/>
    </xf>
    <xf numFmtId="0" fontId="1" fillId="111" borderId="0" applyAlignment="1" pivotButton="0" quotePrefix="0" xfId="0">
      <alignment horizontal="left" wrapText="1"/>
    </xf>
    <xf numFmtId="0" fontId="0" fillId="32" borderId="0" applyAlignment="1" pivotButton="0" quotePrefix="0" xfId="0">
      <alignment vertical="center"/>
    </xf>
    <xf numFmtId="0" fontId="0" fillId="24" borderId="0" applyAlignment="1" pivotButton="0" quotePrefix="0" xfId="0">
      <alignment vertical="center"/>
    </xf>
    <xf numFmtId="0" fontId="0" fillId="42" borderId="0" applyAlignment="1" pivotButton="0" quotePrefix="0" xfId="0">
      <alignment vertical="center"/>
    </xf>
    <xf numFmtId="0" fontId="0" fillId="41" borderId="0" applyAlignment="1" pivotButton="0" quotePrefix="0" xfId="0">
      <alignment vertical="center"/>
    </xf>
    <xf numFmtId="0" fontId="0" fillId="41" borderId="0" applyAlignment="1" pivotButton="0" quotePrefix="0" xfId="0">
      <alignment horizontal="center" vertical="center"/>
    </xf>
    <xf numFmtId="0" fontId="0" fillId="43" borderId="0" pivotButton="0" quotePrefix="0" xfId="0"/>
    <xf numFmtId="168" fontId="0" fillId="0" borderId="0" applyAlignment="1" pivotButton="0" quotePrefix="0" xfId="2">
      <alignment wrapText="1"/>
    </xf>
    <xf numFmtId="0" fontId="0" fillId="74" borderId="0" pivotButton="0" quotePrefix="0" xfId="0"/>
    <xf numFmtId="0" fontId="0" fillId="45" borderId="0" applyAlignment="1" pivotButton="0" quotePrefix="1" xfId="0">
      <alignment wrapText="1"/>
    </xf>
    <xf numFmtId="3" fontId="0" fillId="87" borderId="0" applyAlignment="1" pivotButton="0" quotePrefix="0" xfId="0">
      <alignment vertical="center" wrapText="1"/>
    </xf>
    <xf numFmtId="0" fontId="7" fillId="54" borderId="0" applyAlignment="1" pivotButton="0" quotePrefix="0" xfId="0">
      <alignment wrapText="1"/>
    </xf>
    <xf numFmtId="0" fontId="0" fillId="0" borderId="0" applyAlignment="1" pivotButton="0" quotePrefix="0" xfId="0">
      <alignment horizontal="left" vertical="top" wrapText="1"/>
    </xf>
    <xf numFmtId="167" fontId="9" fillId="59" borderId="0" applyAlignment="1" pivotButton="0" quotePrefix="0" xfId="0">
      <alignment horizontal="center" vertical="center" wrapText="1"/>
    </xf>
    <xf numFmtId="167" fontId="0" fillId="0" borderId="0" applyAlignment="1" pivotButton="0" quotePrefix="0" xfId="0">
      <alignment horizontal="center" wrapText="1"/>
    </xf>
    <xf numFmtId="0" fontId="0" fillId="45" borderId="0" applyAlignment="1" pivotButton="0" quotePrefix="0" xfId="0">
      <alignment vertical="top" wrapText="1"/>
    </xf>
    <xf numFmtId="0" fontId="0" fillId="0" borderId="0" applyAlignment="1" pivotButton="0" quotePrefix="0" xfId="0">
      <alignment vertical="top" wrapText="1"/>
    </xf>
    <xf numFmtId="0" fontId="2" fillId="89" borderId="0" applyAlignment="1" pivotButton="0" quotePrefix="0" xfId="0">
      <alignment horizontal="left" wrapText="1"/>
    </xf>
    <xf numFmtId="0" fontId="0" fillId="53" borderId="0" applyAlignment="1" pivotButton="0" quotePrefix="0" xfId="0">
      <alignment horizontal="left"/>
    </xf>
    <xf numFmtId="0" fontId="0" fillId="103" borderId="0" applyAlignment="1" pivotButton="0" quotePrefix="0" xfId="0">
      <alignment wrapText="1"/>
    </xf>
    <xf numFmtId="0" fontId="9" fillId="103" borderId="0" applyAlignment="1" pivotButton="0" quotePrefix="0" xfId="0">
      <alignment wrapText="1"/>
    </xf>
    <xf numFmtId="0" fontId="2" fillId="60" borderId="0" applyAlignment="1" pivotButton="0" quotePrefix="0" xfId="0">
      <alignment vertical="center" wrapText="1"/>
    </xf>
    <xf numFmtId="0" fontId="2" fillId="49" borderId="0" applyAlignment="1" pivotButton="0" quotePrefix="0" xfId="0">
      <alignment vertical="center" wrapText="1"/>
    </xf>
    <xf numFmtId="169" fontId="0" fillId="43" borderId="0" applyAlignment="1" pivotButton="0" quotePrefix="0" xfId="0">
      <alignment vertical="center" wrapText="1"/>
    </xf>
    <xf numFmtId="169" fontId="0" fillId="45" borderId="0" applyAlignment="1" pivotButton="0" quotePrefix="0" xfId="0">
      <alignment vertical="center" wrapText="1"/>
    </xf>
    <xf numFmtId="0" fontId="15" fillId="113" borderId="0" applyAlignment="1" pivotButton="0" quotePrefix="0" xfId="0">
      <alignment wrapText="1"/>
    </xf>
    <xf numFmtId="0" fontId="0" fillId="109" borderId="0" applyAlignment="1" pivotButton="0" quotePrefix="0" xfId="0">
      <alignment wrapText="1"/>
    </xf>
    <xf numFmtId="0" fontId="0" fillId="114" borderId="0" applyAlignment="1" pivotButton="0" quotePrefix="0" xfId="0">
      <alignment wrapText="1"/>
    </xf>
    <xf numFmtId="3" fontId="0" fillId="59" borderId="0" applyAlignment="1" pivotButton="0" quotePrefix="0" xfId="0">
      <alignment vertical="center" wrapText="1"/>
    </xf>
    <xf numFmtId="0" fontId="0" fillId="109" borderId="0" applyAlignment="1" pivotButton="0" quotePrefix="0" xfId="0">
      <alignment vertical="center" wrapText="1"/>
    </xf>
    <xf numFmtId="1" fontId="0" fillId="73" borderId="0" applyAlignment="1" pivotButton="0" quotePrefix="0" xfId="0">
      <alignment wrapText="1"/>
    </xf>
    <xf numFmtId="0" fontId="7" fillId="62" borderId="0" applyAlignment="1" pivotButton="0" quotePrefix="0" xfId="0">
      <alignment vertical="center" wrapText="1"/>
    </xf>
    <xf numFmtId="0" fontId="7" fillId="62" borderId="0" applyAlignment="1" pivotButton="0" quotePrefix="0" xfId="0">
      <alignment wrapText="1"/>
    </xf>
    <xf numFmtId="0" fontId="0" fillId="23" borderId="0" applyAlignment="1" pivotButton="0" quotePrefix="0" xfId="0">
      <alignment horizontal="center" vertical="center" wrapText="1"/>
    </xf>
    <xf numFmtId="0" fontId="7" fillId="115" borderId="0" applyAlignment="1" pivotButton="0" quotePrefix="0" xfId="0">
      <alignment wrapText="1"/>
    </xf>
    <xf numFmtId="0" fontId="7" fillId="65" borderId="0" applyAlignment="1" pivotButton="0" quotePrefix="0" xfId="0">
      <alignment wrapText="1"/>
    </xf>
    <xf numFmtId="0" fontId="0" fillId="101" borderId="0" applyAlignment="1" pivotButton="0" quotePrefix="0" xfId="0">
      <alignment vertical="center" wrapText="1"/>
    </xf>
    <xf numFmtId="0" fontId="0" fillId="59" borderId="0" applyAlignment="1" pivotButton="0" quotePrefix="0" xfId="0">
      <alignment horizontal="left" wrapText="1"/>
    </xf>
    <xf numFmtId="0" fontId="0" fillId="68" borderId="0" applyAlignment="1" pivotButton="0" quotePrefix="0" xfId="0">
      <alignment wrapText="1"/>
    </xf>
    <xf numFmtId="169" fontId="0" fillId="14" borderId="0" applyAlignment="1" pivotButton="0" quotePrefix="0" xfId="0">
      <alignment vertical="center" wrapText="1"/>
    </xf>
    <xf numFmtId="0" fontId="7" fillId="52" borderId="0" applyAlignment="1" pivotButton="0" quotePrefix="0" xfId="0">
      <alignment horizontal="right" vertical="center" wrapText="1"/>
    </xf>
    <xf numFmtId="168" fontId="7" fillId="53" borderId="0" applyAlignment="1" pivotButton="0" quotePrefix="0" xfId="2">
      <alignment horizontal="center" wrapText="1"/>
    </xf>
    <xf numFmtId="3" fontId="7" fillId="0" borderId="0" applyAlignment="1" pivotButton="0" quotePrefix="0" xfId="0">
      <alignment wrapText="1"/>
    </xf>
    <xf numFmtId="0" fontId="6" fillId="52" borderId="0" applyAlignment="1" pivotButton="0" quotePrefix="0" xfId="0">
      <alignment wrapText="1"/>
    </xf>
    <xf numFmtId="0" fontId="6" fillId="52" borderId="0" applyAlignment="1" pivotButton="0" quotePrefix="0" xfId="0">
      <alignment horizontal="right" vertical="center" wrapText="1"/>
    </xf>
    <xf numFmtId="3" fontId="0" fillId="43" borderId="0" applyAlignment="1" pivotButton="0" quotePrefix="0" xfId="0">
      <alignment horizontal="center" wrapText="1"/>
    </xf>
    <xf numFmtId="0" fontId="0" fillId="53" borderId="0" applyAlignment="1" pivotButton="0" quotePrefix="0" xfId="0">
      <alignment horizontal="center" wrapText="1"/>
    </xf>
    <xf numFmtId="0" fontId="0" fillId="42" borderId="0" applyAlignment="1" pivotButton="0" quotePrefix="0" xfId="0">
      <alignment horizontal="center" vertical="center" wrapText="1"/>
    </xf>
    <xf numFmtId="0" fontId="0" fillId="27" borderId="0" applyAlignment="1" pivotButton="0" quotePrefix="0" xfId="0">
      <alignment horizontal="left" vertical="top" wrapText="1"/>
    </xf>
    <xf numFmtId="0" fontId="7" fillId="4" borderId="0" applyAlignment="1" pivotButton="0" quotePrefix="0" xfId="0">
      <alignment horizontal="left" vertical="center" wrapText="1"/>
    </xf>
    <xf numFmtId="0" fontId="7" fillId="52" borderId="0" pivotButton="0" quotePrefix="0" xfId="0"/>
    <xf numFmtId="0" fontId="2" fillId="52" borderId="2" applyAlignment="1" pivotButton="0" quotePrefix="0" xfId="0">
      <alignment wrapText="1"/>
    </xf>
    <xf numFmtId="0" fontId="7" fillId="47" borderId="0" applyAlignment="1" pivotButton="0" quotePrefix="0" xfId="0">
      <alignment vertical="center" wrapText="1"/>
    </xf>
    <xf numFmtId="0" fontId="7" fillId="52" borderId="0" applyAlignment="1" pivotButton="0" quotePrefix="0" xfId="0">
      <alignment horizontal="left"/>
    </xf>
    <xf numFmtId="1" fontId="7" fillId="52" borderId="0" applyAlignment="1" pivotButton="0" quotePrefix="0" xfId="0">
      <alignment horizontal="right" vertical="center"/>
    </xf>
    <xf numFmtId="0" fontId="7" fillId="52" borderId="0" applyAlignment="1" pivotButton="0" quotePrefix="0" xfId="0">
      <alignment horizontal="center" vertical="center"/>
    </xf>
    <xf numFmtId="0" fontId="0" fillId="87" borderId="0" applyAlignment="1" pivotButton="0" quotePrefix="0" xfId="0">
      <alignment wrapText="1"/>
    </xf>
    <xf numFmtId="0" fontId="0" fillId="116" borderId="0" applyAlignment="1" pivotButton="0" quotePrefix="0" xfId="0">
      <alignment vertical="center" wrapText="1"/>
    </xf>
    <xf numFmtId="0" fontId="0" fillId="114" borderId="0" applyAlignment="1" pivotButton="0" quotePrefix="0" xfId="0">
      <alignment vertical="center" wrapText="1"/>
    </xf>
    <xf numFmtId="0" fontId="0" fillId="112" borderId="0" applyAlignment="1" pivotButton="0" quotePrefix="0" xfId="0">
      <alignment vertical="center" wrapText="1"/>
    </xf>
    <xf numFmtId="0" fontId="0" fillId="84" borderId="0" applyAlignment="1" pivotButton="0" quotePrefix="0" xfId="0">
      <alignment vertical="center" wrapText="1"/>
    </xf>
    <xf numFmtId="0" fontId="0" fillId="85" borderId="0" applyAlignment="1" pivotButton="0" quotePrefix="0" xfId="0">
      <alignment vertical="center" wrapText="1"/>
    </xf>
    <xf numFmtId="1" fontId="7" fillId="48" borderId="0" applyAlignment="1" pivotButton="0" quotePrefix="0" xfId="0">
      <alignment horizontal="center" vertical="center" wrapText="1"/>
    </xf>
    <xf numFmtId="0" fontId="0" fillId="111" borderId="0" applyAlignment="1" pivotButton="0" quotePrefix="0" xfId="0">
      <alignment vertical="center" wrapText="1"/>
    </xf>
    <xf numFmtId="0" fontId="0" fillId="47" borderId="3" applyAlignment="1" pivotButton="0" quotePrefix="0" xfId="0">
      <alignment wrapText="1"/>
    </xf>
    <xf numFmtId="0" fontId="0" fillId="85" borderId="0" applyAlignment="1" pivotButton="0" quotePrefix="0" xfId="0">
      <alignment wrapText="1"/>
    </xf>
    <xf numFmtId="3" fontId="0" fillId="0" borderId="2" applyAlignment="1" pivotButton="0" quotePrefix="0" xfId="0">
      <alignment wrapText="1"/>
    </xf>
    <xf numFmtId="0" fontId="0" fillId="79" borderId="0" applyAlignment="1" pivotButton="0" quotePrefix="0" xfId="0">
      <alignment horizontal="left" wrapText="1"/>
    </xf>
    <xf numFmtId="0" fontId="7" fillId="55" borderId="0" applyAlignment="1" pivotButton="0" quotePrefix="0" xfId="0">
      <alignment horizontal="left" wrapText="1"/>
    </xf>
    <xf numFmtId="0" fontId="7" fillId="55" borderId="0" applyAlignment="1" pivotButton="0" quotePrefix="0" xfId="0">
      <alignment vertical="center" wrapText="1"/>
    </xf>
    <xf numFmtId="3" fontId="2" fillId="117" borderId="0" applyAlignment="1" pivotButton="0" quotePrefix="0" xfId="0">
      <alignment wrapText="1"/>
    </xf>
    <xf numFmtId="0" fontId="0" fillId="116" borderId="0" applyAlignment="1" pivotButton="0" quotePrefix="0" xfId="0">
      <alignment wrapText="1"/>
    </xf>
    <xf numFmtId="0" fontId="7" fillId="52" borderId="3" applyAlignment="1" pivotButton="0" quotePrefix="0" xfId="0">
      <alignment horizontal="center" vertical="center" wrapText="1"/>
    </xf>
    <xf numFmtId="0" fontId="0" fillId="37" borderId="14" applyAlignment="1" pivotButton="0" quotePrefix="0" xfId="0">
      <alignment horizontal="center" vertical="center" wrapText="1"/>
    </xf>
    <xf numFmtId="0" fontId="0" fillId="37" borderId="1" applyAlignment="1" pivotButton="0" quotePrefix="0" xfId="0">
      <alignment horizontal="center" vertical="center" wrapText="1"/>
    </xf>
    <xf numFmtId="0" fontId="0" fillId="37" borderId="4" applyAlignment="1" pivotButton="0" quotePrefix="0" xfId="0">
      <alignment horizontal="center" vertical="center" wrapText="1"/>
    </xf>
    <xf numFmtId="0" fontId="11" fillId="52" borderId="0" applyAlignment="1" pivotButton="0" quotePrefix="0" xfId="0">
      <alignment horizontal="center" wrapText="1"/>
    </xf>
    <xf numFmtId="0" fontId="0" fillId="0" borderId="0" applyAlignment="1" pivotButton="0" quotePrefix="0" xfId="0">
      <alignment horizontal="center" wrapText="1"/>
    </xf>
    <xf numFmtId="3" fontId="0" fillId="0" borderId="0" applyAlignment="1" pivotButton="0" quotePrefix="0" xfId="0">
      <alignment horizontal="center" wrapText="1"/>
    </xf>
    <xf numFmtId="0" fontId="0" fillId="0" borderId="2" applyAlignment="1" pivotButton="0" quotePrefix="0" xfId="0">
      <alignment horizontal="center" wrapText="1"/>
    </xf>
    <xf numFmtId="0" fontId="9" fillId="0" borderId="0" applyAlignment="1" pivotButton="0" quotePrefix="0" xfId="0">
      <alignment horizontal="center" wrapText="1"/>
    </xf>
    <xf numFmtId="0" fontId="0" fillId="0" borderId="3" applyAlignment="1" pivotButton="0" quotePrefix="0" xfId="0">
      <alignment horizontal="center" wrapText="1"/>
    </xf>
    <xf numFmtId="0" fontId="0" fillId="0" borderId="0" applyAlignment="1" pivotButton="0" quotePrefix="0" xfId="0">
      <alignment wrapText="1"/>
    </xf>
    <xf numFmtId="0" fontId="6" fillId="57" borderId="0" applyAlignment="1" pivotButton="0" quotePrefix="0" xfId="0">
      <alignment horizontal="center" wrapText="1"/>
    </xf>
    <xf numFmtId="0" fontId="11" fillId="52" borderId="0" applyAlignment="1" pivotButton="0" quotePrefix="0" xfId="0">
      <alignment wrapText="1"/>
    </xf>
    <xf numFmtId="0" fontId="0" fillId="0" borderId="2" applyAlignment="1" pivotButton="0" quotePrefix="0" xfId="0">
      <alignment horizontal="center"/>
    </xf>
    <xf numFmtId="3" fontId="0" fillId="20" borderId="0" applyAlignment="1" pivotButton="0" quotePrefix="0" xfId="0">
      <alignment horizontal="center" vertical="center" wrapText="1"/>
    </xf>
    <xf numFmtId="168" fontId="7" fillId="102" borderId="0" applyAlignment="1" pivotButton="0" quotePrefix="0" xfId="2">
      <alignment horizontal="center" wrapText="1"/>
    </xf>
    <xf numFmtId="1" fontId="0" fillId="101" borderId="0" applyAlignment="1" pivotButton="0" quotePrefix="0" xfId="0">
      <alignment horizontal="center" wrapText="1"/>
    </xf>
    <xf numFmtId="0" fontId="0" fillId="101" borderId="0" applyAlignment="1" pivotButton="0" quotePrefix="0" xfId="0">
      <alignment horizontal="center" wrapText="1"/>
    </xf>
    <xf numFmtId="3" fontId="0" fillId="107" borderId="0" applyAlignment="1" pivotButton="0" quotePrefix="0" xfId="0">
      <alignment horizontal="center" wrapText="1"/>
    </xf>
    <xf numFmtId="0" fontId="0" fillId="107" borderId="0" applyAlignment="1" pivotButton="0" quotePrefix="0" xfId="0">
      <alignment horizontal="center" wrapText="1"/>
    </xf>
    <xf numFmtId="168" fontId="7" fillId="102" borderId="0" applyAlignment="1" pivotButton="0" quotePrefix="0" xfId="0">
      <alignment horizontal="center" wrapText="1"/>
    </xf>
    <xf numFmtId="0" fontId="7" fillId="102" borderId="0" applyAlignment="1" pivotButton="0" quotePrefix="0" xfId="0">
      <alignment horizontal="center" wrapText="1"/>
    </xf>
    <xf numFmtId="0" fontId="0" fillId="37" borderId="13" applyAlignment="1" pivotButton="0" quotePrefix="0" xfId="0">
      <alignment horizontal="center" vertical="center" wrapText="1"/>
    </xf>
    <xf numFmtId="0" fontId="0" fillId="45" borderId="0" applyAlignment="1" pivotButton="0" quotePrefix="0" xfId="0">
      <alignment horizontal="left" vertical="center" wrapText="1"/>
    </xf>
    <xf numFmtId="0" fontId="0" fillId="45" borderId="0" applyAlignment="1" pivotButton="0" quotePrefix="0" xfId="0">
      <alignment horizontal="center" vertical="center" wrapText="1"/>
    </xf>
    <xf numFmtId="0" fontId="0" fillId="106" borderId="0" applyAlignment="1" pivotButton="0" quotePrefix="0" xfId="0">
      <alignment horizontal="left" vertical="center" wrapText="1"/>
    </xf>
    <xf numFmtId="0" fontId="1" fillId="106" borderId="0" applyAlignment="1" pivotButton="0" quotePrefix="0" xfId="0">
      <alignment horizontal="center" wrapText="1"/>
    </xf>
    <xf numFmtId="0" fontId="0" fillId="106" borderId="0" applyAlignment="1" pivotButton="0" quotePrefix="0" xfId="0">
      <alignment horizontal="left" vertical="top" wrapText="1"/>
    </xf>
    <xf numFmtId="0" fontId="0" fillId="106" borderId="0" applyAlignment="1" pivotButton="0" quotePrefix="0" xfId="0">
      <alignment horizontal="left" wrapText="1"/>
    </xf>
    <xf numFmtId="168" fontId="0" fillId="45" borderId="0" applyAlignment="1" pivotButton="0" quotePrefix="0" xfId="2">
      <alignment horizontal="left" vertical="center" wrapText="1"/>
    </xf>
    <xf numFmtId="0" fontId="0" fillId="106" borderId="0" applyAlignment="1" pivotButton="0" quotePrefix="0" xfId="0">
      <alignment horizont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top" wrapText="1"/>
    </xf>
    <xf numFmtId="0" fontId="0" fillId="0" borderId="0" applyAlignment="1" pivotButton="0" quotePrefix="0" xfId="0">
      <alignment horizontal="left" wrapText="1"/>
    </xf>
    <xf numFmtId="1" fontId="0" fillId="83" borderId="0" applyAlignment="1" pivotButton="0" quotePrefix="0" xfId="0">
      <alignment horizontal="center" wrapText="1"/>
    </xf>
    <xf numFmtId="0" fontId="0" fillId="83" borderId="0" applyAlignment="1" pivotButton="0" quotePrefix="0" xfId="0">
      <alignment horizontal="center" wrapText="1"/>
    </xf>
    <xf numFmtId="3" fontId="0" fillId="0" borderId="0" applyAlignment="1" pivotButton="0" quotePrefix="0" xfId="0">
      <alignment horizontal="right" vertical="center" wrapText="1"/>
    </xf>
    <xf numFmtId="3" fontId="0" fillId="12" borderId="0" applyAlignment="1" pivotButton="0" quotePrefix="0" xfId="0">
      <alignment horizontal="center" vertical="center" wrapText="1"/>
    </xf>
    <xf numFmtId="0" fontId="7" fillId="2" borderId="0" applyAlignment="1" pivotButton="0" quotePrefix="0" xfId="0">
      <alignment horizontal="right" vertical="center" wrapText="1"/>
    </xf>
    <xf numFmtId="0" fontId="7" fillId="0" borderId="0" applyAlignment="1" pivotButton="0" quotePrefix="0" xfId="0">
      <alignment wrapText="1"/>
    </xf>
    <xf numFmtId="0" fontId="0" fillId="20" borderId="0" applyAlignment="1" pivotButton="0" quotePrefix="0" xfId="0">
      <alignment horizontal="right" vertical="center" wrapText="1"/>
    </xf>
    <xf numFmtId="1" fontId="0" fillId="74" borderId="0" applyAlignment="1" pivotButton="0" quotePrefix="0" xfId="0">
      <alignment horizontal="center" wrapText="1"/>
    </xf>
    <xf numFmtId="0" fontId="0" fillId="74" borderId="0" applyAlignment="1" pivotButton="0" quotePrefix="0" xfId="0">
      <alignment horizontal="center" wrapText="1"/>
    </xf>
    <xf numFmtId="3" fontId="0" fillId="9" borderId="0" applyAlignment="1" pivotButton="0" quotePrefix="0" xfId="0">
      <alignment horizontal="right" vertical="center" wrapText="1"/>
    </xf>
    <xf numFmtId="3" fontId="0" fillId="74" borderId="0" applyAlignment="1" pivotButton="0" quotePrefix="0" xfId="0">
      <alignment horizontal="center" wrapText="1"/>
    </xf>
    <xf numFmtId="0" fontId="7" fillId="97" borderId="0" applyAlignment="1" pivotButton="0" quotePrefix="0" xfId="0">
      <alignment horizontal="center" wrapText="1"/>
    </xf>
    <xf numFmtId="0" fontId="0" fillId="99" borderId="0" applyAlignment="1" pivotButton="0" quotePrefix="0" xfId="0">
      <alignment horizontal="center" wrapText="1"/>
    </xf>
    <xf numFmtId="0" fontId="0" fillId="81" borderId="0" applyAlignment="1" pivotButton="0" quotePrefix="0" xfId="0">
      <alignment horizontal="center" wrapText="1"/>
    </xf>
    <xf numFmtId="0" fontId="0" fillId="53" borderId="0" applyAlignment="1" pivotButton="0" quotePrefix="0" xfId="0">
      <alignment horizontal="center" wrapText="1"/>
    </xf>
    <xf numFmtId="0" fontId="0" fillId="98" borderId="0" applyAlignment="1" pivotButton="0" quotePrefix="0" xfId="0">
      <alignment horizontal="center" wrapText="1"/>
    </xf>
    <xf numFmtId="0" fontId="0" fillId="72" borderId="0" applyAlignment="1" pivotButton="0" quotePrefix="0" xfId="0">
      <alignment horizontal="center" wrapText="1"/>
    </xf>
    <xf numFmtId="0" fontId="0" fillId="89" borderId="0" applyAlignment="1" pivotButton="0" quotePrefix="0" xfId="0">
      <alignment horizontal="center" wrapText="1"/>
    </xf>
    <xf numFmtId="1" fontId="0" fillId="0" borderId="0" applyAlignment="1" pivotButton="0" quotePrefix="0" xfId="0">
      <alignment horizontal="center" wrapText="1"/>
    </xf>
    <xf numFmtId="1" fontId="0" fillId="53" borderId="0" applyAlignment="1" pivotButton="0" quotePrefix="0" xfId="0">
      <alignment horizontal="center" wrapText="1"/>
    </xf>
    <xf numFmtId="0" fontId="0" fillId="85" borderId="0" applyAlignment="1" pivotButton="0" quotePrefix="0" xfId="0">
      <alignment horizontal="center" wrapText="1"/>
    </xf>
    <xf numFmtId="0" fontId="0" fillId="100" borderId="0" applyAlignment="1" pivotButton="0" quotePrefix="0" xfId="0">
      <alignment horizontal="center" wrapText="1"/>
    </xf>
    <xf numFmtId="0" fontId="7" fillId="71" borderId="0" applyAlignment="1" pivotButton="0" quotePrefix="0" xfId="0">
      <alignment horizontal="center" wrapText="1"/>
    </xf>
    <xf numFmtId="0" fontId="0" fillId="82" borderId="0" applyAlignment="1" pivotButton="0" quotePrefix="0" xfId="0">
      <alignment horizontal="center" wrapText="1"/>
    </xf>
    <xf numFmtId="3" fontId="0" fillId="39" borderId="0" applyAlignment="1" pivotButton="0" quotePrefix="0" xfId="0">
      <alignment horizontal="right" vertical="center" wrapText="1"/>
    </xf>
    <xf numFmtId="0" fontId="7" fillId="2" borderId="0" applyAlignment="1" pivotButton="0" quotePrefix="0" xfId="0">
      <alignment horizontal="right" vertical="center"/>
    </xf>
    <xf numFmtId="0" fontId="0" fillId="20" borderId="0" applyAlignment="1" pivotButton="0" quotePrefix="0" xfId="0">
      <alignment horizontal="right" vertical="center"/>
    </xf>
    <xf numFmtId="0" fontId="7" fillId="2" borderId="1" applyAlignment="1" pivotButton="0" quotePrefix="0" xfId="0">
      <alignment horizontal="right" vertical="center" wrapText="1"/>
    </xf>
    <xf numFmtId="0" fontId="7" fillId="0" borderId="1" applyAlignment="1" pivotButton="0" quotePrefix="0" xfId="0">
      <alignment wrapText="1"/>
    </xf>
    <xf numFmtId="0" fontId="0" fillId="47" borderId="0" applyAlignment="1" pivotButton="0" quotePrefix="0" xfId="0">
      <alignment horizontal="center" vertical="center" wrapText="1"/>
    </xf>
    <xf numFmtId="3" fontId="0" fillId="53" borderId="0" applyAlignment="1" pivotButton="0" quotePrefix="0" xfId="0">
      <alignment horizontal="center" vertical="center" wrapText="1"/>
    </xf>
    <xf numFmtId="0" fontId="7" fillId="0" borderId="6" applyAlignment="1" pivotButton="0" quotePrefix="0" xfId="0">
      <alignment wrapText="1"/>
    </xf>
    <xf numFmtId="0" fontId="7" fillId="2" borderId="7" applyAlignment="1" pivotButton="0" quotePrefix="0" xfId="0">
      <alignment horizontal="right" vertical="center" wrapText="1"/>
    </xf>
    <xf numFmtId="0" fontId="7" fillId="0" borderId="8" applyAlignment="1" pivotButton="0" quotePrefix="0" xfId="0">
      <alignment wrapText="1"/>
    </xf>
    <xf numFmtId="0" fontId="7" fillId="0" borderId="9" applyAlignment="1" pivotButton="0" quotePrefix="0" xfId="0">
      <alignment wrapText="1"/>
    </xf>
    <xf numFmtId="0" fontId="14" fillId="20" borderId="0" applyAlignment="1" pivotButton="0" quotePrefix="0" xfId="0">
      <alignment horizontal="right" vertical="center" wrapText="1"/>
    </xf>
    <xf numFmtId="0" fontId="14" fillId="0" borderId="0" applyAlignment="1" pivotButton="0" quotePrefix="0" xfId="0">
      <alignment wrapText="1"/>
    </xf>
    <xf numFmtId="3" fontId="0" fillId="39" borderId="3" applyAlignment="1" pivotButton="0" quotePrefix="0" xfId="0">
      <alignment horizontal="right" vertical="center" wrapText="1"/>
    </xf>
    <xf numFmtId="0" fontId="0" fillId="0" borderId="3" applyAlignment="1" pivotButton="0" quotePrefix="0" xfId="0">
      <alignment wrapText="1"/>
    </xf>
    <xf numFmtId="0" fontId="0" fillId="0" borderId="4" applyAlignment="1" pivotButton="0" quotePrefix="0" xfId="0">
      <alignment wrapText="1"/>
    </xf>
    <xf numFmtId="3" fontId="0" fillId="12" borderId="3" applyAlignment="1" pivotButton="0" quotePrefix="0" xfId="0">
      <alignment horizontal="center" vertical="center" wrapText="1"/>
    </xf>
    <xf numFmtId="0" fontId="0" fillId="0" borderId="5" applyAlignment="1" pivotButton="0" quotePrefix="0" xfId="0">
      <alignment wrapText="1"/>
    </xf>
    <xf numFmtId="0" fontId="0" fillId="2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 applyAlignment="1" pivotButton="0" quotePrefix="0" xfId="0">
      <alignment horizontal="center" vertical="center" wrapText="1"/>
    </xf>
    <xf numFmtId="0" fontId="0" fillId="109" borderId="0" applyAlignment="1" pivotButton="0" quotePrefix="0" xfId="0">
      <alignment horizontal="center" wrapText="1"/>
    </xf>
    <xf numFmtId="167" fontId="9" fillId="59" borderId="0" applyAlignment="1" pivotButton="0" quotePrefix="0" xfId="0">
      <alignment horizontal="center" vertical="center" wrapText="1"/>
    </xf>
    <xf numFmtId="0" fontId="9" fillId="59" borderId="0" applyAlignment="1" pivotButton="0" quotePrefix="0" xfId="0">
      <alignment horizontal="center" vertical="center" wrapText="1"/>
    </xf>
    <xf numFmtId="167" fontId="0" fillId="0" borderId="0" applyAlignment="1" pivotButton="0" quotePrefix="0" xfId="0">
      <alignment horizontal="center" wrapText="1"/>
    </xf>
    <xf numFmtId="20" fontId="0" fillId="0" borderId="0" applyAlignment="1" pivotButton="0" quotePrefix="0" xfId="0">
      <alignment horizontal="center" wrapText="1"/>
    </xf>
    <xf numFmtId="9" fontId="7" fillId="52" borderId="8" applyAlignment="1" pivotButton="0" quotePrefix="0" xfId="1">
      <alignment horizontal="center" vertical="center" wrapText="1"/>
    </xf>
    <xf numFmtId="9" fontId="7" fillId="52" borderId="9" applyAlignment="1" pivotButton="0" quotePrefix="0" xfId="1">
      <alignment horizontal="center" vertical="center" wrapText="1"/>
    </xf>
    <xf numFmtId="9" fontId="7" fillId="52" borderId="10" applyAlignment="1" pivotButton="0" quotePrefix="0" xfId="1">
      <alignment horizontal="center" vertical="center" wrapText="1"/>
    </xf>
    <xf numFmtId="9" fontId="7" fillId="52" borderId="11" applyAlignment="1" pivotButton="0" quotePrefix="0" xfId="1">
      <alignment horizontal="center" vertical="center" wrapText="1"/>
    </xf>
    <xf numFmtId="9" fontId="7" fillId="52" borderId="12" applyAlignment="1" pivotButton="0" quotePrefix="0" xfId="1">
      <alignment horizontal="center" vertical="center" wrapText="1"/>
    </xf>
    <xf numFmtId="9" fontId="7" fillId="52" borderId="7" applyAlignment="1" pivotButton="0" quotePrefix="0" xfId="1">
      <alignment horizontal="center" vertical="center" wrapText="1"/>
    </xf>
    <xf numFmtId="0" fontId="0" fillId="45" borderId="0" applyAlignment="1" pivotButton="0" quotePrefix="0" xfId="0">
      <alignment horizontal="left" wrapText="1"/>
    </xf>
    <xf numFmtId="0" fontId="0" fillId="45" borderId="0" applyAlignment="1" pivotButton="0" quotePrefix="0" xfId="0">
      <alignment horizontal="center" wrapText="1"/>
    </xf>
    <xf numFmtId="3" fontId="0" fillId="0" borderId="0" applyAlignment="1" pivotButton="0" quotePrefix="0" xfId="0">
      <alignment horizontal="center" vertical="center" wrapText="1"/>
    </xf>
    <xf numFmtId="1" fontId="0" fillId="0" borderId="0" applyAlignment="1" pivotButton="0" quotePrefix="0" xfId="0">
      <alignment horizontal="center" vertical="center" wrapText="1"/>
    </xf>
    <xf numFmtId="9" fontId="0" fillId="0" borderId="0" applyAlignment="1" pivotButton="0" quotePrefix="0" xfId="1">
      <alignment horizontal="center" vertical="center" wrapText="1"/>
    </xf>
    <xf numFmtId="3" fontId="0" fillId="45" borderId="0" applyAlignment="1" pivotButton="0" quotePrefix="0" xfId="0">
      <alignment horizontal="center" wrapText="1"/>
    </xf>
    <xf numFmtId="166" fontId="0" fillId="0" borderId="0" applyAlignment="1" pivotButton="0" quotePrefix="0" xfId="0">
      <alignment horizontal="center" vertical="center" wrapText="1"/>
    </xf>
    <xf numFmtId="3" fontId="0" fillId="45" borderId="0" applyAlignment="1" pivotButton="0" quotePrefix="0" xfId="0">
      <alignment horizontal="center" vertical="center" wrapText="1"/>
    </xf>
    <xf numFmtId="9" fontId="7" fillId="7" borderId="0" applyAlignment="1" pivotButton="0" quotePrefix="0" xfId="1">
      <alignment horizontal="center" vertical="center" wrapText="1"/>
    </xf>
    <xf numFmtId="9" fontId="0" fillId="32" borderId="0" applyAlignment="1" pivotButton="0" quotePrefix="0" xfId="1">
      <alignment horizontal="center" vertical="center" wrapText="1"/>
    </xf>
    <xf numFmtId="0" fontId="9" fillId="0" borderId="0" applyAlignment="1" pivotButton="0" quotePrefix="0" xfId="0">
      <alignment horizontal="left" vertical="top" wrapText="1"/>
    </xf>
    <xf numFmtId="0" fontId="1" fillId="31" borderId="0" applyAlignment="1" pivotButton="0" quotePrefix="0" xfId="0">
      <alignment horizontal="left" vertical="center" wrapText="1"/>
    </xf>
    <xf numFmtId="0" fontId="0" fillId="31" borderId="0" applyAlignment="1" pivotButton="0" quotePrefix="0" xfId="0">
      <alignment horizontal="left" vertical="center" wrapText="1"/>
    </xf>
    <xf numFmtId="0" fontId="12" fillId="4" borderId="0" applyAlignment="1" pivotButton="0" quotePrefix="0" xfId="0">
      <alignment vertical="center" wrapText="1"/>
    </xf>
    <xf numFmtId="0" fontId="12" fillId="0" borderId="0" applyAlignment="1" pivotButton="0" quotePrefix="0" xfId="0">
      <alignment wrapText="1"/>
    </xf>
    <xf numFmtId="0" fontId="1" fillId="0" borderId="0" applyAlignment="1" pivotButton="0" quotePrefix="0" xfId="0">
      <alignment horizontal="center" wrapText="1"/>
    </xf>
    <xf numFmtId="169" fontId="0" fillId="43" borderId="0" applyAlignment="1" pivotButton="0" quotePrefix="0" xfId="0">
      <alignment vertical="center" wrapText="1"/>
    </xf>
    <xf numFmtId="0" fontId="0" fillId="0" borderId="4" pivotButton="0" quotePrefix="0" xfId="0"/>
    <xf numFmtId="0" fontId="0" fillId="0" borderId="2" pivotButton="0" quotePrefix="0" xfId="0"/>
    <xf numFmtId="169" fontId="0" fillId="45" borderId="0" applyAlignment="1" pivotButton="0" quotePrefix="0" xfId="0">
      <alignment vertical="center" wrapText="1"/>
    </xf>
    <xf numFmtId="169" fontId="0" fillId="14" borderId="0" applyAlignment="1" pivotButton="0" quotePrefix="0" xfId="0">
      <alignment vertical="center" wrapText="1"/>
    </xf>
    <xf numFmtId="0" fontId="0" fillId="0" borderId="15" pivotButton="0" quotePrefix="0" xfId="0"/>
    <xf numFmtId="0" fontId="0" fillId="0" borderId="16" pivotButton="0" quotePrefix="0" xfId="0"/>
    <xf numFmtId="168" fontId="7" fillId="102" borderId="0" applyAlignment="1" pivotButton="0" quotePrefix="0" xfId="2">
      <alignment horizontal="center" wrapText="1"/>
    </xf>
    <xf numFmtId="168" fontId="7" fillId="53" borderId="0" applyAlignment="1" pivotButton="0" quotePrefix="0" xfId="2">
      <alignment horizontal="center" wrapText="1"/>
    </xf>
    <xf numFmtId="168" fontId="0" fillId="0" borderId="0" applyAlignment="1" pivotButton="0" quotePrefix="0" xfId="2">
      <alignment wrapText="1"/>
    </xf>
    <xf numFmtId="168" fontId="7" fillId="102" borderId="0" applyAlignment="1" pivotButton="0" quotePrefix="0" xfId="0">
      <alignment horizontal="center" wrapText="1"/>
    </xf>
    <xf numFmtId="165" fontId="0" fillId="0" borderId="0" applyAlignment="1" pivotButton="0" quotePrefix="0" xfId="2">
      <alignment wrapText="1"/>
    </xf>
    <xf numFmtId="165" fontId="0" fillId="67" borderId="0" applyAlignment="1" pivotButton="0" quotePrefix="0" xfId="2">
      <alignment horizontal="center" vertical="center" wrapText="1"/>
    </xf>
    <xf numFmtId="165" fontId="0" fillId="21" borderId="0" applyAlignment="1" pivotButton="0" quotePrefix="0" xfId="2">
      <alignment horizontal="center" vertical="center" wrapText="1"/>
    </xf>
    <xf numFmtId="168" fontId="0" fillId="45" borderId="0" applyAlignment="1" pivotButton="0" quotePrefix="0" xfId="2">
      <alignment horizontal="left" vertical="center" wrapText="1"/>
    </xf>
    <xf numFmtId="165" fontId="0" fillId="0" borderId="3" applyAlignment="1" pivotButton="0" quotePrefix="0" xfId="2">
      <alignment wrapText="1"/>
    </xf>
    <xf numFmtId="165" fontId="0" fillId="0" borderId="2" applyAlignment="1" pivotButton="0" quotePrefix="0" xfId="2">
      <alignment wrapText="1"/>
    </xf>
    <xf numFmtId="165" fontId="0" fillId="52" borderId="0" applyAlignment="1" pivotButton="0" quotePrefix="0" xfId="2">
      <alignment wrapText="1"/>
    </xf>
    <xf numFmtId="3" fontId="0" fillId="12" borderId="5" applyAlignment="1" pivotButton="0" quotePrefix="0" xfId="0">
      <alignment horizontal="center" vertical="center" wrapText="1"/>
    </xf>
    <xf numFmtId="3" fontId="0" fillId="39" borderId="4" applyAlignment="1" pivotButton="0" quotePrefix="0" xfId="0">
      <alignment horizontal="right" vertical="center" wrapText="1"/>
    </xf>
    <xf numFmtId="0" fontId="0" fillId="0" borderId="5" pivotButton="0" quotePrefix="0" xfId="0"/>
    <xf numFmtId="0" fontId="7" fillId="2" borderId="6" applyAlignment="1" pivotButton="0" quotePrefix="0" xfId="0">
      <alignment horizontal="right" vertical="center" wrapText="1"/>
    </xf>
    <xf numFmtId="0" fontId="0" fillId="0" borderId="6" pivotButton="0" quotePrefix="0" xfId="0"/>
    <xf numFmtId="0" fontId="7" fillId="2" borderId="17" applyAlignment="1" pivotButton="0" quotePrefix="0" xfId="0">
      <alignment horizontal="right" vertical="center" wrapText="1"/>
    </xf>
    <xf numFmtId="0" fontId="0" fillId="0" borderId="8" pivotButton="0" quotePrefix="0" xfId="0"/>
    <xf numFmtId="0" fontId="0" fillId="0" borderId="9" pivotButton="0" quotePrefix="0" xfId="0"/>
    <xf numFmtId="167" fontId="9" fillId="59" borderId="0" applyAlignment="1" pivotButton="0" quotePrefix="0" xfId="0">
      <alignment horizontal="center" vertical="center" wrapText="1"/>
    </xf>
    <xf numFmtId="167" fontId="9" fillId="86" borderId="0" applyAlignment="1" pivotButton="0" quotePrefix="0" xfId="0">
      <alignment horizontal="center" vertical="center" wrapText="1"/>
    </xf>
    <xf numFmtId="167" fontId="0" fillId="0" borderId="0" applyAlignment="1" pivotButton="0" quotePrefix="0" xfId="0">
      <alignment horizontal="center" wrapText="1"/>
    </xf>
    <xf numFmtId="9" fontId="7" fillId="52" borderId="18" applyAlignment="1" pivotButton="0" quotePrefix="0" xfId="1">
      <alignment horizontal="center" vertical="center" wrapText="1"/>
    </xf>
    <xf numFmtId="0" fontId="0" fillId="0" borderId="11" pivotButton="0" quotePrefix="0" xfId="0"/>
    <xf numFmtId="0" fontId="0" fillId="0" borderId="12" pivotButton="0" quotePrefix="0" xfId="0"/>
    <xf numFmtId="166" fontId="0" fillId="30" borderId="0" applyAlignment="1" pivotButton="0" quotePrefix="0" xfId="0">
      <alignment horizontal="center" wrapText="1"/>
    </xf>
    <xf numFmtId="166" fontId="0" fillId="52" borderId="0" applyAlignment="1" pivotButton="0" quotePrefix="0" xfId="0">
      <alignment horizontal="center" wrapText="1"/>
    </xf>
    <xf numFmtId="166" fontId="0" fillId="45" borderId="0" applyAlignment="1" pivotButton="0" quotePrefix="0" xfId="0">
      <alignment horizontal="center" vertical="center" wrapText="1"/>
    </xf>
    <xf numFmtId="166" fontId="0" fillId="0" borderId="0" applyAlignment="1" pivotButton="0" quotePrefix="0" xfId="0">
      <alignment horizontal="center" vertical="center" wrapText="1"/>
    </xf>
    <xf numFmtId="166" fontId="0" fillId="45" borderId="0" applyAlignment="1" pivotButton="0" quotePrefix="0" xfId="0">
      <alignment horizontal="center" wrapText="1"/>
    </xf>
    <xf numFmtId="166" fontId="0" fillId="0" borderId="0" applyAlignment="1" pivotButton="0" quotePrefix="0" xfId="0">
      <alignment vertical="center" wrapText="1"/>
    </xf>
  </cellXfs>
  <cellStyles count="4">
    <cellStyle name="Normal" xfId="0" builtinId="0"/>
    <cellStyle name="Percent" xfId="1" builtinId="5"/>
    <cellStyle name="Comma" xfId="2" builtinId="3"/>
    <cellStyle name="Hyperlink" xfId="3" builtinId="8"/>
  </cellStyles>
  <dxfs count="364">
    <dxf>
      <font>
        <color theme="0"/>
      </font>
      <fill>
        <patternFill>
          <bgColor theme="6" tint="-0.499984740745262"/>
        </patternFill>
      </fill>
    </dxf>
    <dxf>
      <fill>
        <patternFill>
          <bgColor rgb="FFFF0000"/>
        </patternFill>
      </fill>
    </dxf>
    <dxf>
      <fill>
        <patternFill>
          <bgColor theme="6" tint="0.5999633777886288"/>
        </patternFill>
      </fill>
    </dxf>
    <dxf>
      <fill>
        <patternFill>
          <bgColor rgb="FFFF0000"/>
        </patternFill>
      </fill>
    </dxf>
    <dxf>
      <fill>
        <patternFill>
          <bgColor theme="6" tint="0.5999633777886288"/>
        </patternFill>
      </fill>
    </dxf>
    <dxf>
      <font>
        <color theme="0"/>
      </font>
      <fill>
        <patternFill>
          <bgColor theme="6" tint="-0.499984740745262"/>
        </patternFill>
      </fill>
    </dxf>
    <dxf>
      <fill>
        <patternFill>
          <bgColor rgb="FFFF0000"/>
        </patternFill>
      </fill>
    </dxf>
    <dxf>
      <fill>
        <patternFill>
          <bgColor theme="6" tint="0.5999633777886288"/>
        </patternFill>
      </fill>
    </dxf>
    <dxf>
      <font>
        <color theme="0"/>
      </font>
      <fill>
        <patternFill>
          <bgColor theme="6" tint="-0.499984740745262"/>
        </patternFill>
      </fill>
    </dxf>
    <dxf>
      <fill>
        <patternFill>
          <bgColor rgb="FFFF0000"/>
        </patternFill>
      </fill>
    </dxf>
    <dxf>
      <fill>
        <patternFill>
          <bgColor theme="6" tint="0.5999633777886288"/>
        </patternFill>
      </fill>
    </dxf>
    <dxf>
      <font>
        <color theme="0"/>
      </font>
      <fill>
        <patternFill>
          <bgColor theme="6" tint="-0.499984740745262"/>
        </patternFill>
      </fill>
    </dxf>
    <dxf>
      <fill>
        <patternFill>
          <bgColor rgb="FFFF0000"/>
        </patternFill>
      </fill>
    </dxf>
    <dxf>
      <fill>
        <patternFill>
          <bgColor theme="6" tint="0.5999633777886288"/>
        </patternFill>
      </fill>
    </dxf>
    <dxf>
      <font>
        <color theme="0"/>
      </font>
      <fill>
        <patternFill>
          <bgColor theme="6" tint="-0.499984740745262"/>
        </patternFill>
      </fill>
    </dxf>
    <dxf>
      <fill>
        <patternFill>
          <bgColor theme="0" tint="-0.249946592608417"/>
        </patternFill>
      </fill>
    </dxf>
    <dxf>
      <font>
        <color theme="0"/>
      </font>
      <fill>
        <patternFill>
          <bgColor theme="1" tint="0.0499893185216834"/>
        </patternFill>
      </fill>
    </dxf>
    <dxf>
      <fill>
        <patternFill>
          <bgColor rgb="FFE26B09"/>
        </patternFill>
      </fill>
    </dxf>
    <dxf>
      <fill>
        <patternFill>
          <bgColor rgb="FFFFEBD9"/>
        </patternFill>
      </fill>
    </dxf>
    <dxf>
      <font>
        <color theme="0"/>
      </font>
      <fill>
        <patternFill>
          <bgColor theme="5" tint="-0.499984740745262"/>
        </patternFill>
      </fill>
    </dxf>
    <dxf>
      <fill>
        <patternFill>
          <bgColor theme="0" tint="-0.249946592608417"/>
        </patternFill>
      </fill>
    </dxf>
    <dxf>
      <font>
        <color theme="0"/>
      </font>
      <fill>
        <patternFill>
          <bgColor theme="1" tint="0.249946592608417"/>
        </patternFill>
      </fill>
    </dxf>
    <dxf>
      <fill>
        <patternFill>
          <bgColor rgb="FF34CE28"/>
        </patternFill>
      </fill>
    </dxf>
    <dxf>
      <fill>
        <patternFill>
          <bgColor rgb="FFE91E61"/>
        </patternFill>
      </fill>
    </dxf>
    <dxf>
      <fill>
        <patternFill>
          <bgColor rgb="FFF89EFD"/>
        </patternFill>
      </fill>
    </dxf>
    <dxf>
      <fill>
        <patternFill>
          <bgColor theme="3" tint="0.7999816888943144"/>
        </patternFill>
      </fill>
    </dxf>
    <dxf>
      <fill>
        <patternFill>
          <bgColor rgb="FFE7FAFE"/>
        </patternFill>
      </fill>
    </dxf>
    <dxf>
      <fill>
        <patternFill>
          <bgColor rgb="FF31A1BB"/>
        </patternFill>
      </fill>
    </dxf>
    <dxf>
      <fill>
        <patternFill>
          <bgColor theme="5" tint="0.3999450666829432"/>
        </patternFill>
      </fill>
    </dxf>
    <dxf>
      <fill>
        <patternFill>
          <bgColor rgb="FFFF0000"/>
        </patternFill>
      </fill>
    </dxf>
    <dxf>
      <fill>
        <patternFill>
          <bgColor theme="5" tint="0.5999633777886288"/>
        </patternFill>
      </fill>
    </dxf>
    <dxf>
      <fill>
        <patternFill>
          <bgColor theme="0" tint="-0.1499679555650502"/>
        </patternFill>
      </fill>
    </dxf>
    <dxf>
      <fill>
        <patternFill>
          <bgColor theme="0" tint="-0.3499862666707358"/>
        </patternFill>
      </fill>
    </dxf>
    <dxf>
      <font>
        <color theme="0"/>
      </font>
      <fill>
        <patternFill>
          <bgColor theme="1" tint="0.3499862666707358"/>
        </patternFill>
      </fill>
    </dxf>
    <dxf>
      <font>
        <color theme="0"/>
      </font>
      <fill>
        <patternFill>
          <bgColor theme="1"/>
        </patternFill>
      </fill>
    </dxf>
    <dxf>
      <fill>
        <patternFill>
          <bgColor theme="8" tint="0.3999450666829432"/>
        </patternFill>
      </fill>
    </dxf>
    <dxf>
      <font>
        <color theme="0"/>
      </font>
      <fill>
        <patternFill>
          <bgColor theme="7" tint="-0.249946592608417"/>
        </patternFill>
      </fill>
    </dxf>
    <dxf>
      <fill>
        <patternFill>
          <bgColor theme="3" tint="0.5999633777886288"/>
        </patternFill>
      </fill>
    </dxf>
    <dxf>
      <font>
        <color theme="0"/>
      </font>
      <fill>
        <patternFill>
          <bgColor theme="3" tint="-0.249946592608417"/>
        </patternFill>
      </fill>
    </dxf>
    <dxf>
      <fill>
        <patternFill>
          <bgColor theme="3" tint="0.3999450666829432"/>
        </patternFill>
      </fill>
    </dxf>
    <dxf>
      <fill>
        <patternFill>
          <bgColor rgb="FFFFFF00"/>
        </patternFill>
      </fill>
    </dxf>
    <dxf>
      <font>
        <color auto="1"/>
      </font>
      <fill>
        <patternFill>
          <bgColor rgb="FFC6D9F2"/>
        </patternFill>
      </fill>
    </dxf>
    <dxf>
      <font>
        <color theme="0"/>
      </font>
      <fill>
        <patternFill>
          <bgColor theme="3" tint="-0.249946592608417"/>
        </patternFill>
      </fill>
    </dxf>
    <dxf>
      <font>
        <color theme="0"/>
      </font>
      <fill>
        <patternFill>
          <bgColor theme="3" tint="-0.499984740745262"/>
        </patternFill>
      </fill>
    </dxf>
    <dxf>
      <font>
        <color theme="0"/>
      </font>
      <fill>
        <patternFill>
          <bgColor theme="4" tint="-0.249946592608417"/>
        </patternFill>
      </fill>
    </dxf>
    <dxf>
      <fill>
        <patternFill>
          <fgColor auto="1"/>
          <bgColor theme="9" tint="0.5999633777886288"/>
        </patternFill>
      </fill>
    </dxf>
    <dxf>
      <fill>
        <patternFill>
          <bgColor theme="9" tint="-0.249946592608417"/>
        </patternFill>
      </fill>
    </dxf>
    <dxf>
      <font>
        <color theme="0"/>
      </font>
      <fill>
        <patternFill>
          <bgColor theme="1"/>
        </patternFill>
      </fill>
    </dxf>
    <dxf>
      <font>
        <color theme="0"/>
      </font>
      <fill>
        <patternFill>
          <bgColor theme="1" tint="0.249946592608417"/>
        </patternFill>
      </fill>
    </dxf>
    <dxf>
      <font>
        <color theme="0"/>
      </font>
      <fill>
        <patternFill>
          <bgColor theme="0" tint="-0.499984740745262"/>
        </patternFill>
      </fill>
    </dxf>
    <dxf>
      <fill>
        <patternFill>
          <bgColor theme="5" tint="-0.249946592608417"/>
        </patternFill>
      </fill>
    </dxf>
    <dxf>
      <font>
        <color rgb="FF9C0006"/>
      </font>
      <fill>
        <patternFill>
          <bgColor rgb="FFFFC7CE"/>
        </patternFill>
      </fill>
    </dxf>
    <dxf>
      <fill>
        <patternFill>
          <bgColor theme="8" tint="0.5999633777886288"/>
        </patternFill>
      </fill>
    </dxf>
    <dxf>
      <fill>
        <patternFill>
          <bgColor theme="6" tint="0.7999816888943144"/>
        </patternFill>
      </fill>
    </dxf>
    <dxf>
      <fill>
        <patternFill>
          <bgColor auto="1"/>
        </patternFill>
      </fill>
    </dxf>
    <dxf>
      <font>
        <color theme="0"/>
      </font>
      <fill>
        <patternFill>
          <bgColor theme="3" tint="-0.249946592608417"/>
        </patternFill>
      </fill>
    </dxf>
    <dxf>
      <fill>
        <patternFill>
          <bgColor rgb="FFFF0000"/>
        </patternFill>
      </fill>
    </dxf>
    <dxf>
      <fill>
        <patternFill>
          <bgColor theme="5"/>
        </patternFill>
      </fill>
    </dxf>
    <dxf>
      <fill>
        <patternFill>
          <bgColor theme="8" tint="0.3999450666829432"/>
        </patternFill>
      </fill>
    </dxf>
    <dxf>
      <fill>
        <patternFill>
          <fgColor theme="8" tint="0.7999511703848384"/>
          <bgColor theme="8" tint="0.7999816888943144"/>
        </patternFill>
      </fill>
    </dxf>
    <dxf>
      <font>
        <color theme="0"/>
      </font>
      <fill>
        <patternFill>
          <bgColor theme="8" tint="-0.249946592608417"/>
        </patternFill>
      </fill>
    </dxf>
    <dxf>
      <font>
        <color theme="0"/>
      </font>
      <fill>
        <patternFill>
          <fgColor theme="8" tint="-0.499984740745262"/>
          <bgColor theme="8" tint="-0.499984740745262"/>
        </patternFill>
      </fill>
    </dxf>
    <dxf>
      <fill>
        <patternFill>
          <bgColor theme="9" tint="-0.249946592608417"/>
        </patternFill>
      </fill>
    </dxf>
    <dxf>
      <fill>
        <patternFill>
          <bgColor theme="9" tint="0.7999816888943144"/>
        </patternFill>
      </fill>
    </dxf>
    <dxf>
      <fill>
        <patternFill>
          <bgColor rgb="FFF13DF5"/>
        </patternFill>
      </fill>
    </dxf>
    <dxf>
      <fill>
        <patternFill>
          <bgColor rgb="FFF89EFB"/>
        </patternFill>
      </fill>
    </dxf>
    <dxf>
      <font>
        <color theme="0"/>
      </font>
      <fill>
        <patternFill>
          <bgColor rgb="FF403151"/>
        </patternFill>
      </fill>
    </dxf>
    <dxf>
      <font>
        <color theme="0"/>
      </font>
      <fill>
        <patternFill>
          <bgColor rgb="FFB1A0C7"/>
        </patternFill>
      </fill>
    </dxf>
    <dxf>
      <font>
        <color theme="0"/>
      </font>
      <fill>
        <patternFill>
          <bgColor rgb="FF063E8E"/>
        </patternFill>
      </fill>
    </dxf>
    <dxf>
      <fill>
        <patternFill>
          <bgColor rgb="FFCCF7FF"/>
        </patternFill>
      </fill>
    </dxf>
    <dxf>
      <fill>
        <patternFill>
          <bgColor rgb="FF2EAA26"/>
        </patternFill>
      </fill>
    </dxf>
    <dxf>
      <font>
        <color theme="0"/>
      </font>
      <fill>
        <patternFill>
          <bgColor rgb="FF00EA00"/>
        </patternFill>
      </fill>
    </dxf>
    <dxf>
      <fill>
        <patternFill>
          <bgColor rgb="FFD0FBA3"/>
        </patternFill>
      </fill>
    </dxf>
    <dxf>
      <font>
        <color theme="0"/>
      </font>
      <fill>
        <patternFill>
          <bgColor theme="5" tint="-0.499984740745262"/>
        </patternFill>
      </fill>
    </dxf>
    <dxf>
      <fill>
        <patternFill>
          <bgColor theme="5" tint="0.3999450666829432"/>
        </patternFill>
      </fill>
    </dxf>
    <dxf>
      <fill>
        <patternFill>
          <bgColor theme="0" tint="-0.1499679555650502"/>
        </patternFill>
      </fill>
    </dxf>
    <dxf>
      <fill>
        <patternFill>
          <bgColor theme="0" tint="-0.1499679555650502"/>
        </patternFill>
      </fill>
    </dxf>
    <dxf>
      <font>
        <color theme="0"/>
      </font>
      <fill>
        <patternFill>
          <bgColor theme="3" tint="-0.499984740745262"/>
        </patternFill>
      </fill>
    </dxf>
    <dxf>
      <fill>
        <patternFill>
          <bgColor theme="3" tint="0.5999633777886288"/>
        </patternFill>
      </fill>
    </dxf>
    <dxf>
      <font>
        <color theme="0"/>
      </font>
      <fill>
        <patternFill>
          <bgColor theme="1" tint="0.249946592608417"/>
        </patternFill>
      </fill>
    </dxf>
    <dxf>
      <fill>
        <patternFill>
          <bgColor theme="0" tint="-0.249946592608417"/>
        </patternFill>
      </fill>
    </dxf>
    <dxf>
      <font>
        <color theme="1"/>
      </font>
      <fill>
        <patternFill>
          <bgColor theme="5" tint="-0.249946592608417"/>
        </patternFill>
      </fill>
    </dxf>
    <dxf>
      <fill>
        <patternFill>
          <bgColor theme="5" tint="0.5999633777886288"/>
        </patternFill>
      </fill>
    </dxf>
    <dxf>
      <fill>
        <patternFill>
          <bgColor theme="6" tint="0.5999633777886288"/>
        </patternFill>
      </fill>
    </dxf>
    <dxf>
      <font>
        <color theme="0"/>
      </font>
      <fill>
        <patternFill>
          <bgColor theme="1" tint="0.0499893185216834"/>
        </patternFill>
      </fill>
    </dxf>
    <dxf>
      <fill>
        <patternFill>
          <bgColor theme="0" tint="-0.249946592608417"/>
        </patternFill>
      </fill>
    </dxf>
    <dxf>
      <font>
        <color theme="0"/>
      </font>
      <fill>
        <patternFill>
          <bgColor theme="8" tint="-0.499984740745262"/>
        </patternFill>
      </fill>
    </dxf>
    <dxf>
      <font>
        <color theme="0"/>
      </font>
      <fill>
        <patternFill>
          <bgColor theme="8" tint="-0.249946592608417"/>
        </patternFill>
      </fill>
    </dxf>
    <dxf>
      <fill>
        <patternFill>
          <bgColor theme="8" tint="0.3999450666829432"/>
        </patternFill>
      </fill>
    </dxf>
    <dxf>
      <fill>
        <patternFill>
          <bgColor rgb="FFAA7505"/>
        </patternFill>
      </fill>
    </dxf>
    <dxf>
      <fill>
        <patternFill>
          <bgColor rgb="FF01643D"/>
        </patternFill>
      </fill>
    </dxf>
    <dxf>
      <fill>
        <patternFill>
          <bgColor theme="9"/>
        </patternFill>
      </fill>
    </dxf>
    <dxf>
      <font>
        <color theme="0"/>
      </font>
      <fill>
        <patternFill>
          <bgColor theme="7" tint="-0.499984740745262"/>
        </patternFill>
      </fill>
    </dxf>
    <dxf>
      <fill>
        <patternFill>
          <bgColor rgb="FF9DE9FB"/>
        </patternFill>
      </fill>
    </dxf>
    <dxf>
      <fill>
        <patternFill>
          <bgColor rgb="FF00B0F0"/>
        </patternFill>
      </fill>
    </dxf>
    <dxf>
      <fill>
        <patternFill>
          <bgColor theme="7"/>
        </patternFill>
      </fill>
    </dxf>
    <dxf>
      <fill>
        <patternFill>
          <bgColor rgb="FFF89EFD"/>
        </patternFill>
      </fill>
    </dxf>
    <dxf>
      <font>
        <color theme="0"/>
      </font>
      <fill>
        <patternFill>
          <fgColor theme="0"/>
          <bgColor theme="3" tint="-0.499984740745262"/>
        </patternFill>
      </fill>
    </dxf>
    <dxf>
      <font>
        <color theme="0"/>
      </font>
      <fill>
        <patternFill>
          <bgColor rgb="FFFB15FF"/>
        </patternFill>
      </fill>
    </dxf>
    <dxf>
      <fill>
        <patternFill>
          <bgColor theme="3"/>
        </patternFill>
      </fill>
    </dxf>
    <dxf>
      <font>
        <color theme="0"/>
      </font>
      <fill>
        <patternFill>
          <bgColor theme="8" tint="-0.499984740745262"/>
        </patternFill>
      </fill>
    </dxf>
    <dxf>
      <fill>
        <patternFill>
          <bgColor theme="9" tint="-0.249946592608417"/>
        </patternFill>
      </fill>
    </dxf>
    <dxf>
      <fill>
        <patternFill>
          <bgColor rgb="FF2CAB21"/>
        </patternFill>
      </fill>
    </dxf>
    <dxf>
      <fill>
        <patternFill>
          <bgColor theme="9"/>
        </patternFill>
      </fill>
    </dxf>
    <dxf>
      <font>
        <color theme="0"/>
      </font>
      <fill>
        <patternFill>
          <bgColor theme="3"/>
        </patternFill>
      </fill>
    </dxf>
    <dxf>
      <fill>
        <patternFill>
          <bgColor rgb="FF2BAA1F"/>
        </patternFill>
      </fill>
    </dxf>
    <dxf>
      <font>
        <color theme="0"/>
      </font>
      <fill>
        <patternFill>
          <bgColor rgb="FF183A63"/>
        </patternFill>
      </fill>
    </dxf>
    <dxf>
      <fill>
        <patternFill>
          <bgColor theme="3" tint="0.3999450666829432"/>
        </patternFill>
      </fill>
    </dxf>
    <dxf>
      <fill>
        <patternFill>
          <bgColor theme="8" tint="-0.249946592608417"/>
        </patternFill>
      </fill>
    </dxf>
    <dxf>
      <font>
        <color theme="0"/>
      </font>
      <fill>
        <patternFill>
          <bgColor rgb="FF1F497D"/>
        </patternFill>
      </fill>
    </dxf>
    <dxf>
      <font>
        <color theme="0"/>
      </font>
      <fill>
        <patternFill>
          <bgColor theme="5" tint="-0.499984740745262"/>
        </patternFill>
      </fill>
    </dxf>
    <dxf>
      <font>
        <color theme="0"/>
      </font>
      <fill>
        <patternFill>
          <bgColor rgb="FF183A63"/>
        </patternFill>
      </fill>
    </dxf>
    <dxf>
      <fill>
        <patternFill>
          <bgColor rgb="FFF13DF5"/>
        </patternFill>
      </fill>
    </dxf>
    <dxf>
      <fill>
        <patternFill>
          <bgColor rgb="FFF89EFC"/>
        </patternFill>
      </fill>
    </dxf>
    <dxf>
      <font>
        <color theme="0"/>
      </font>
      <fill>
        <patternFill>
          <bgColor rgb="FF660200"/>
        </patternFill>
      </fill>
    </dxf>
    <dxf>
      <fill>
        <patternFill>
          <bgColor rgb="FF00A3EE"/>
        </patternFill>
      </fill>
    </dxf>
    <dxf>
      <fill>
        <patternFill>
          <bgColor rgb="FF00A3EE"/>
        </patternFill>
      </fill>
    </dxf>
    <dxf>
      <font>
        <color theme="0"/>
      </font>
      <fill>
        <patternFill>
          <bgColor rgb="FF660200"/>
        </patternFill>
      </fill>
    </dxf>
    <dxf>
      <fill>
        <patternFill>
          <bgColor rgb="FF00A3EE"/>
        </patternFill>
      </fill>
    </dxf>
    <dxf>
      <font>
        <color theme="0"/>
      </font>
      <fill>
        <patternFill>
          <bgColor rgb="FF660200"/>
        </patternFill>
      </fill>
    </dxf>
    <dxf>
      <fill>
        <patternFill>
          <bgColor rgb="FF00A3EE"/>
        </patternFill>
      </fill>
    </dxf>
    <dxf>
      <font>
        <color theme="0"/>
      </font>
      <fill>
        <patternFill>
          <bgColor rgb="FF660200"/>
        </patternFill>
      </fill>
    </dxf>
    <dxf>
      <fill>
        <patternFill>
          <bgColor rgb="FF00A3EE"/>
        </patternFill>
      </fill>
    </dxf>
    <dxf>
      <font>
        <color theme="0"/>
      </font>
      <fill>
        <patternFill>
          <bgColor rgb="FF660200"/>
        </patternFill>
      </fill>
    </dxf>
    <dxf>
      <fill>
        <patternFill>
          <bgColor rgb="FFFF0000"/>
        </patternFill>
      </fill>
    </dxf>
    <dxf>
      <fill>
        <patternFill>
          <bgColor rgb="FFFF0000"/>
        </patternFill>
      </fill>
    </dxf>
    <dxf>
      <fill>
        <patternFill>
          <bgColor rgb="FF208117"/>
        </patternFill>
      </fill>
    </dxf>
    <dxf>
      <fill>
        <patternFill>
          <bgColor rgb="FF2CAB21"/>
        </patternFill>
      </fill>
    </dxf>
    <dxf>
      <fill>
        <patternFill>
          <bgColor rgb="FF7030A0"/>
        </patternFill>
      </fill>
    </dxf>
    <dxf>
      <fill>
        <patternFill>
          <bgColor rgb="FFAC4949"/>
        </patternFill>
      </fill>
    </dxf>
    <dxf>
      <fill>
        <patternFill>
          <bgColor theme="5"/>
        </patternFill>
      </fill>
    </dxf>
    <dxf>
      <fill>
        <patternFill>
          <bgColor rgb="FF7030A0"/>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bgColor theme="9"/>
        </patternFill>
      </fill>
    </dxf>
    <dxf>
      <fill>
        <patternFill>
          <bgColor rgb="FFFB15FF"/>
        </patternFill>
      </fill>
    </dxf>
    <dxf>
      <fill>
        <patternFill>
          <bgColor rgb="FFFFEBFF"/>
        </patternFill>
      </fill>
    </dxf>
    <dxf>
      <font>
        <color theme="0"/>
      </font>
      <fill>
        <patternFill>
          <bgColor rgb="FFBF0BC3"/>
        </patternFill>
      </fill>
    </dxf>
    <dxf>
      <fill>
        <patternFill>
          <bgColor rgb="FFF89EFB"/>
        </patternFill>
      </fill>
    </dxf>
    <dxf>
      <fill>
        <patternFill>
          <bgColor rgb="FFF89EFD"/>
        </patternFill>
      </fill>
    </dxf>
    <dxf>
      <fill>
        <patternFill>
          <bgColor rgb="FFF13DF5"/>
        </patternFill>
      </fill>
    </dxf>
    <dxf>
      <fill>
        <patternFill>
          <bgColor rgb="FFF89EFD"/>
        </patternFill>
      </fill>
    </dxf>
    <dxf>
      <font>
        <color theme="0"/>
      </font>
      <fill>
        <patternFill>
          <bgColor rgb="FFBF0BC3"/>
        </patternFill>
      </fill>
    </dxf>
    <dxf>
      <font>
        <color rgb="FF9C5700"/>
      </font>
      <fill>
        <patternFill>
          <bgColor rgb="FFFFEB9C"/>
        </patternFill>
      </fill>
    </dxf>
    <dxf>
      <fill>
        <patternFill>
          <bgColor rgb="FFFB15FF"/>
        </patternFill>
      </fill>
    </dxf>
    <dxf>
      <fill>
        <patternFill>
          <bgColor rgb="FFF13DF5"/>
        </patternFill>
      </fill>
    </dxf>
    <dxf>
      <font>
        <color theme="0"/>
      </font>
      <fill>
        <patternFill>
          <bgColor theme="4" tint="-0.499984740745262"/>
        </patternFill>
      </fill>
    </dxf>
    <dxf>
      <fill>
        <patternFill>
          <bgColor theme="3" tint="0.5999633777886288"/>
        </patternFill>
      </fill>
    </dxf>
    <dxf>
      <font>
        <color theme="0"/>
      </font>
      <fill>
        <patternFill>
          <bgColor theme="1"/>
        </patternFill>
      </fill>
    </dxf>
    <dxf>
      <font>
        <color rgb="FF9C5700"/>
      </font>
      <fill>
        <patternFill>
          <bgColor rgb="FFFFEB9C"/>
        </patternFill>
      </fill>
    </dxf>
    <dxf>
      <fill>
        <patternFill>
          <bgColor theme="4"/>
        </patternFill>
      </fill>
    </dxf>
    <dxf>
      <fill>
        <patternFill>
          <bgColor theme="4"/>
        </patternFill>
      </fill>
    </dxf>
    <dxf>
      <font>
        <color theme="0"/>
      </font>
      <fill>
        <patternFill>
          <bgColor theme="3" tint="-0.249946592608417"/>
        </patternFill>
      </fill>
    </dxf>
    <dxf>
      <fill>
        <patternFill>
          <bgColor rgb="FF00B0F0"/>
        </patternFill>
      </fill>
    </dxf>
    <dxf>
      <fill>
        <patternFill>
          <bgColor theme="9" tint="-0.249946592608417"/>
        </patternFill>
      </fill>
    </dxf>
    <dxf>
      <font>
        <color auto="1"/>
      </font>
      <fill>
        <patternFill>
          <fgColor theme="2" tint="-0.499984740745262"/>
        </patternFill>
      </fill>
    </dxf>
    <dxf>
      <fill>
        <patternFill>
          <bgColor rgb="FFB05B08"/>
        </patternFill>
      </fill>
    </dxf>
    <dxf>
      <fill>
        <patternFill>
          <bgColor rgb="FFFECA54"/>
        </patternFill>
      </fill>
    </dxf>
    <dxf>
      <fill>
        <patternFill>
          <bgColor theme="9" tint="0.7999816888943144"/>
        </patternFill>
      </fill>
    </dxf>
    <dxf>
      <fill>
        <patternFill>
          <bgColor theme="9"/>
        </patternFill>
      </fill>
    </dxf>
    <dxf>
      <fill>
        <patternFill>
          <fgColor theme="6" tint="0.5999633777886288"/>
          <bgColor theme="6" tint="0.5999633777886288"/>
        </patternFill>
      </fill>
    </dxf>
    <dxf>
      <fill>
        <patternFill>
          <bgColor rgb="FF92D050"/>
        </patternFill>
      </fill>
    </dxf>
    <dxf>
      <fill>
        <patternFill>
          <fgColor theme="6" tint="0.5999633777886288"/>
          <bgColor theme="6" tint="0.5999633777886288"/>
        </patternFill>
      </fill>
    </dxf>
    <dxf>
      <fill>
        <patternFill>
          <bgColor theme="6" tint="-0.499984740745262"/>
        </patternFill>
      </fill>
    </dxf>
    <dxf>
      <fill>
        <patternFill>
          <bgColor theme="5" tint="0.3999450666829432"/>
        </patternFill>
      </fill>
    </dxf>
    <dxf>
      <fill>
        <patternFill>
          <bgColor theme="5" tint="0.7999816888943144"/>
        </patternFill>
      </fill>
    </dxf>
    <dxf>
      <fill>
        <patternFill>
          <bgColor rgb="FFC00000"/>
        </patternFill>
      </fill>
    </dxf>
    <dxf>
      <fill>
        <patternFill>
          <bgColor rgb="FFFF0000"/>
        </patternFill>
      </fill>
    </dxf>
    <dxf>
      <fill>
        <patternFill>
          <bgColor rgb="FFFF0000"/>
        </patternFill>
      </fill>
    </dxf>
    <dxf>
      <font>
        <color rgb="FF9C0006"/>
      </font>
      <fill>
        <patternFill>
          <bgColor rgb="FFFFC7CE"/>
        </patternFill>
      </fill>
    </dxf>
    <dxf>
      <font>
        <color theme="0"/>
      </font>
      <fill>
        <patternFill>
          <bgColor rgb="FF660200"/>
        </patternFill>
      </fill>
    </dxf>
    <dxf>
      <font>
        <color theme="0"/>
      </font>
      <fill>
        <patternFill>
          <bgColor rgb="FF660200"/>
        </patternFill>
      </fill>
    </dxf>
    <dxf>
      <font>
        <color rgb="FF9C0006"/>
      </font>
      <fill>
        <patternFill>
          <bgColor rgb="FFFFC7CE"/>
        </patternFill>
      </fill>
    </dxf>
    <dxf>
      <font>
        <color theme="0"/>
      </font>
      <fill>
        <patternFill>
          <bgColor theme="8" tint="-0.499984740745262"/>
        </patternFill>
      </fill>
    </dxf>
    <dxf>
      <fill>
        <patternFill>
          <bgColor theme="7" tint="0.7999816888943144"/>
        </patternFill>
      </fill>
    </dxf>
    <dxf>
      <fill>
        <patternFill>
          <fgColor theme="0"/>
        </patternFill>
      </fill>
    </dxf>
    <dxf>
      <font>
        <color rgb="FF006100"/>
      </font>
      <fill>
        <patternFill>
          <bgColor rgb="FFC6EFCE"/>
        </patternFill>
      </fill>
    </dxf>
    <dxf>
      <font>
        <color rgb="FF9C5700"/>
      </font>
      <fill>
        <patternFill>
          <bgColor rgb="FFFFEB9C"/>
        </patternFill>
      </fill>
    </dxf>
    <dxf>
      <fill>
        <patternFill>
          <fgColor auto="1"/>
          <bgColor theme="9" tint="0.5999633777886288"/>
        </patternFill>
      </fill>
    </dxf>
    <dxf>
      <font>
        <color rgb="FF9C0006"/>
      </font>
      <fill>
        <patternFill>
          <bgColor rgb="FFFFC7CE"/>
        </patternFill>
      </fill>
    </dxf>
    <dxf>
      <fill>
        <patternFill>
          <bgColor theme="0"/>
        </patternFill>
      </fill>
    </dxf>
    <dxf>
      <fill>
        <patternFill>
          <bgColor rgb="FF00FA00"/>
        </patternFill>
      </fill>
    </dxf>
    <dxf>
      <fill>
        <patternFill>
          <bgColor theme="6" tint="0.5999633777886288"/>
        </patternFill>
      </fill>
    </dxf>
    <dxf>
      <font>
        <color rgb="FF9C5700"/>
      </font>
      <fill>
        <patternFill>
          <bgColor rgb="FFFFEB9C"/>
        </patternFill>
      </fill>
    </dxf>
    <dxf>
      <fill>
        <patternFill>
          <bgColor rgb="FF00B050"/>
        </patternFill>
      </fill>
    </dxf>
    <dxf>
      <fill>
        <patternFill>
          <bgColor theme="9" tint="0.3999450666829432"/>
        </patternFill>
      </fill>
    </dxf>
    <dxf>
      <fill>
        <patternFill>
          <bgColor theme="8"/>
        </patternFill>
      </fill>
    </dxf>
    <dxf>
      <fill>
        <patternFill>
          <bgColor auto="1"/>
        </patternFill>
      </fill>
    </dxf>
    <dxf>
      <fill>
        <patternFill>
          <bgColor auto="1"/>
        </patternFill>
      </fill>
    </dxf>
    <dxf>
      <fill>
        <patternFill>
          <bgColor theme="8"/>
        </patternFill>
      </fill>
    </dxf>
    <dxf>
      <fill>
        <patternFill>
          <bgColor theme="0"/>
        </patternFill>
      </fill>
    </dxf>
    <dxf>
      <font>
        <color rgb="FF9C0006"/>
      </font>
      <fill>
        <patternFill>
          <bgColor rgb="FFFFC7CE"/>
        </patternFill>
      </fill>
    </dxf>
    <dxf>
      <fill>
        <patternFill>
          <bgColor theme="9" tint="0.3999450666829432"/>
        </patternFill>
      </fill>
    </dxf>
    <dxf>
      <font>
        <color rgb="FF9C5700"/>
      </font>
      <fill>
        <patternFill>
          <bgColor rgb="FFFFEB9C"/>
        </patternFill>
      </fill>
    </dxf>
    <dxf>
      <font>
        <color rgb="FF006100"/>
      </font>
      <fill>
        <patternFill>
          <bgColor rgb="FFC6EFCE"/>
        </patternFill>
      </fill>
    </dxf>
    <dxf>
      <fill>
        <patternFill>
          <bgColor theme="0"/>
        </patternFill>
      </fill>
    </dxf>
    <dxf>
      <fill>
        <patternFill>
          <bgColor rgb="FFFF0000"/>
        </patternFill>
      </fill>
    </dxf>
    <dxf>
      <fill>
        <patternFill>
          <bgColor rgb="FF00FA00"/>
        </patternFill>
      </fill>
    </dxf>
    <dxf>
      <fill>
        <patternFill>
          <bgColor rgb="FF00B050"/>
        </patternFill>
      </fill>
    </dxf>
    <dxf>
      <font>
        <color rgb="FF9C5700"/>
      </font>
      <fill>
        <patternFill>
          <bgColor rgb="FFFFEB9C"/>
        </patternFill>
      </fill>
    </dxf>
    <dxf>
      <fill>
        <patternFill>
          <bgColor theme="0"/>
        </patternFill>
      </fill>
    </dxf>
    <dxf>
      <fill>
        <patternFill>
          <bgColor theme="6" tint="0.5999633777886288"/>
        </patternFill>
      </fill>
    </dxf>
    <dxf>
      <fill>
        <patternFill>
          <bgColor theme="8" tint="0.5999633777886288"/>
        </patternFill>
      </fill>
    </dxf>
    <dxf>
      <fill>
        <patternFill>
          <bgColor theme="8" tint="0.3999450666829432"/>
        </patternFill>
      </fill>
    </dxf>
    <dxf>
      <font>
        <color theme="0"/>
      </font>
      <fill>
        <patternFill>
          <bgColor theme="8" tint="-0.249946592608417"/>
        </patternFill>
      </fill>
    </dxf>
    <dxf>
      <fill>
        <patternFill>
          <bgColor theme="6" tint="-0.249946592608417"/>
        </patternFill>
      </fill>
    </dxf>
    <dxf>
      <font>
        <color rgb="FF006100"/>
      </font>
      <fill>
        <patternFill>
          <bgColor rgb="FFC6EFCE"/>
        </patternFill>
      </fill>
    </dxf>
    <dxf>
      <font>
        <color rgb="FF9C5700"/>
      </font>
      <fill>
        <patternFill>
          <bgColor rgb="FFFFEB9C"/>
        </patternFill>
      </fill>
    </dxf>
    <dxf>
      <fill>
        <patternFill>
          <bgColor theme="0"/>
        </patternFill>
      </fill>
    </dxf>
    <dxf>
      <fill>
        <patternFill>
          <bgColor theme="9" tint="0.3999450666829432"/>
        </patternFill>
      </fill>
    </dxf>
    <dxf>
      <fill>
        <patternFill>
          <bgColor rgb="FFCCF7FF"/>
        </patternFill>
      </fill>
    </dxf>
    <dxf>
      <fill>
        <patternFill>
          <bgColor rgb="FF299F1D"/>
        </patternFill>
      </fill>
    </dxf>
    <dxf>
      <fill>
        <patternFill>
          <bgColor theme="8" tint="-0.249946592608417"/>
        </patternFill>
      </fill>
    </dxf>
    <dxf>
      <fill>
        <patternFill>
          <bgColor theme="6" tint="0.7999816888943144"/>
        </patternFill>
      </fill>
    </dxf>
    <dxf>
      <fill>
        <patternFill>
          <bgColor rgb="FFC79EFA"/>
        </patternFill>
      </fill>
    </dxf>
    <dxf>
      <fill>
        <patternFill>
          <bgColor rgb="FFCCF7FF"/>
        </patternFill>
      </fill>
    </dxf>
    <dxf>
      <fill>
        <patternFill>
          <bgColor rgb="FFCCF7FF"/>
        </patternFill>
      </fill>
    </dxf>
    <dxf>
      <font>
        <color theme="0"/>
      </font>
      <fill>
        <patternFill>
          <bgColor rgb="FF15355C"/>
        </patternFill>
      </fill>
    </dxf>
    <dxf>
      <font>
        <color theme="0"/>
      </font>
      <fill>
        <patternFill>
          <bgColor theme="7" tint="-0.499984740745262"/>
        </patternFill>
      </fill>
    </dxf>
    <dxf>
      <font>
        <color theme="0"/>
      </font>
      <fill>
        <patternFill>
          <bgColor theme="1" tint="0.249946592608417"/>
        </patternFill>
      </fill>
    </dxf>
    <dxf>
      <fill>
        <patternFill>
          <bgColor theme="0" tint="-0.249946592608417"/>
        </patternFill>
      </fill>
    </dxf>
    <dxf>
      <font>
        <color theme="0"/>
      </font>
      <fill>
        <patternFill>
          <bgColor theme="1" tint="0.249946592608417"/>
        </patternFill>
      </fill>
    </dxf>
    <dxf>
      <fill>
        <patternFill>
          <bgColor rgb="FFFB15FF"/>
        </patternFill>
      </fill>
    </dxf>
    <dxf>
      <fill>
        <patternFill>
          <bgColor rgb="FFF89EFC"/>
        </patternFill>
      </fill>
    </dxf>
    <dxf>
      <fill>
        <patternFill>
          <bgColor rgb="FFFFFF00"/>
        </patternFill>
      </fill>
    </dxf>
    <dxf>
      <fill>
        <patternFill>
          <bgColor theme="3" tint="0.7999816888943144"/>
        </patternFill>
      </fill>
    </dxf>
    <dxf>
      <font>
        <color theme="0"/>
      </font>
      <fill>
        <patternFill>
          <bgColor theme="3" tint="-0.499984740745262"/>
        </patternFill>
      </fill>
    </dxf>
    <dxf>
      <font>
        <color theme="0"/>
      </font>
      <fill>
        <patternFill>
          <bgColor theme="7" tint="0.3999450666829432"/>
        </patternFill>
      </fill>
    </dxf>
    <dxf>
      <font>
        <color theme="0"/>
      </font>
      <fill>
        <patternFill>
          <bgColor theme="7" tint="-0.499984740745262"/>
        </patternFill>
      </fill>
    </dxf>
    <dxf>
      <fill>
        <patternFill>
          <bgColor theme="9" tint="-0.249946592608417"/>
        </patternFill>
      </fill>
    </dxf>
    <dxf>
      <fill>
        <patternFill>
          <bgColor theme="9" tint="0.3999450666829432"/>
        </patternFill>
      </fill>
    </dxf>
    <dxf>
      <font>
        <color theme="0"/>
      </font>
      <fill>
        <patternFill>
          <bgColor rgb="FF1F497D"/>
        </patternFill>
      </fill>
    </dxf>
    <dxf>
      <fill>
        <patternFill>
          <bgColor rgb="FF538AD2"/>
        </patternFill>
      </fill>
    </dxf>
    <dxf>
      <fill>
        <patternFill>
          <bgColor theme="0" tint="-0.249946592608417"/>
        </patternFill>
      </fill>
    </dxf>
    <dxf>
      <fill>
        <patternFill>
          <bgColor rgb="FFBED0E8"/>
        </patternFill>
      </fill>
    </dxf>
    <dxf>
      <fill>
        <patternFill>
          <bgColor rgb="FFD8D8D8"/>
        </patternFill>
      </fill>
    </dxf>
    <dxf>
      <fill>
        <patternFill>
          <bgColor rgb="FFC6D9F2"/>
        </patternFill>
      </fill>
    </dxf>
    <dxf>
      <fill>
        <patternFill>
          <bgColor rgb="FFFFFF00"/>
        </patternFill>
      </fill>
    </dxf>
    <dxf>
      <fill>
        <patternFill>
          <bgColor theme="7" tint="0.3999450666829432"/>
        </patternFill>
      </fill>
    </dxf>
    <dxf>
      <font>
        <color theme="0"/>
      </font>
      <fill>
        <patternFill>
          <bgColor theme="7" tint="-0.249946592608417"/>
        </patternFill>
      </fill>
    </dxf>
    <dxf>
      <font>
        <color theme="0"/>
      </font>
      <fill>
        <patternFill>
          <fgColor rgb="FF002060"/>
          <bgColor theme="7" tint="-0.499984740745262"/>
        </patternFill>
      </fill>
    </dxf>
    <dxf>
      <fill>
        <patternFill>
          <bgColor theme="7" tint="0.5999633777886288"/>
        </patternFill>
      </fill>
    </dxf>
    <dxf>
      <fill>
        <patternFill>
          <bgColor theme="4" tint="0.7999816888943144"/>
        </patternFill>
      </fill>
    </dxf>
    <dxf>
      <font>
        <color theme="0"/>
      </font>
      <fill>
        <patternFill>
          <bgColor theme="3" tint="-0.249946592608417"/>
        </patternFill>
      </fill>
    </dxf>
    <dxf>
      <font>
        <color theme="0"/>
      </font>
      <fill>
        <patternFill>
          <bgColor rgb="FF7030A0"/>
        </patternFill>
      </fill>
    </dxf>
    <dxf>
      <fill>
        <patternFill>
          <fgColor auto="1"/>
          <bgColor theme="7" tint="0.5999633777886288"/>
        </patternFill>
      </fill>
    </dxf>
    <dxf>
      <fill>
        <patternFill>
          <bgColor theme="9" tint="0.7999816888943144"/>
        </patternFill>
      </fill>
    </dxf>
    <dxf>
      <fill>
        <patternFill>
          <fgColor rgb="FFFFC000"/>
          <bgColor theme="9" tint="0.5999633777886288"/>
        </patternFill>
      </fill>
    </dxf>
    <dxf>
      <fill>
        <patternFill>
          <fgColor theme="9" tint="-0.249946592608417"/>
          <bgColor rgb="FFFFC000"/>
        </patternFill>
      </fill>
    </dxf>
    <dxf>
      <font>
        <color theme="0"/>
      </font>
      <fill>
        <patternFill>
          <bgColor theme="1"/>
        </patternFill>
      </fill>
    </dxf>
    <dxf>
      <font>
        <color theme="0"/>
      </font>
      <fill>
        <patternFill>
          <bgColor theme="3" tint="-0.249946592608417"/>
        </patternFill>
      </fill>
    </dxf>
    <dxf>
      <fill>
        <patternFill>
          <fgColor auto="1"/>
          <bgColor theme="3" tint="0.3999450666829432"/>
        </patternFill>
      </fill>
    </dxf>
    <dxf>
      <font>
        <color theme="0"/>
      </font>
      <fill>
        <patternFill>
          <bgColor theme="1"/>
        </patternFill>
      </fill>
    </dxf>
    <dxf>
      <font>
        <color theme="0" tint="-0.3499862666707358"/>
      </font>
      <fill>
        <patternFill>
          <bgColor theme="0" tint="-0.1499679555650502"/>
        </patternFill>
      </fill>
    </dxf>
    <dxf>
      <font>
        <color theme="0"/>
      </font>
      <fill>
        <patternFill>
          <bgColor rgb="FFFB15FF"/>
        </patternFill>
      </fill>
    </dxf>
    <dxf>
      <fill>
        <patternFill>
          <bgColor rgb="FFF89EFD"/>
        </patternFill>
      </fill>
    </dxf>
    <dxf>
      <font>
        <color theme="0"/>
      </font>
      <fill>
        <patternFill>
          <bgColor theme="5" tint="-0.249946592608417"/>
        </patternFill>
      </fill>
    </dxf>
    <dxf>
      <font>
        <color theme="0"/>
      </font>
      <fill>
        <patternFill>
          <bgColor rgb="FFFB15FF"/>
        </patternFill>
      </fill>
    </dxf>
    <dxf>
      <font>
        <color theme="0"/>
      </font>
      <fill>
        <patternFill>
          <bgColor rgb="FF660200"/>
        </patternFill>
      </fill>
    </dxf>
    <dxf>
      <fill>
        <patternFill>
          <bgColor rgb="FF00A3EE"/>
        </patternFill>
      </fill>
    </dxf>
    <dxf>
      <font>
        <color theme="0"/>
      </font>
      <fill>
        <patternFill>
          <bgColor rgb="FF00AFEF"/>
        </patternFill>
      </fill>
    </dxf>
    <dxf>
      <fill>
        <patternFill>
          <bgColor rgb="FF4AAA4D"/>
        </patternFill>
      </fill>
    </dxf>
    <dxf>
      <fill>
        <patternFill>
          <bgColor rgb="FF36D62A"/>
        </patternFill>
      </fill>
    </dxf>
    <dxf>
      <fill>
        <patternFill>
          <bgColor rgb="FF3E87F5"/>
        </patternFill>
      </fill>
    </dxf>
    <dxf>
      <fill>
        <patternFill>
          <bgColor rgb="FF3F50B5"/>
        </patternFill>
      </fill>
    </dxf>
    <dxf>
      <fill>
        <patternFill>
          <bgColor rgb="FF0A54C2"/>
        </patternFill>
      </fill>
    </dxf>
    <dxf>
      <fill>
        <patternFill>
          <bgColor rgb="FF0C45A0"/>
        </patternFill>
      </fill>
    </dxf>
    <dxf>
      <font>
        <color theme="0"/>
      </font>
      <fill>
        <patternFill>
          <bgColor rgb="FF208117"/>
        </patternFill>
      </fill>
    </dxf>
    <dxf>
      <fill>
        <patternFill>
          <bgColor rgb="FFE5F8FC"/>
        </patternFill>
      </fill>
    </dxf>
    <dxf>
      <fill>
        <patternFill>
          <bgColor rgb="FFE5F8FC"/>
        </patternFill>
      </fill>
    </dxf>
    <dxf>
      <fill>
        <patternFill>
          <bgColor rgb="FF3DD4F5"/>
        </patternFill>
      </fill>
    </dxf>
    <dxf>
      <fill>
        <patternFill>
          <fgColor rgb="FF3DD4F5"/>
        </patternFill>
      </fill>
    </dxf>
    <dxf>
      <fill>
        <patternFill>
          <bgColor rgb="FF08A1C2"/>
        </patternFill>
      </fill>
    </dxf>
    <dxf>
      <fill>
        <patternFill>
          <bgColor rgb="FF666666"/>
        </patternFill>
      </fill>
    </dxf>
    <dxf>
      <fill>
        <patternFill>
          <bgColor rgb="FFBFBFBF"/>
        </patternFill>
      </fill>
    </dxf>
    <dxf>
      <fill>
        <patternFill>
          <bgColor rgb="FF939393"/>
        </patternFill>
      </fill>
    </dxf>
    <dxf>
      <font>
        <color theme="0"/>
      </font>
      <fill>
        <patternFill>
          <bgColor theme="1" tint="0.499984740745262"/>
        </patternFill>
      </fill>
    </dxf>
    <dxf>
      <fill>
        <patternFill>
          <bgColor theme="0" tint="-0.249946592608417"/>
        </patternFill>
      </fill>
    </dxf>
    <dxf>
      <fill>
        <patternFill>
          <bgColor rgb="FFF89EFD"/>
        </patternFill>
      </fill>
    </dxf>
    <dxf>
      <font>
        <color theme="0"/>
      </font>
      <fill>
        <patternFill>
          <bgColor rgb="FFFB15FF"/>
        </patternFill>
      </fill>
    </dxf>
    <dxf>
      <font>
        <color theme="0"/>
      </font>
      <fill>
        <patternFill>
          <bgColor theme="1"/>
        </patternFill>
      </fill>
    </dxf>
    <dxf>
      <fill>
        <patternFill>
          <bgColor theme="0" tint="-0.249946592608417"/>
        </patternFill>
      </fill>
    </dxf>
    <dxf>
      <fill>
        <patternFill>
          <bgColor rgb="FF00B050"/>
        </patternFill>
      </fill>
    </dxf>
    <dxf>
      <fill>
        <patternFill>
          <bgColor rgb="FF88F79A"/>
        </patternFill>
      </fill>
    </dxf>
    <dxf>
      <font>
        <color theme="1"/>
      </font>
      <fill>
        <patternFill>
          <bgColor theme="3" tint="0.5999633777886288"/>
        </patternFill>
      </fill>
    </dxf>
    <dxf>
      <fill>
        <patternFill>
          <bgColor rgb="FF1F497D"/>
        </patternFill>
      </fill>
    </dxf>
    <dxf>
      <fill>
        <patternFill>
          <bgColor theme="0" tint="-0.1499679555650502"/>
        </patternFill>
      </fill>
    </dxf>
    <dxf>
      <fill>
        <patternFill>
          <bgColor rgb="FFD0FBA3"/>
        </patternFill>
      </fill>
    </dxf>
    <dxf>
      <font>
        <color theme="0"/>
      </font>
      <fill>
        <patternFill>
          <bgColor theme="6" tint="-0.499984740745262"/>
        </patternFill>
      </fill>
    </dxf>
    <dxf>
      <fill>
        <patternFill>
          <bgColor theme="9" tint="-0.249946592608417"/>
        </patternFill>
      </fill>
    </dxf>
    <dxf>
      <fill>
        <patternFill>
          <bgColor theme="9" tint="0.7999816888943144"/>
        </patternFill>
      </fill>
    </dxf>
    <dxf>
      <fill>
        <patternFill>
          <bgColor rgb="FFFF00FF"/>
        </patternFill>
      </fill>
    </dxf>
    <dxf>
      <fill>
        <patternFill>
          <bgColor rgb="FFFFADFF"/>
        </patternFill>
      </fill>
    </dxf>
    <dxf>
      <font>
        <color theme="0"/>
      </font>
      <fill>
        <patternFill>
          <fgColor theme="7" tint="-0.499984740745262"/>
          <bgColor theme="7" tint="-0.499984740745262"/>
        </patternFill>
      </fill>
    </dxf>
    <dxf>
      <fill>
        <patternFill>
          <bgColor theme="7" tint="0.3999450666829432"/>
        </patternFill>
      </fill>
    </dxf>
    <dxf>
      <fill>
        <patternFill>
          <bgColor theme="4"/>
        </patternFill>
      </fill>
    </dxf>
    <dxf>
      <font>
        <color theme="0"/>
      </font>
      <fill>
        <patternFill>
          <bgColor theme="4" tint="-0.499984740745262"/>
        </patternFill>
      </fill>
    </dxf>
    <dxf>
      <fill>
        <patternFill>
          <bgColor rgb="FFD0FBA3"/>
        </patternFill>
      </fill>
    </dxf>
    <dxf>
      <font>
        <color theme="0"/>
      </font>
      <fill>
        <patternFill>
          <bgColor rgb="FF00EA00"/>
        </patternFill>
      </fill>
    </dxf>
    <dxf>
      <fill>
        <patternFill>
          <bgColor rgb="FF2EAA26"/>
        </patternFill>
      </fill>
    </dxf>
    <dxf>
      <fill>
        <patternFill>
          <bgColor theme="5"/>
        </patternFill>
      </fill>
    </dxf>
    <dxf>
      <font>
        <color theme="0"/>
      </font>
      <fill>
        <patternFill>
          <bgColor theme="5" tint="-0.499984740745262"/>
        </patternFill>
      </fill>
    </dxf>
    <dxf>
      <fill>
        <patternFill>
          <bgColor theme="0" tint="-0.1499679555650502"/>
        </patternFill>
      </fill>
    </dxf>
    <dxf>
      <font>
        <color theme="0"/>
      </font>
      <fill>
        <patternFill>
          <bgColor theme="3" tint="-0.499984740745262"/>
        </patternFill>
      </fill>
    </dxf>
    <dxf>
      <fill>
        <patternFill>
          <bgColor theme="3" tint="0.5999633777886288"/>
        </patternFill>
      </fill>
    </dxf>
    <dxf>
      <fill>
        <patternFill>
          <bgColor theme="0" tint="-0.499984740745262"/>
        </patternFill>
      </fill>
    </dxf>
    <dxf>
      <font>
        <color theme="0"/>
      </font>
      <fill>
        <patternFill>
          <bgColor theme="1" tint="0.249946592608417"/>
        </patternFill>
      </fill>
    </dxf>
    <dxf>
      <fill>
        <patternFill>
          <bgColor theme="0" tint="-0.1499679555650502"/>
        </patternFill>
      </fill>
    </dxf>
    <dxf>
      <fill>
        <patternFill>
          <bgColor theme="5"/>
        </patternFill>
      </fill>
    </dxf>
    <dxf>
      <font>
        <color rgb="FF9C0006"/>
      </font>
      <fill>
        <patternFill>
          <bgColor rgb="FFFFC7CE"/>
        </patternFill>
      </fill>
    </dxf>
    <dxf>
      <font>
        <color theme="0"/>
      </font>
      <fill>
        <patternFill>
          <bgColor rgb="FF430891"/>
        </patternFill>
      </fill>
    </dxf>
    <dxf>
      <font>
        <color theme="0"/>
      </font>
      <fill>
        <patternFill>
          <bgColor theme="3" tint="-0.249946592608417"/>
        </patternFill>
      </fill>
    </dxf>
    <dxf>
      <fill>
        <patternFill>
          <bgColor rgb="FF8B8B8B"/>
        </patternFill>
      </fill>
    </dxf>
    <dxf>
      <fill>
        <patternFill>
          <bgColor theme="0" tint="-0.499984740745262"/>
        </patternFill>
      </fill>
    </dxf>
    <dxf>
      <fill>
        <patternFill>
          <bgColor rgb="FFE3D0FD"/>
        </patternFill>
      </fill>
    </dxf>
    <dxf>
      <fill>
        <patternFill>
          <bgColor rgb="FFC5AFA0"/>
        </patternFill>
      </fill>
    </dxf>
    <dxf>
      <fill>
        <patternFill>
          <bgColor theme="0" tint="-0.499984740745262"/>
        </patternFill>
      </fill>
    </dxf>
    <dxf>
      <fill>
        <patternFill>
          <bgColor rgb="FFC5AFA0"/>
        </patternFill>
      </fill>
    </dxf>
    <dxf>
      <fill>
        <patternFill>
          <bgColor rgb="FF7A98C2"/>
        </patternFill>
      </fill>
    </dxf>
    <dxf>
      <font>
        <color theme="0"/>
      </font>
      <fill>
        <patternFill>
          <bgColor rgb="FF430891"/>
        </patternFill>
      </fill>
    </dxf>
    <dxf>
      <fill>
        <patternFill>
          <bgColor rgb="FF8B8B8B"/>
        </patternFill>
      </fill>
    </dxf>
    <dxf>
      <fill>
        <patternFill>
          <bgColor theme="0" tint="-0.499984740745262"/>
        </patternFill>
      </fill>
    </dxf>
    <dxf>
      <fill>
        <patternFill>
          <bgColor rgb="FF8B8B8B"/>
        </patternFill>
      </fill>
    </dxf>
    <dxf>
      <fill>
        <patternFill>
          <bgColor rgb="FF3DD4F5"/>
        </patternFill>
      </fill>
    </dxf>
    <dxf>
      <fill>
        <patternFill>
          <bgColor rgb="FF8B8B8B"/>
        </patternFill>
      </fill>
    </dxf>
    <dxf>
      <fill>
        <patternFill>
          <bgColor rgb="FF8B8B8B"/>
        </patternFill>
      </fill>
    </dxf>
    <dxf>
      <fill>
        <patternFill>
          <bgColor rgb="FFCCF6FF"/>
        </patternFill>
      </fill>
    </dxf>
    <dxf>
      <fill>
        <patternFill>
          <bgColor rgb="FFCCF6FF"/>
        </patternFill>
      </fill>
    </dxf>
    <dxf>
      <fill>
        <patternFill>
          <bgColor rgb="FF8B8B8B"/>
        </patternFill>
      </fill>
    </dxf>
    <dxf>
      <fill>
        <patternFill>
          <bgColor rgb="FF8B8B8B"/>
        </patternFill>
      </fill>
    </dxf>
    <dxf>
      <fill>
        <patternFill>
          <bgColor rgb="FFE7FAFE"/>
        </patternFill>
      </fill>
    </dxf>
    <dxf>
      <fill>
        <patternFill>
          <bgColor rgb="FF8B8B8B"/>
        </patternFill>
      </fill>
    </dxf>
    <dxf>
      <fill>
        <patternFill>
          <bgColor rgb="FF8B8B8B"/>
        </patternFill>
      </fill>
    </dxf>
    <dxf>
      <font>
        <color theme="0"/>
      </font>
      <fill>
        <patternFill>
          <bgColor rgb="FF430891"/>
        </patternFill>
      </fill>
    </dxf>
    <dxf>
      <font>
        <color theme="0"/>
      </font>
      <fill>
        <patternFill>
          <bgColor rgb="FF430891"/>
        </patternFill>
      </fill>
    </dxf>
    <dxf>
      <fill>
        <patternFill>
          <bgColor rgb="FFFFFCE5"/>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ill>
        <patternFill>
          <bgColor rgb="FF8B8B8B"/>
        </patternFill>
      </fill>
    </dxf>
    <dxf>
      <font>
        <color theme="0"/>
      </font>
      <fill>
        <patternFill>
          <bgColor rgb="FF430891"/>
        </patternFill>
      </fill>
    </dxf>
    <dxf>
      <fill>
        <patternFill>
          <bgColor rgb="FF8B8B8B"/>
        </patternFill>
      </fill>
    </dxf>
    <dxf>
      <fill>
        <patternFill>
          <bgColor rgb="FF8B8B8B"/>
        </patternFill>
      </fill>
    </dxf>
    <dxf>
      <font>
        <color theme="0"/>
      </font>
      <fill>
        <patternFill>
          <bgColor rgb="FF430891"/>
        </patternFill>
      </fill>
    </dxf>
    <dxf>
      <fill>
        <patternFill>
          <bgColor rgb="FF8B8B8B"/>
        </patternFill>
      </fill>
    </dxf>
    <dxf>
      <fill>
        <patternFill>
          <bgColor rgb="FF8B8B8B"/>
        </patternFill>
      </fill>
    </dxf>
    <dxf>
      <font>
        <color theme="0"/>
      </font>
      <fill>
        <patternFill>
          <bgColor theme="3" tint="-0.249946592608417"/>
        </patternFill>
      </fill>
    </dxf>
    <dxf>
      <fill>
        <patternFill>
          <bgColor theme="3" tint="0.3999450666829432"/>
        </patternFill>
      </fill>
    </dxf>
    <dxf>
      <font>
        <color theme="0"/>
      </font>
      <fill>
        <patternFill>
          <bgColor theme="1"/>
        </patternFill>
      </fill>
    </dxf>
    <dxf>
      <fill>
        <patternFill>
          <bgColor theme="0" tint="-0.1499679555650502"/>
        </patternFill>
      </fill>
    </dxf>
    <dxf>
      <fill>
        <patternFill>
          <bgColor theme="8" tint="0.7999816888943144"/>
        </patternFill>
      </fill>
    </dxf>
    <dxf>
      <font>
        <color theme="0"/>
      </font>
      <fill>
        <patternFill>
          <bgColor theme="8" tint="-0.499984740745262"/>
        </patternFill>
      </fill>
    </dxf>
    <dxf>
      <font>
        <color theme="0"/>
      </font>
      <fill>
        <patternFill>
          <bgColor theme="8" tint="-0.249946592608417"/>
        </patternFill>
      </fill>
    </dxf>
    <dxf>
      <fill>
        <patternFill>
          <bgColor theme="8" tint="0.3999450666829432"/>
        </patternFill>
      </fill>
    </dxf>
    <dxf>
      <fill>
        <patternFill>
          <bgColor theme="0" tint="-0.1499679555650502"/>
        </patternFill>
      </fill>
    </dxf>
  </dxfs>
  <tableStyles count="0" defaultTableStyle="TableStyleMedium9" defaultPivotStyle="PivotStyleMedium4"/>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
            <bubble3D val="0"/>
            <spPr>
              <a:solidFill xmlns:a="http://schemas.openxmlformats.org/drawingml/2006/main">
                <a:schemeClr val="tx1"/>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2"/>
            <bubble3D val="0"/>
            <spPr>
              <a:solidFill xmlns:a="http://schemas.openxmlformats.org/drawingml/2006/main">
                <a:schemeClr val="tx1">
                  <a:lumMod val="75000"/>
                  <a:lumOff val="2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3"/>
            <bubble3D val="0"/>
            <spPr>
              <a:solidFill xmlns:a="http://schemas.openxmlformats.org/drawingml/2006/main">
                <a:schemeClr val="accent1">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4"/>
            <bubble3D val="0"/>
            <spPr>
              <a:solidFill xmlns:a="http://schemas.openxmlformats.org/drawingml/2006/main">
                <a:schemeClr val="accent2">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5"/>
            <bubble3D val="0"/>
            <spPr>
              <a:solidFill xmlns:a="http://schemas.openxmlformats.org/drawingml/2006/main">
                <a:srgbClr val="00B050"/>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6"/>
            <bubble3D val="0"/>
            <spPr>
              <a:solidFill xmlns:a="http://schemas.openxmlformats.org/drawingml/2006/main">
                <a:srgbClr val="FB15FF"/>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7"/>
            <bubble3D val="0"/>
            <spPr>
              <a:solidFill xmlns:a="http://schemas.openxmlformats.org/drawingml/2006/main">
                <a:srgbClr val="8D3CF5"/>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8"/>
            <bubble3D val="0"/>
            <spPr>
              <a:solidFill xmlns:a="http://schemas.openxmlformats.org/drawingml/2006/main">
                <a:schemeClr val="tx2"/>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9"/>
            <bubble3D val="0"/>
            <spPr>
              <a:solidFill xmlns:a="http://schemas.openxmlformats.org/drawingml/2006/main">
                <a:srgbClr val="208117"/>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0"/>
            <bubble3D val="0"/>
            <spPr>
              <a:solidFill xmlns:a="http://schemas.openxmlformats.org/drawingml/2006/main">
                <a:schemeClr val="accent5">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1"/>
            <bubble3D val="0"/>
            <spPr>
              <a:solidFill xmlns:a="http://schemas.openxmlformats.org/drawingml/2006/main">
                <a:schemeClr val="accent6">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'1₹+1s'!$CA$2:$CL$2</f>
              <numCache>
                <formatCode>0</formatCode>
                <ptCount val="12"/>
                <pt idx="0">
                  <v>67.85714285714286</v>
                </pt>
                <pt idx="1">
                  <v>0</v>
                </pt>
                <pt idx="2">
                  <v>117.8928571428571</v>
                </pt>
                <pt idx="3">
                  <v>248.4642857142857</v>
                </pt>
                <pt idx="4">
                  <v>69</v>
                </pt>
                <pt idx="5">
                  <v>119.8928571428571</v>
                </pt>
                <pt idx="6">
                  <formatCode>#,##0</formatCode>
                  <v>45.73571428571429</v>
                </pt>
                <pt idx="7">
                  <formatCode>#,##0</formatCode>
                  <v>53.04832589285714</v>
                </pt>
                <pt idx="8">
                  <formatCode>#,##0</formatCode>
                  <v>33.22678571428571</v>
                </pt>
                <pt idx="9">
                  <formatCode>#,##0</formatCode>
                  <v>84.18452380952381</v>
                </pt>
                <pt idx="10">
                  <formatCode>General</formatCode>
                  <v>0</v>
                </pt>
                <pt idx="11">
                  <formatCode>#,##0</formatCode>
                  <v>123.5595238095238</v>
                </pt>
              </numCache>
            </numRef>
          </val>
        </ser>
        <dLbls>
          <showLegendKey val="0"/>
          <showVal val="0"/>
          <showCatName val="1"/>
          <showSerName val="0"/>
          <showPercent val="1"/>
          <showBubbleSize val="0"/>
          <showLeaderLines val="1"/>
        </dLbls>
        <firstSliceAng val="0"/>
        <holeSize val="50"/>
      </doughnut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
            <bubble3D val="0"/>
            <spPr>
              <a:solidFill xmlns:a="http://schemas.openxmlformats.org/drawingml/2006/main">
                <a:schemeClr val="tx1"/>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2"/>
            <bubble3D val="0"/>
            <spPr>
              <a:solidFill xmlns:a="http://schemas.openxmlformats.org/drawingml/2006/main">
                <a:schemeClr val="tx1">
                  <a:lumMod val="65000"/>
                  <a:lumOff val="3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3"/>
            <bubble3D val="0"/>
            <spPr>
              <a:solidFill xmlns:a="http://schemas.openxmlformats.org/drawingml/2006/main">
                <a:srgbClr val="00A3EE"/>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4"/>
            <bubble3D val="0"/>
            <spPr>
              <a:solidFill xmlns:a="http://schemas.openxmlformats.org/drawingml/2006/main">
                <a:schemeClr val="accent2">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5"/>
            <bubble3D val="0"/>
            <spPr>
              <a:solidFill xmlns:a="http://schemas.openxmlformats.org/drawingml/2006/main">
                <a:srgbClr val="00B050"/>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6"/>
            <bubble3D val="0"/>
            <spPr>
              <a:solidFill xmlns:a="http://schemas.openxmlformats.org/drawingml/2006/main">
                <a:srgbClr val="FB15FF"/>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7"/>
            <bubble3D val="0"/>
            <spPr>
              <a:solidFill xmlns:a="http://schemas.openxmlformats.org/drawingml/2006/main">
                <a:schemeClr val="accent4">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8"/>
            <bubble3D val="0"/>
            <spPr>
              <a:solidFill xmlns:a="http://schemas.openxmlformats.org/drawingml/2006/main">
                <a:schemeClr val="accent3">
                  <a:lumMod val="6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9"/>
            <bubble3D val="0"/>
            <spPr>
              <a:solidFill xmlns:a="http://schemas.openxmlformats.org/drawingml/2006/main">
                <a:schemeClr val="accent3">
                  <a:lumMod val="5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0"/>
            <bubble3D val="0"/>
            <spPr>
              <a:solidFill xmlns:a="http://schemas.openxmlformats.org/drawingml/2006/main">
                <a:schemeClr val="accent5">
                  <a:lumMod val="6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1"/>
            <bubble3D val="0"/>
            <spPr>
              <a:solidFill xmlns:a="http://schemas.openxmlformats.org/drawingml/2006/main">
                <a:schemeClr val="accent6"/>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Lbls>
            <dLbl>
              <idx val="8"/>
              <spPr>
                <a:solidFill xmlns:a="http://schemas.openxmlformats.org/drawingml/2006/main">
                  <a:schemeClr val="accent1">
                    <a:lumMod val="75000"/>
                  </a:schemeClr>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'1₹+1s'!$CA$6:$CL$6</f>
              <numCache>
                <formatCode>0</formatCode>
                <ptCount val="12"/>
                <pt idx="0">
                  <v>0</v>
                </pt>
                <pt idx="1">
                  <v>0</v>
                </pt>
                <pt idx="2">
                  <v>0</v>
                </pt>
                <pt idx="3">
                  <v>0</v>
                </pt>
                <pt idx="4">
                  <v>0</v>
                </pt>
                <pt idx="5">
                  <v>0</v>
                </pt>
                <pt idx="6">
                  <formatCode>#,##0</formatCode>
                  <v>-48.03571428571428</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
            <bubble3D val="0"/>
            <spPr>
              <a:solidFill xmlns:a="http://schemas.openxmlformats.org/drawingml/2006/main">
                <a:schemeClr val="tx1"/>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2"/>
            <bubble3D val="0"/>
            <spPr>
              <a:solidFill xmlns:a="http://schemas.openxmlformats.org/drawingml/2006/main">
                <a:schemeClr val="tx1">
                  <a:lumMod val="50000"/>
                  <a:lumOff val="5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3"/>
            <bubble3D val="0"/>
            <spPr>
              <a:solidFill xmlns:a="http://schemas.openxmlformats.org/drawingml/2006/main">
                <a:srgbClr val="00B0F0"/>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4"/>
            <bubble3D val="0"/>
            <spPr>
              <a:solidFill xmlns:a="http://schemas.openxmlformats.org/drawingml/2006/main">
                <a:schemeClr val="accent2">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5"/>
            <bubble3D val="0"/>
            <spPr>
              <a:solidFill xmlns:a="http://schemas.openxmlformats.org/drawingml/2006/main">
                <a:srgbClr val="00B050"/>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6"/>
            <bubble3D val="0"/>
            <spPr>
              <a:solidFill xmlns:a="http://schemas.openxmlformats.org/drawingml/2006/main">
                <a:srgbClr val="FB15FF"/>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7"/>
            <bubble3D val="0"/>
            <spPr>
              <a:solidFill xmlns:a="http://schemas.openxmlformats.org/drawingml/2006/main">
                <a:schemeClr val="accent4">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8"/>
            <bubble3D val="0"/>
            <spPr>
              <a:solidFill xmlns:a="http://schemas.openxmlformats.org/drawingml/2006/main">
                <a:schemeClr val="tx2">
                  <a:lumMod val="75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9"/>
            <bubble3D val="0"/>
            <spPr>
              <a:solidFill xmlns:a="http://schemas.openxmlformats.org/drawingml/2006/main">
                <a:schemeClr val="accent3">
                  <a:lumMod val="5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0"/>
            <bubble3D val="0"/>
            <spPr>
              <a:solidFill xmlns:a="http://schemas.openxmlformats.org/drawingml/2006/main">
                <a:schemeClr val="accent5">
                  <a:lumMod val="60000"/>
                </a:schemeClr>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Pt>
            <idx val="11"/>
            <bubble3D val="0"/>
            <spPr>
              <a:solidFill xmlns:a="http://schemas.openxmlformats.org/drawingml/2006/main">
                <a:schemeClr val="accent6"/>
              </a:solidFill>
              <a:ln xmlns:a="http://schemas.openxmlformats.org/drawingml/2006/main">
                <a:noFill/>
                <a:prstDash val="solid"/>
              </a:ln>
              <scene3d>
                <camera prst="orthographicFront"/>
                <lightRig rig="brightRoom" dir="t"/>
              </scene3d>
              <a:sp3d xmlns:a="http://schemas.openxmlformats.org/drawingml/2006/main" prstMaterial="flat">
                <bevelT w="50800" h="101600" prst="angle"/>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'1₹+1s'!$CA$10:$CL$10</f>
              <numCache>
                <formatCode>0</formatCode>
                <ptCount val="12"/>
                <pt idx="0">
                  <v>0</v>
                </pt>
                <pt idx="1">
                  <v>0</v>
                </pt>
                <pt idx="2">
                  <v>0</v>
                </pt>
                <pt idx="3">
                  <v>0</v>
                </pt>
                <pt idx="4">
                  <v>0</v>
                </pt>
                <pt idx="5">
                  <v>0</v>
                </pt>
                <pt idx="6">
                  <formatCode>#,##0</formatCode>
                  <v>-45.71428571428572</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lumMod val="75000"/>
                </a:schemeClr>
              </a:solidFill>
              <a:ln xmlns:a="http://schemas.openxmlformats.org/drawingml/2006/main">
                <a:prstDash val="solid"/>
              </a:ln>
            </spPr>
          </dPt>
          <dPt>
            <idx val="1"/>
            <bubble3D val="0"/>
            <spPr>
              <a:solidFill xmlns:a="http://schemas.openxmlformats.org/drawingml/2006/main">
                <a:schemeClr val="tx1"/>
              </a:solidFill>
              <a:ln xmlns:a="http://schemas.openxmlformats.org/drawingml/2006/main">
                <a:prstDash val="solid"/>
              </a:ln>
            </spPr>
          </dPt>
          <dPt>
            <idx val="2"/>
            <bubble3D val="0"/>
            <spPr>
              <a:solidFill xmlns:a="http://schemas.openxmlformats.org/drawingml/2006/main">
                <a:schemeClr val="tx1">
                  <a:lumMod val="75000"/>
                  <a:lumOff val="25000"/>
                </a:schemeClr>
              </a:solidFill>
              <a:ln xmlns:a="http://schemas.openxmlformats.org/drawingml/2006/main">
                <a:prstDash val="solid"/>
              </a:ln>
            </spPr>
          </dPt>
          <dPt>
            <idx val="3"/>
            <bubble3D val="0"/>
            <spPr>
              <a:solidFill xmlns:a="http://schemas.openxmlformats.org/drawingml/2006/main">
                <a:srgbClr val="00AFEF"/>
              </a:solidFill>
              <a:ln xmlns:a="http://schemas.openxmlformats.org/drawingml/2006/main">
                <a:prstDash val="solid"/>
              </a:ln>
            </spPr>
          </dPt>
          <dPt>
            <idx val="4"/>
            <bubble3D val="0"/>
            <spPr>
              <a:solidFill xmlns:a="http://schemas.openxmlformats.org/drawingml/2006/main">
                <a:schemeClr val="accent2"/>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75000"/>
                </a:schemeClr>
              </a:solidFill>
              <a:ln xmlns:a="http://schemas.openxmlformats.org/drawingml/2006/main">
                <a:prstDash val="solid"/>
              </a:ln>
            </spPr>
          </dPt>
          <dPt>
            <idx val="8"/>
            <bubble3D val="0"/>
            <spPr>
              <a:solidFill xmlns:a="http://schemas.openxmlformats.org/drawingml/2006/main">
                <a:schemeClr val="tx2">
                  <a:lumMod val="75000"/>
                </a:schemeClr>
              </a:solidFill>
              <a:ln xmlns:a="http://schemas.openxmlformats.org/drawingml/2006/main">
                <a:prstDash val="solid"/>
              </a:ln>
            </spPr>
          </dPt>
          <dPt>
            <idx val="9"/>
            <bubble3D val="0"/>
            <spPr>
              <a:solidFill xmlns:a="http://schemas.openxmlformats.org/drawingml/2006/main">
                <a:schemeClr val="accent5">
                  <a:lumMod val="50000"/>
                </a:schemeClr>
              </a:solidFill>
              <a:ln xmlns:a="http://schemas.openxmlformats.org/drawingml/2006/main">
                <a:prstDash val="solid"/>
              </a:ln>
            </spPr>
          </dPt>
          <dPt>
            <idx val="11"/>
            <bubble3D val="0"/>
            <spPr>
              <a:solidFill xmlns:a="http://schemas.openxmlformats.org/drawingml/2006/main">
                <a:schemeClr val="accent6">
                  <a:lumMod val="75000"/>
                </a:schemeClr>
              </a:solidFill>
              <a:ln xmlns:a="http://schemas.openxmlformats.org/drawingml/2006/main">
                <a:prstDash val="solid"/>
              </a:ln>
            </spPr>
          </dPt>
          <dLbls>
            <delete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'1₹+1s'!$CA$15:$CL$15</f>
              <numCache>
                <formatCode>0</formatCode>
                <ptCount val="12"/>
                <pt idx="0">
                  <v>0</v>
                </pt>
                <pt idx="1">
                  <v>0</v>
                </pt>
                <pt idx="2">
                  <v>0</v>
                </pt>
                <pt idx="3">
                  <v>0</v>
                </pt>
                <pt idx="4">
                  <v>0</v>
                </pt>
                <pt idx="5">
                  <v>0</v>
                </pt>
                <pt idx="6">
                  <formatCode>#,##0</formatCode>
                  <v>-46.78571428571429</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1"/>
            <bubble3D val="0"/>
            <spPr>
              <a:solidFill xmlns:a="http://schemas.openxmlformats.org/drawingml/2006/main">
                <a:schemeClr val="tx1"/>
              </a:solidFill>
              <a:ln xmlns:a="http://schemas.openxmlformats.org/drawingml/2006/main">
                <a:prstDash val="solid"/>
              </a:ln>
            </spPr>
          </dPt>
          <dPt>
            <idx val="2"/>
            <bubble3D val="0"/>
            <spPr>
              <a:solidFill xmlns:a="http://schemas.openxmlformats.org/drawingml/2006/main">
                <a:schemeClr val="tx1">
                  <a:lumMod val="50000"/>
                  <a:lumOff val="50000"/>
                </a:schemeClr>
              </a:solidFill>
              <a:ln xmlns:a="http://schemas.openxmlformats.org/drawingml/2006/main">
                <a:prstDash val="solid"/>
              </a:ln>
            </spPr>
          </dPt>
          <dPt>
            <idx val="3"/>
            <bubble3D val="0"/>
            <spPr>
              <a:solidFill xmlns:a="http://schemas.openxmlformats.org/drawingml/2006/main">
                <a:srgbClr val="00AFEF"/>
              </a:solidFill>
              <a:ln xmlns:a="http://schemas.openxmlformats.org/drawingml/2006/main">
                <a:prstDash val="solid"/>
              </a:ln>
            </spPr>
          </dPt>
          <dPt>
            <idx val="4"/>
            <bubble3D val="0"/>
            <spPr>
              <a:solidFill xmlns:a="http://schemas.openxmlformats.org/drawingml/2006/main">
                <a:schemeClr val="accent2">
                  <a:lumMod val="75000"/>
                </a:schemeClr>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E91E61"/>
              </a:solidFill>
              <a:ln xmlns:a="http://schemas.openxmlformats.org/drawingml/2006/main">
                <a:prstDash val="solid"/>
              </a:ln>
            </spPr>
          </dPt>
          <dPt>
            <idx val="7"/>
            <bubble3D val="0"/>
            <spPr>
              <a:solidFill xmlns:a="http://schemas.openxmlformats.org/drawingml/2006/main">
                <a:schemeClr val="accent4"/>
              </a:solidFill>
              <a:ln xmlns:a="http://schemas.openxmlformats.org/drawingml/2006/main">
                <a:prstDash val="solid"/>
              </a:ln>
            </spPr>
          </dPt>
          <dPt>
            <idx val="8"/>
            <bubble3D val="0"/>
            <spPr>
              <a:solidFill xmlns:a="http://schemas.openxmlformats.org/drawingml/2006/main">
                <a:schemeClr val="tx2"/>
              </a:solidFill>
              <a:ln xmlns:a="http://schemas.openxmlformats.org/drawingml/2006/main">
                <a:prstDash val="solid"/>
              </a:ln>
            </spPr>
          </dPt>
          <dPt>
            <idx val="9"/>
            <bubble3D val="0"/>
            <spPr>
              <a:solidFill xmlns:a="http://schemas.openxmlformats.org/drawingml/2006/main">
                <a:schemeClr val="accent5">
                  <a:lumMod val="50000"/>
                </a:schemeClr>
              </a:solidFill>
              <a:ln xmlns:a="http://schemas.openxmlformats.org/drawingml/2006/main">
                <a:prstDash val="solid"/>
              </a:ln>
            </spPr>
          </dPt>
          <dLbls>
            <dLbl>
              <idx val="0"/>
              <showLegendKey val="0"/>
              <showVal val="0"/>
              <showCatName val="1"/>
              <showSerName val="0"/>
              <showPercent val="1"/>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'1₹+1s'!$CA$19:$CL$19</f>
              <numCache>
                <formatCode>0</formatCode>
                <ptCount val="12"/>
                <pt idx="0">
                  <v>0</v>
                </pt>
                <pt idx="1">
                  <v>0</v>
                </pt>
                <pt idx="2">
                  <v>0</v>
                </pt>
                <pt idx="3">
                  <v>0</v>
                </pt>
                <pt idx="4">
                  <v>0</v>
                </pt>
                <pt idx="5">
                  <v>0</v>
                </pt>
                <pt idx="6">
                  <formatCode>#,##0</formatCode>
                  <v>-46.42857142857143</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6.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A3EE"/>
              </a:solidFill>
              <a:ln xmlns:a="http://schemas.openxmlformats.org/drawingml/2006/main">
                <a:prstDash val="solid"/>
              </a:ln>
            </spPr>
          </dPt>
          <dPt>
            <idx val="4"/>
            <bubble3D val="0"/>
            <spPr>
              <a:solidFill xmlns:a="http://schemas.openxmlformats.org/drawingml/2006/main">
                <a:schemeClr val="accent2">
                  <a:lumMod val="50000"/>
                </a:schemeClr>
              </a:solidFill>
              <a:ln xmlns:a="http://schemas.openxmlformats.org/drawingml/2006/main">
                <a:prstDash val="solid"/>
              </a:ln>
            </spPr>
          </dPt>
          <dPt>
            <idx val="5"/>
            <bubble3D val="0"/>
            <spPr>
              <a:solidFill xmlns:a="http://schemas.openxmlformats.org/drawingml/2006/main">
                <a:srgbClr val="34CE28"/>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rgbClr val="7030A0"/>
              </a:solidFill>
              <a:ln xmlns:a="http://schemas.openxmlformats.org/drawingml/2006/main">
                <a:prstDash val="solid"/>
              </a:ln>
            </spPr>
          </dPt>
          <dPt>
            <idx val="8"/>
            <bubble3D val="0"/>
            <spPr>
              <a:solidFill xmlns:a="http://schemas.openxmlformats.org/drawingml/2006/main">
                <a:schemeClr val="tx2"/>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Lbl>
              <idx val="9"/>
            </dLbl>
            <dLbl>
              <idx val="1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'1₹+1s'!$CA$23:$CL$23</f>
              <numCache>
                <formatCode>0</formatCode>
                <ptCount val="12"/>
                <pt idx="0">
                  <v>0</v>
                </pt>
                <pt idx="2">
                  <v>0</v>
                </pt>
                <pt idx="3">
                  <v>0</v>
                </pt>
                <pt idx="4">
                  <v>0</v>
                </pt>
                <pt idx="5">
                  <v>0</v>
                </pt>
                <pt idx="6">
                  <formatCode>#,##0</formatCode>
                  <v>-44.46428571428571</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7.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B0F0"/>
              </a:solidFill>
              <a:ln xmlns:a="http://schemas.openxmlformats.org/drawingml/2006/main">
                <a:prstDash val="solid"/>
              </a:ln>
            </spPr>
          </dPt>
          <dPt>
            <idx val="4"/>
            <bubble3D val="0"/>
            <spPr>
              <a:solidFill xmlns:a="http://schemas.openxmlformats.org/drawingml/2006/main">
                <a:schemeClr val="accent2">
                  <a:lumMod val="50000"/>
                </a:schemeClr>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75000"/>
                </a:schemeClr>
              </a:solidFill>
              <a:ln xmlns:a="http://schemas.openxmlformats.org/drawingml/2006/main">
                <a:prstDash val="solid"/>
              </a:ln>
            </spPr>
          </dPt>
          <dPt>
            <idx val="8"/>
            <bubble3D val="0"/>
            <spPr>
              <a:solidFill xmlns:a="http://schemas.openxmlformats.org/drawingml/2006/main">
                <a:schemeClr val="tx2"/>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Lbl>
              <idx val="1"/>
            </dLbl>
            <dLbl>
              <idx val="1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'1₹+1s'!$CA$28:$CL$28</f>
              <numCache>
                <formatCode>0</formatCode>
                <ptCount val="12"/>
                <pt idx="0">
                  <v>0</v>
                </pt>
                <pt idx="1">
                  <v>0</v>
                </pt>
                <pt idx="2">
                  <v>0</v>
                </pt>
                <pt idx="3">
                  <v>0</v>
                </pt>
                <pt idx="4">
                  <v>0</v>
                </pt>
                <pt idx="5">
                  <v>0</v>
                </pt>
                <pt idx="6">
                  <formatCode>#,##0</formatCode>
                  <v>-48.57142857142857</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8.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AFEF"/>
              </a:solidFill>
              <a:ln xmlns:a="http://schemas.openxmlformats.org/drawingml/2006/main">
                <a:prstDash val="solid"/>
              </a:ln>
            </spPr>
          </dPt>
          <dPt>
            <idx val="4"/>
            <bubble3D val="0"/>
            <spPr>
              <a:solidFill xmlns:a="http://schemas.openxmlformats.org/drawingml/2006/main">
                <a:schemeClr val="accent2"/>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50000"/>
                </a:schemeClr>
              </a:solidFill>
              <a:ln xmlns:a="http://schemas.openxmlformats.org/drawingml/2006/main">
                <a:prstDash val="solid"/>
              </a:ln>
            </spPr>
          </dPt>
          <dPt>
            <idx val="8"/>
            <bubble3D val="0"/>
            <spPr>
              <a:solidFill xmlns:a="http://schemas.openxmlformats.org/drawingml/2006/main">
                <a:schemeClr val="tx2">
                  <a:lumMod val="75000"/>
                </a:schemeClr>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elete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'1₹+1s'!$CA$32:$CL$32</f>
              <numCache>
                <formatCode>0</formatCode>
                <ptCount val="12"/>
                <pt idx="0">
                  <v>0</v>
                </pt>
                <pt idx="1">
                  <v>0</v>
                </pt>
                <pt idx="2">
                  <v>0</v>
                </pt>
                <pt idx="3">
                  <v>0</v>
                </pt>
                <pt idx="4">
                  <v>0</v>
                </pt>
                <pt idx="5">
                  <v>0</v>
                </pt>
                <pt idx="6">
                  <formatCode>#,##0</formatCode>
                  <v>-47.85714285714286</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9.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AFEF"/>
              </a:solidFill>
              <a:ln xmlns:a="http://schemas.openxmlformats.org/drawingml/2006/main">
                <a:prstDash val="solid"/>
              </a:ln>
            </spPr>
          </dPt>
          <dPt>
            <idx val="4"/>
            <bubble3D val="0"/>
            <spPr>
              <a:solidFill xmlns:a="http://schemas.openxmlformats.org/drawingml/2006/main">
                <a:schemeClr val="accent2">
                  <a:lumMod val="50000"/>
                </a:schemeClr>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75000"/>
                </a:schemeClr>
              </a:solidFill>
              <a:ln xmlns:a="http://schemas.openxmlformats.org/drawingml/2006/main">
                <a:prstDash val="solid"/>
              </a:ln>
            </spPr>
          </dPt>
          <dPt>
            <idx val="8"/>
            <bubble3D val="0"/>
            <spPr>
              <a:solidFill xmlns:a="http://schemas.openxmlformats.org/drawingml/2006/main">
                <a:schemeClr val="tx2">
                  <a:lumMod val="75000"/>
                </a:schemeClr>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Lbl>
              <idx val="8"/>
            </dLbl>
            <dLbl>
              <idx val="9"/>
            </dLbl>
            <dLbl>
              <idx val="1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'1₹+1s'!$CA$36:$CL$36</f>
              <numCache>
                <formatCode>0</formatCode>
                <ptCount val="12"/>
                <pt idx="0">
                  <v>0</v>
                </pt>
                <pt idx="2">
                  <v>0</v>
                </pt>
                <pt idx="3">
                  <v>0</v>
                </pt>
                <pt idx="4">
                  <v>0</v>
                </pt>
                <pt idx="5">
                  <v>0</v>
                </pt>
                <pt idx="6">
                  <formatCode>#,##0</formatCode>
                  <v>-50</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10.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A3EE"/>
              </a:solidFill>
              <a:ln xmlns:a="http://schemas.openxmlformats.org/drawingml/2006/main">
                <a:prstDash val="solid"/>
              </a:ln>
            </spPr>
          </dPt>
          <dPt>
            <idx val="4"/>
            <bubble3D val="0"/>
            <spPr>
              <a:solidFill xmlns:a="http://schemas.openxmlformats.org/drawingml/2006/main">
                <a:schemeClr val="accent2">
                  <a:lumMod val="50000"/>
                </a:schemeClr>
              </a:solidFill>
              <a:ln xmlns:a="http://schemas.openxmlformats.org/drawingml/2006/main">
                <a:prstDash val="solid"/>
              </a:ln>
            </spPr>
          </dPt>
          <dPt>
            <idx val="5"/>
            <bubble3D val="0"/>
            <spPr>
              <a:solidFill xmlns:a="http://schemas.openxmlformats.org/drawingml/2006/main">
                <a:srgbClr val="34CE28"/>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75000"/>
                </a:schemeClr>
              </a:solidFill>
              <a:ln xmlns:a="http://schemas.openxmlformats.org/drawingml/2006/main">
                <a:prstDash val="solid"/>
              </a:ln>
            </spPr>
          </dPt>
          <dPt>
            <idx val="8"/>
            <bubble3D val="0"/>
            <spPr>
              <a:solidFill xmlns:a="http://schemas.openxmlformats.org/drawingml/2006/main">
                <a:schemeClr val="tx2"/>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Lbl>
              <idx val="8"/>
            </dLbl>
            <dLbl>
              <idx val="9"/>
            </dLbl>
            <dLbl>
              <idx val="1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'1₹+1s'!$CA$41:$CL$41</f>
              <numCache>
                <formatCode>0</formatCode>
                <ptCount val="12"/>
                <pt idx="0">
                  <v>0</v>
                </pt>
                <pt idx="2">
                  <v>0</v>
                </pt>
                <pt idx="3">
                  <v>0</v>
                </pt>
                <pt idx="4">
                  <v>0</v>
                </pt>
                <pt idx="5">
                  <v>0</v>
                </pt>
                <pt idx="6">
                  <formatCode>#,##0</formatCode>
                  <v>-50</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charts/chart11.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2"/>
              </a:solidFill>
              <a:ln xmlns:a="http://schemas.openxmlformats.org/drawingml/2006/main">
                <a:prstDash val="solid"/>
              </a:ln>
            </spPr>
          </dPt>
          <dPt>
            <idx val="2"/>
            <bubble3D val="0"/>
            <spPr>
              <a:solidFill xmlns:a="http://schemas.openxmlformats.org/drawingml/2006/main">
                <a:schemeClr val="tx1"/>
              </a:solidFill>
              <a:ln xmlns:a="http://schemas.openxmlformats.org/drawingml/2006/main">
                <a:prstDash val="solid"/>
              </a:ln>
            </spPr>
          </dPt>
          <dPt>
            <idx val="3"/>
            <bubble3D val="0"/>
            <spPr>
              <a:solidFill xmlns:a="http://schemas.openxmlformats.org/drawingml/2006/main">
                <a:srgbClr val="00A3EE"/>
              </a:solidFill>
              <a:ln xmlns:a="http://schemas.openxmlformats.org/drawingml/2006/main">
                <a:prstDash val="solid"/>
              </a:ln>
            </spPr>
          </dPt>
          <dPt>
            <idx val="4"/>
            <bubble3D val="0"/>
            <spPr>
              <a:solidFill xmlns:a="http://schemas.openxmlformats.org/drawingml/2006/main">
                <a:schemeClr val="accent2">
                  <a:lumMod val="75000"/>
                </a:schemeClr>
              </a:solidFill>
              <a:ln xmlns:a="http://schemas.openxmlformats.org/drawingml/2006/main">
                <a:prstDash val="solid"/>
              </a:ln>
            </spPr>
          </dPt>
          <dPt>
            <idx val="5"/>
            <bubble3D val="0"/>
            <spPr>
              <a:solidFill xmlns:a="http://schemas.openxmlformats.org/drawingml/2006/main">
                <a:srgbClr val="00B050"/>
              </a:solidFill>
              <a:ln xmlns:a="http://schemas.openxmlformats.org/drawingml/2006/main">
                <a:prstDash val="solid"/>
              </a:ln>
            </spPr>
          </dPt>
          <dPt>
            <idx val="6"/>
            <bubble3D val="0"/>
            <spPr>
              <a:solidFill xmlns:a="http://schemas.openxmlformats.org/drawingml/2006/main">
                <a:srgbClr val="FB15FF"/>
              </a:solidFill>
              <a:ln xmlns:a="http://schemas.openxmlformats.org/drawingml/2006/main">
                <a:prstDash val="solid"/>
              </a:ln>
            </spPr>
          </dPt>
          <dPt>
            <idx val="7"/>
            <bubble3D val="0"/>
            <spPr>
              <a:solidFill xmlns:a="http://schemas.openxmlformats.org/drawingml/2006/main">
                <a:schemeClr val="accent4">
                  <a:lumMod val="75000"/>
                </a:schemeClr>
              </a:solidFill>
              <a:ln xmlns:a="http://schemas.openxmlformats.org/drawingml/2006/main">
                <a:prstDash val="solid"/>
              </a:ln>
            </spPr>
          </dPt>
          <dPt>
            <idx val="8"/>
            <bubble3D val="0"/>
            <spPr>
              <a:solidFill xmlns:a="http://schemas.openxmlformats.org/drawingml/2006/main">
                <a:schemeClr val="tx2"/>
              </a:solidFill>
              <a:ln xmlns:a="http://schemas.openxmlformats.org/drawingml/2006/main">
                <a:prstDash val="solid"/>
              </a:ln>
            </spPr>
          </dPt>
          <dPt>
            <idx val="9"/>
            <bubble3D val="0"/>
            <spPr>
              <a:solidFill xmlns:a="http://schemas.openxmlformats.org/drawingml/2006/main">
                <a:schemeClr val="accent3">
                  <a:lumMod val="50000"/>
                </a:schemeClr>
              </a:solidFill>
              <a:ln xmlns:a="http://schemas.openxmlformats.org/drawingml/2006/main">
                <a:prstDash val="solid"/>
              </a:ln>
            </spPr>
          </dPt>
          <dLbls>
            <dLbl>
              <idx val="1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showLegendKey val="0"/>
            <showVal val="0"/>
            <showCatName val="1"/>
            <showSerName val="0"/>
            <showPercent val="1"/>
            <showBubbleSize val="0"/>
            <showLeaderLines val="1"/>
          </dLbls>
          <cat>
            <strRef>
              <f>'1₹+1s'!$CA$1:$CL$1</f>
              <strCache>
                <ptCount val="12"/>
                <pt idx="0">
                  <v xml:space="preserve"> -1n</v>
                </pt>
                <pt idx="1">
                  <v>0n</v>
                </pt>
                <pt idx="2">
                  <v>0g</v>
                </pt>
                <pt idx="3">
                  <v>i9</v>
                </pt>
                <pt idx="4">
                  <v>m7</v>
                </pt>
                <pt idx="5">
                  <v xml:space="preserve"> -2g</v>
                </pt>
                <pt idx="6">
                  <v>hcb</v>
                </pt>
                <pt idx="7">
                  <v>hcm</v>
                </pt>
                <pt idx="8">
                  <v>hcmc</v>
                </pt>
                <pt idx="9">
                  <v>s897</v>
                </pt>
                <pt idx="10">
                  <v>f6</v>
                </pt>
                <pt idx="11">
                  <v>xk87</v>
                </pt>
              </strCache>
            </strRef>
          </cat>
          <val>
            <numRef>
              <f>'1₹+1s'!$CA$45:$CL$45</f>
              <numCache>
                <formatCode>0</formatCode>
                <ptCount val="12"/>
                <pt idx="0">
                  <v>0</v>
                </pt>
                <pt idx="2">
                  <v>0</v>
                </pt>
                <pt idx="3">
                  <v>0</v>
                </pt>
                <pt idx="4">
                  <v>0</v>
                </pt>
                <pt idx="5">
                  <v>0</v>
                </pt>
                <pt idx="6">
                  <formatCode>#,##0</formatCode>
                  <v>-50</v>
                </pt>
                <pt idx="7">
                  <formatCode>#,##0</formatCode>
                  <v>-20</v>
                </pt>
                <pt idx="8">
                  <formatCode>#,##0</formatCode>
                  <v>-40</v>
                </pt>
                <pt idx="9">
                  <formatCode>#,##0</formatCode>
                  <v>0</v>
                </pt>
                <pt idx="10">
                  <formatCode>General</formatCode>
                  <v>0</v>
                </pt>
                <pt idx="11">
                  <formatCode>#,##0</formatCode>
                  <v>0</v>
                </pt>
              </numCache>
            </numRef>
          </val>
        </ser>
        <dLbls>
          <showLegendKey val="0"/>
          <showVal val="0"/>
          <showCatName val="1"/>
          <showSerName val="0"/>
          <showPercent val="1"/>
          <showBubbleSize val="0"/>
          <showLeaderLines val="1"/>
        </dLbls>
        <firstSliceAng val="0"/>
        <holeSize val="50"/>
      </doughnutChart>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image" Target="/xl/media/image1.png" Id="rId12"/></Relationships>
</file>

<file path=xl/drawings/drawing1.xml><?xml version="1.0" encoding="utf-8"?>
<wsDr xmlns="http://schemas.openxmlformats.org/drawingml/2006/spreadsheetDrawing">
  <twoCellAnchor>
    <from>
      <col>92</col>
      <colOff>5839</colOff>
      <row>0</row>
      <rowOff>627160</rowOff>
    </from>
    <to>
      <col>96</col>
      <colOff>593434</colOff>
      <row>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92</col>
      <colOff>0</colOff>
      <row>4</row>
      <rowOff>564444</rowOff>
    </from>
    <to>
      <col>96</col>
      <colOff>580123</colOff>
      <row>9</row>
      <rowOff>42556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91</col>
      <colOff>241300</colOff>
      <row>8</row>
      <rowOff>564444</rowOff>
    </from>
    <to>
      <col>96</col>
      <colOff>567423</colOff>
      <row>13</row>
      <rowOff>42556</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92</col>
      <colOff>12700</colOff>
      <row>13</row>
      <rowOff>190500</rowOff>
    </from>
    <to>
      <col>96</col>
      <colOff>592823</colOff>
      <row>17</row>
      <rowOff>252812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92</col>
      <colOff>38100</colOff>
      <row>18</row>
      <rowOff>0</rowOff>
    </from>
    <to>
      <col>96</col>
      <colOff>618223</colOff>
      <row>22</row>
      <rowOff>62312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92</col>
      <colOff>38100</colOff>
      <row>22</row>
      <rowOff>393700</rowOff>
    </from>
    <to>
      <col>96</col>
      <colOff>618223</colOff>
      <row>26</row>
      <rowOff>456012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92</col>
      <colOff>76200</colOff>
      <row>27</row>
      <rowOff>25400</rowOff>
    </from>
    <to>
      <col>96</col>
      <colOff>656323</colOff>
      <row>30</row>
      <rowOff>481412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92</col>
      <colOff>76200</colOff>
      <row>31</row>
      <rowOff>139700</rowOff>
    </from>
    <to>
      <col>96</col>
      <colOff>656323</colOff>
      <row>34</row>
      <rowOff>595712</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92</col>
      <colOff>139700</colOff>
      <row>35</row>
      <rowOff>355600</rowOff>
    </from>
    <to>
      <col>96</col>
      <colOff>719823</colOff>
      <row>39</row>
      <rowOff>163912</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from>
      <col>92</col>
      <colOff>0</colOff>
      <row>40</row>
      <rowOff>0</rowOff>
    </from>
    <to>
      <col>96</col>
      <colOff>580123</colOff>
      <row>43</row>
      <rowOff>456012</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twoCellAnchor>
  <twoCellAnchor>
    <from>
      <col>92</col>
      <colOff>0</colOff>
      <row>44</row>
      <rowOff>0</rowOff>
    </from>
    <to>
      <col>96</col>
      <colOff>580123</colOff>
      <row>47</row>
      <rowOff>456012</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twoCellAnchor>
  <oneCellAnchor>
    <from>
      <col>45</col>
      <colOff>0</colOff>
      <row>39</row>
      <rowOff>0</rowOff>
    </from>
    <ext cx="698500" cy="650166"/>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5590500" y="24358600"/>
          <a:ext cx="698500" cy="650166"/>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https://www.notion.so/1-Neon-Rituals-157e229db57c47e59ea437f0573a3e67" TargetMode="External" Id="rId1"/></Relationships>
</file>

<file path=xl/worksheets/sheet1.xml><?xml version="1.0" encoding="utf-8"?>
<worksheet xmlns="http://schemas.openxmlformats.org/spreadsheetml/2006/main">
  <sheetPr codeName="Sheet1">
    <tabColor theme="1"/>
    <outlinePr summaryBelow="1" summaryRight="1"/>
    <pageSetUpPr/>
  </sheetPr>
  <dimension ref="A1:AS435"/>
  <sheetViews>
    <sheetView topLeftCell="A3" workbookViewId="0">
      <selection activeCell="Q21" sqref="Q21"/>
    </sheetView>
  </sheetViews>
  <sheetFormatPr baseColWidth="8" defaultColWidth="10.97265625" defaultRowHeight="15"/>
  <cols>
    <col width="4.80859375" customWidth="1" style="37" min="1" max="1"/>
    <col width="6.0390625" customWidth="1" style="37" min="2" max="2"/>
    <col width="5.0546875" customWidth="1" style="37" min="3" max="3"/>
    <col width="5.30078125" customWidth="1" style="37" min="4" max="4"/>
    <col width="5.17578125" customWidth="1" style="37" min="5" max="5"/>
    <col width="5.0546875" customWidth="1" style="37" min="6" max="6"/>
    <col width="1.84765625" customWidth="1" style="37" min="7" max="7"/>
    <col width="3.8203125" customWidth="1" style="37" min="8" max="8"/>
    <col width="1.84765625" customWidth="1" style="37" min="9" max="9"/>
    <col width="4.68359375" customWidth="1" style="37" min="10" max="10"/>
    <col width="1.97265625" customWidth="1" style="37" min="11" max="11"/>
    <col width="3.9453125" customWidth="1" style="37" min="12" max="12"/>
    <col width="2.46484375" customWidth="1" style="37" min="13" max="13"/>
    <col width="4.19140625" customWidth="1" style="37" min="14" max="14"/>
    <col width="2.21875" customWidth="1" style="37" min="15" max="15"/>
    <col width="5.30078125" customWidth="1" style="37" min="16" max="16"/>
    <col width="2.21875" customWidth="1" style="37" min="17" max="17"/>
    <col width="4.3125" customWidth="1" style="37" min="18" max="18"/>
    <col width="2.21875" customWidth="1" style="37" min="19" max="19"/>
    <col width="4.19140625" customWidth="1" style="37" min="20" max="20"/>
    <col width="2.33984375" customWidth="1" style="37" min="21" max="21"/>
    <col width="4.68359375" customWidth="1" style="37" min="22" max="22"/>
    <col width="2.21875" customWidth="1" style="37" min="23" max="23"/>
    <col width="4.4375" customWidth="1" style="40" min="24" max="24"/>
    <col width="3.8203125" customWidth="1" style="57" min="25" max="25"/>
    <col width="4.4375" customWidth="1" style="40" min="26" max="26"/>
    <col width="5.546875" customWidth="1" style="445" min="27" max="27"/>
    <col width="5.671875" bestFit="1" customWidth="1" style="445" min="28" max="28"/>
    <col width="4.80859375" customWidth="1" style="37" min="29" max="29"/>
    <col width="4.4375" customWidth="1" style="37" min="30" max="31"/>
    <col width="4.68359375" customWidth="1" style="37" min="32" max="32"/>
    <col width="3.8203125" customWidth="1" style="37" min="33" max="34"/>
    <col width="6.65625" customWidth="1" style="37" min="35" max="35"/>
    <col width="6.78125" customWidth="1" style="37" min="36" max="36"/>
    <col hidden="1" width="4.4375" customWidth="1" style="37" min="37" max="37"/>
    <col hidden="1" width="5.0546875" customWidth="1" style="37" min="38" max="38"/>
    <col width="10.8515625" customWidth="1" style="47" min="39" max="49"/>
  </cols>
  <sheetData>
    <row r="1" ht="26.1" customFormat="1" customHeight="1" s="47">
      <c r="A1" s="412" t="inlineStr">
        <is>
          <t>周</t>
        </is>
      </c>
      <c r="B1" s="62" t="inlineStr">
        <is>
          <t>5^0</t>
        </is>
      </c>
      <c r="C1" s="411" t="inlineStr">
        <is>
          <t>地</t>
        </is>
      </c>
      <c r="D1" s="333" t="inlineStr">
        <is>
          <t>Σ</t>
        </is>
      </c>
      <c r="E1" s="62" t="inlineStr">
        <is>
          <t>0₦t</t>
        </is>
      </c>
      <c r="F1" s="62" t="inlineStr">
        <is>
          <t>∀₦t</t>
        </is>
      </c>
      <c r="G1" s="444" t="inlineStr">
        <is>
          <t>فجر</t>
        </is>
      </c>
      <c r="I1" s="452" t="inlineStr">
        <is>
          <t>شروق</t>
        </is>
      </c>
      <c r="K1" s="452" t="inlineStr">
        <is>
          <t>صباح</t>
        </is>
      </c>
      <c r="M1" s="452" t="inlineStr">
        <is>
          <t>ظهر</t>
        </is>
      </c>
      <c r="O1" s="452" t="inlineStr">
        <is>
          <t>عصر</t>
        </is>
      </c>
      <c r="Q1" s="452" t="inlineStr">
        <is>
          <t>آصيل</t>
        </is>
      </c>
      <c r="S1" s="452" t="inlineStr">
        <is>
          <t>غروب</t>
        </is>
      </c>
      <c r="U1" s="452" t="inlineStr">
        <is>
          <t>غسق</t>
        </is>
      </c>
      <c r="W1" s="452" t="inlineStr">
        <is>
          <t>صدفة</t>
        </is>
      </c>
      <c r="Y1" s="258" t="inlineStr">
        <is>
          <t>-1₦</t>
        </is>
      </c>
      <c r="Z1" s="62" t="inlineStr">
        <is>
          <t>0₲</t>
        </is>
      </c>
      <c r="AA1" s="62" t="inlineStr">
        <is>
          <t>i9</t>
        </is>
      </c>
      <c r="AB1" s="62" t="inlineStr">
        <is>
          <t>m7</t>
        </is>
      </c>
      <c r="AC1" s="62" t="inlineStr">
        <is>
          <t>个</t>
        </is>
      </c>
      <c r="AD1" s="62" t="inlineStr">
        <is>
          <t>媒</t>
        </is>
      </c>
      <c r="AE1" s="62" t="inlineStr">
        <is>
          <t>思</t>
        </is>
      </c>
      <c r="AF1" s="62" t="inlineStr">
        <is>
          <t>hcb</t>
        </is>
      </c>
      <c r="AG1" s="62" t="inlineStr">
        <is>
          <t>家</t>
        </is>
      </c>
      <c r="AH1" s="62" t="inlineStr">
        <is>
          <t>社</t>
        </is>
      </c>
      <c r="AI1" s="451" t="inlineStr">
        <is>
          <t>n156</t>
        </is>
      </c>
      <c r="AL1" s="62" t="inlineStr">
        <is>
          <t>1₲</t>
        </is>
      </c>
    </row>
    <row r="2" ht="17.1" customHeight="1" s="37">
      <c r="A2" s="443" t="n">
        <v>1.1</v>
      </c>
      <c r="B2" s="546" t="n">
        <v>45662</v>
      </c>
      <c r="C2" s="450" t="inlineStr">
        <is>
          <t>sf21</t>
        </is>
      </c>
      <c r="D2" s="257">
        <f>SUM(Y2:AH2)</f>
        <v/>
      </c>
      <c r="E2" s="54">
        <f>'0₦'!AF5</f>
        <v/>
      </c>
      <c r="F2" s="41">
        <f>'0₦'!AG5</f>
        <v/>
      </c>
      <c r="G2" s="79" t="n"/>
      <c r="H2" s="79" t="n"/>
      <c r="I2" s="79" t="n"/>
      <c r="J2" s="79" t="n"/>
      <c r="K2" s="450" t="n">
        <v>1</v>
      </c>
      <c r="L2" s="42" t="n">
        <v>303</v>
      </c>
      <c r="M2" s="450" t="n">
        <v>1</v>
      </c>
      <c r="N2" s="42" t="n">
        <v>273</v>
      </c>
      <c r="O2" s="450" t="n">
        <v>1</v>
      </c>
      <c r="P2" s="42" t="n">
        <v>281</v>
      </c>
      <c r="Q2" s="450" t="n">
        <v>1</v>
      </c>
      <c r="R2" s="42" t="n">
        <v>211</v>
      </c>
      <c r="S2" s="450" t="n">
        <v>1</v>
      </c>
      <c r="T2" s="42" t="n">
        <v>183</v>
      </c>
      <c r="U2" s="450" t="n">
        <v>1</v>
      </c>
      <c r="V2" s="42" t="n">
        <v>386</v>
      </c>
      <c r="W2" s="450" t="n">
        <v>1</v>
      </c>
      <c r="X2" s="56">
        <f>D2-SUM(H2,J2,L2,N2,P2,R2,T2,V2)</f>
        <v/>
      </c>
      <c r="Y2" s="57">
        <f>12*COUNT(G2,I2,K2,M2,O2,Q2,U2,W2,S2)</f>
        <v/>
      </c>
      <c r="Z2" s="40">
        <f>9+40+100</f>
        <v/>
      </c>
      <c r="AA2" s="445">
        <f>'0₦'!BI5 + 30</f>
        <v/>
      </c>
      <c r="AB2" s="446">
        <f>'0₦'!BE5 + 30 + 50 + 30 + 30 + 16 + 30 + 20 + 10 + 30 + 20 + 10</f>
        <v/>
      </c>
      <c r="AC2" s="450">
        <f>'0₦'!BC5 + 5+10 + 10 + 30 + 20 + 20 + 20 + 20 + 20 + 20 + 20 + 20 + 15+20 + 20 + 40</f>
        <v/>
      </c>
      <c r="AD2" s="42">
        <f>'0₦'!BD5</f>
        <v/>
      </c>
      <c r="AE2" s="42">
        <f>'0₦'!AX5</f>
        <v/>
      </c>
      <c r="AF2" s="446">
        <f>hcbi!AA6+hcbi!Y6</f>
        <v/>
      </c>
      <c r="AG2" s="42">
        <f>'0₦'!AW5 + 5 + 60 + 120 + 60 + 15 + 60 + 40</f>
        <v/>
      </c>
      <c r="AH2" s="450">
        <f>0</f>
        <v/>
      </c>
      <c r="AI2" s="445" t="e">
        <v>#VALUE!</v>
      </c>
      <c r="AJ2" s="450" t="e">
        <v>#VALUE!</v>
      </c>
      <c r="AK2" s="44" t="n">
        <v>577</v>
      </c>
      <c r="AL2" s="42" t="n">
        <v>184</v>
      </c>
      <c r="AN2" s="93" t="n"/>
    </row>
    <row r="3" ht="17.1" customHeight="1" s="37">
      <c r="B3" s="546">
        <f>B2+1</f>
        <v/>
      </c>
      <c r="C3" s="450" t="inlineStr">
        <is>
          <t>sf21</t>
        </is>
      </c>
      <c r="D3" s="257">
        <f>SUM(Y3:AH3)</f>
        <v/>
      </c>
      <c r="E3" s="54">
        <f>'0₦'!AF6</f>
        <v/>
      </c>
      <c r="F3" s="41">
        <f>'0₦'!AG6</f>
        <v/>
      </c>
      <c r="G3" s="79" t="n"/>
      <c r="H3" s="79" t="n"/>
      <c r="I3" s="450" t="n">
        <v>1</v>
      </c>
      <c r="J3" s="308" t="n">
        <v>251</v>
      </c>
      <c r="K3" s="450" t="n">
        <v>1</v>
      </c>
      <c r="L3" s="42" t="n">
        <v>373</v>
      </c>
      <c r="M3" s="450" t="n">
        <v>1</v>
      </c>
      <c r="N3" s="42" t="n">
        <v>154</v>
      </c>
      <c r="O3" s="450" t="n">
        <v>1</v>
      </c>
      <c r="P3" s="42" t="n">
        <v>139</v>
      </c>
      <c r="Q3" s="450" t="n">
        <v>1</v>
      </c>
      <c r="R3" s="42" t="n">
        <v>145</v>
      </c>
      <c r="S3" s="450" t="n">
        <v>1</v>
      </c>
      <c r="T3" s="42" t="n">
        <v>153</v>
      </c>
      <c r="U3" s="450" t="n">
        <v>1</v>
      </c>
      <c r="V3" s="42" t="n">
        <v>225</v>
      </c>
      <c r="W3" s="450" t="n">
        <v>1</v>
      </c>
      <c r="X3" s="56">
        <f>D3-SUM(H3,J3,L3,N3,P3,R3,T3,V3)</f>
        <v/>
      </c>
      <c r="Y3" s="57">
        <f>12*COUNT(G3,I3,K3,M3,O3,Q3,U3,W3,S3)</f>
        <v/>
      </c>
      <c r="Z3" s="40">
        <f>9+40 + 80 + 50</f>
        <v/>
      </c>
      <c r="AA3" s="445">
        <f>'0₦'!BI6 + 30 + 40 + 51 + '1₦+'!AA4 + 60 + 10+'1₦+'!K4 + 45 + 10 + 30 + 30</f>
        <v/>
      </c>
      <c r="AB3" s="446">
        <f>'0₦'!BE6 + 30</f>
        <v/>
      </c>
      <c r="AC3" s="450">
        <f>'0₦'!BC6 + 40 + 20 + 10 + 5 + '0₦'!K4+'0₦'!M4+'0₦'!E61 + 10 + 160</f>
        <v/>
      </c>
      <c r="AD3" s="42">
        <f>'0₦'!BD6</f>
        <v/>
      </c>
      <c r="AE3" s="42">
        <f>19+20</f>
        <v/>
      </c>
      <c r="AF3" s="446">
        <f>hcbi!AA7+hcbi!Y7</f>
        <v/>
      </c>
      <c r="AG3" s="42">
        <f>'0₦'!AW6 + 15</f>
        <v/>
      </c>
      <c r="AH3" s="450">
        <f>0</f>
        <v/>
      </c>
      <c r="AK3" s="73" t="n">
        <v>699</v>
      </c>
      <c r="AL3" s="42" t="n">
        <v>137</v>
      </c>
      <c r="AN3" s="93" t="n"/>
    </row>
    <row r="4" ht="17.1" customHeight="1" s="37">
      <c r="B4" s="546">
        <f>B3+1</f>
        <v/>
      </c>
      <c r="C4" s="433" t="inlineStr">
        <is>
          <t>SEA</t>
        </is>
      </c>
      <c r="D4" s="257">
        <f>SUM(Y4:AH4)</f>
        <v/>
      </c>
      <c r="E4" s="54">
        <f>'0₦'!AF7</f>
        <v/>
      </c>
      <c r="F4" s="41">
        <f>'0₦'!AG7</f>
        <v/>
      </c>
      <c r="G4" s="450" t="n">
        <v>1</v>
      </c>
      <c r="H4" s="410" t="n">
        <v>12</v>
      </c>
      <c r="I4" s="450" t="n">
        <v>1</v>
      </c>
      <c r="J4" s="42" t="n">
        <v>321</v>
      </c>
      <c r="K4" s="450" t="n">
        <v>1</v>
      </c>
      <c r="L4" s="42" t="n">
        <v>208</v>
      </c>
      <c r="M4" s="450" t="n">
        <v>1</v>
      </c>
      <c r="N4" s="42" t="n">
        <v>223</v>
      </c>
      <c r="O4" s="450" t="n">
        <v>1</v>
      </c>
      <c r="P4" s="42" t="n">
        <v>205</v>
      </c>
      <c r="Q4" s="450" t="n">
        <v>1</v>
      </c>
      <c r="R4" s="42" t="n">
        <v>200</v>
      </c>
      <c r="S4" s="450" t="n">
        <v>1</v>
      </c>
      <c r="T4" s="42" t="n">
        <v>200</v>
      </c>
      <c r="U4" s="450" t="n">
        <v>1</v>
      </c>
      <c r="V4" s="42" t="n">
        <v>80</v>
      </c>
      <c r="W4" s="450" t="n">
        <v>1</v>
      </c>
      <c r="X4" s="56">
        <f>D4-SUM(H4,J4,L4,N4,P4,R4,T4,V4)</f>
        <v/>
      </c>
      <c r="Y4" s="57">
        <f>12*COUNT(G4,I4,K4,M4,O4,Q4,U4,W4,S4)</f>
        <v/>
      </c>
      <c r="Z4" s="40">
        <f>9+50+30+50</f>
        <v/>
      </c>
      <c r="AA4" s="445">
        <f>'0₦'!BI7 + 10 + 15 + 30 + 15 + 7 + 10 + 150 - 20+45+30+30 +50</f>
        <v/>
      </c>
      <c r="AB4" s="446">
        <f>'0₦'!BE7 + 6 + 10 + 15 + 10 + 10</f>
        <v/>
      </c>
      <c r="AC4" s="450">
        <f>'0₦'!BC7 + 15 + 7 + 20 + 10 + 43</f>
        <v/>
      </c>
      <c r="AD4" s="42">
        <f>'0₦'!BD7</f>
        <v/>
      </c>
      <c r="AE4" s="42">
        <f>'0₦'!AX7+15+'1₦+'!W4+'1₦+'!U4</f>
        <v/>
      </c>
      <c r="AF4" s="446">
        <f>hcbi!AA8+hcbi!Y8</f>
        <v/>
      </c>
      <c r="AG4" s="42">
        <f>'0₦'!AW7 + 15 + 20 + 30</f>
        <v/>
      </c>
      <c r="AH4" s="450" t="n">
        <v>240</v>
      </c>
      <c r="AI4" s="445" t="e">
        <v>#VALUE!</v>
      </c>
      <c r="AJ4" s="445" t="e">
        <v>#VALUE!</v>
      </c>
      <c r="AK4" s="73" t="n">
        <v>770</v>
      </c>
      <c r="AL4" s="42" t="n">
        <v>103</v>
      </c>
      <c r="AN4" s="93" t="n"/>
    </row>
    <row r="5" ht="17.1" customHeight="1" s="37">
      <c r="B5" s="546">
        <f>B4+1</f>
        <v/>
      </c>
      <c r="C5" s="433" t="inlineStr">
        <is>
          <t>SEA</t>
        </is>
      </c>
      <c r="D5" s="257">
        <f>SUM(Y5:AH5)</f>
        <v/>
      </c>
      <c r="E5" s="54">
        <f>'0₦'!AF8</f>
        <v/>
      </c>
      <c r="F5" s="41">
        <f>'0₦'!AG8</f>
        <v/>
      </c>
      <c r="G5" s="79" t="n"/>
      <c r="H5" s="79" t="n"/>
      <c r="I5" s="450" t="n">
        <v>1</v>
      </c>
      <c r="J5" s="42" t="n">
        <v>140</v>
      </c>
      <c r="K5" s="450" t="n">
        <v>1</v>
      </c>
      <c r="L5" s="42" t="n">
        <v>187</v>
      </c>
      <c r="M5" s="450" t="n">
        <v>1</v>
      </c>
      <c r="N5" s="42" t="n">
        <v>250</v>
      </c>
      <c r="O5" s="450" t="n">
        <v>1</v>
      </c>
      <c r="P5" s="42" t="n">
        <v>130</v>
      </c>
      <c r="Q5" s="450" t="n">
        <v>1</v>
      </c>
      <c r="R5" s="42" t="n">
        <v>318</v>
      </c>
      <c r="S5" s="450" t="n">
        <v>1</v>
      </c>
      <c r="T5" s="42" t="n">
        <v>134</v>
      </c>
      <c r="U5" s="450" t="n">
        <v>1</v>
      </c>
      <c r="V5" s="42" t="n">
        <v>120</v>
      </c>
      <c r="W5" s="450" t="n">
        <v>1</v>
      </c>
      <c r="X5" s="56">
        <f>D5-SUM(H5,J5,L5,N5,P5,R5,T5,V5)</f>
        <v/>
      </c>
      <c r="Y5" s="57">
        <f>12*COUNT(G5,I5,K5,M5,O5,Q5,U5,W5,S5)</f>
        <v/>
      </c>
      <c r="Z5" s="40">
        <f>9+40+60+40</f>
        <v/>
      </c>
      <c r="AA5" s="445">
        <f>'0₦'!BI8 + 340 + 40 + 30 + 30 + 60 + 200 - 20</f>
        <v/>
      </c>
      <c r="AB5" s="446">
        <f>'0₦'!BE8 + 30 + 20</f>
        <v/>
      </c>
      <c r="AC5" s="450">
        <f>'0₦'!BC8 + 0</f>
        <v/>
      </c>
      <c r="AD5" s="42">
        <f>'0₦'!BD8</f>
        <v/>
      </c>
      <c r="AE5" s="42">
        <f>'0₦'!AX8</f>
        <v/>
      </c>
      <c r="AF5" s="446">
        <f>hcbi!AA9+hcbi!Y9</f>
        <v/>
      </c>
      <c r="AG5" s="42">
        <f>'0₦'!AW8</f>
        <v/>
      </c>
      <c r="AH5" s="450">
        <f>90+20 + 30</f>
        <v/>
      </c>
      <c r="AK5" s="44" t="n">
        <v>867</v>
      </c>
      <c r="AL5" s="42" t="n">
        <v>136</v>
      </c>
      <c r="AN5" s="93" t="n"/>
      <c r="AO5" s="374" t="n"/>
    </row>
    <row r="6" ht="17.1" customHeight="1" s="37">
      <c r="B6" s="546">
        <f>B5+1</f>
        <v/>
      </c>
      <c r="C6" s="433" t="inlineStr">
        <is>
          <t>SEA</t>
        </is>
      </c>
      <c r="D6" s="257">
        <f>SUM(Y6:AH6)</f>
        <v/>
      </c>
      <c r="E6" s="54">
        <f>'0₦'!AF9</f>
        <v/>
      </c>
      <c r="F6" s="41">
        <f>'0₦'!AG9</f>
        <v/>
      </c>
      <c r="G6" s="450" t="n">
        <v>1</v>
      </c>
      <c r="H6" s="410" t="n">
        <v>12</v>
      </c>
      <c r="I6" s="450" t="n">
        <v>1</v>
      </c>
      <c r="J6" s="42" t="n">
        <v>335</v>
      </c>
      <c r="K6" s="450" t="n">
        <v>1</v>
      </c>
      <c r="L6" s="42" t="n">
        <v>307</v>
      </c>
      <c r="M6" s="450" t="n">
        <v>1</v>
      </c>
      <c r="N6" s="42" t="n">
        <v>170</v>
      </c>
      <c r="O6" s="450" t="n">
        <v>1</v>
      </c>
      <c r="P6" s="42" t="n">
        <v>207</v>
      </c>
      <c r="Q6" s="450" t="n">
        <v>1</v>
      </c>
      <c r="R6" s="42" t="n">
        <v>200</v>
      </c>
      <c r="S6" s="450" t="n">
        <v>1</v>
      </c>
      <c r="T6" s="42" t="n">
        <v>205</v>
      </c>
      <c r="U6" s="450" t="n">
        <v>1</v>
      </c>
      <c r="V6" s="42" t="n">
        <v>100</v>
      </c>
      <c r="W6" s="450" t="n">
        <v>1</v>
      </c>
      <c r="X6" s="56">
        <f>D6-SUM(H6,J6,L6,N6,P6,R6,T6,V6)</f>
        <v/>
      </c>
      <c r="Y6" s="57">
        <f>12*COUNT(G6,I6,K6,M6,O6,Q6,U6,W6,S6)</f>
        <v/>
      </c>
      <c r="Z6" s="40">
        <f>9 + 30</f>
        <v/>
      </c>
      <c r="AA6" s="445">
        <f>'0₦'!BI9+100*1.5+120+10+64+3+20 + 20 + 10 + 10 + 20 + 30 + 45 + 30</f>
        <v/>
      </c>
      <c r="AB6" s="446">
        <f>'0₦'!BE9</f>
        <v/>
      </c>
      <c r="AC6" s="450">
        <f>'0₦'!BC9 + 200</f>
        <v/>
      </c>
      <c r="AD6" s="42">
        <f>'0₦'!BD9</f>
        <v/>
      </c>
      <c r="AE6" s="42">
        <f>'0₦'!AX9</f>
        <v/>
      </c>
      <c r="AF6" s="446">
        <f>hcbi!AA10+hcbi!Y10</f>
        <v/>
      </c>
      <c r="AG6" s="42">
        <f>'0₦'!AW9</f>
        <v/>
      </c>
      <c r="AH6" s="450">
        <f>90 + 67</f>
        <v/>
      </c>
      <c r="AI6" s="445" t="e">
        <v>#VALUE!</v>
      </c>
      <c r="AJ6" s="445" t="e">
        <v>#VALUE!</v>
      </c>
      <c r="AK6" s="40" t="n">
        <v>839</v>
      </c>
      <c r="AL6" s="42" t="n">
        <v>74</v>
      </c>
      <c r="AN6" s="93" t="n"/>
    </row>
    <row r="7" ht="17.1" customHeight="1" s="37">
      <c r="B7" s="546">
        <f>B6+1</f>
        <v/>
      </c>
      <c r="C7" s="450" t="inlineStr">
        <is>
          <t>sf21</t>
        </is>
      </c>
      <c r="D7" s="257">
        <f>SUM(Y7:AH7)</f>
        <v/>
      </c>
      <c r="E7" s="54">
        <f>'0₦'!AF10</f>
        <v/>
      </c>
      <c r="F7" s="41">
        <f>'0₦'!AG10</f>
        <v/>
      </c>
      <c r="G7" s="450" t="n">
        <v>1</v>
      </c>
      <c r="H7" s="410" t="n">
        <v>12</v>
      </c>
      <c r="I7" s="450" t="n">
        <v>1</v>
      </c>
      <c r="J7" s="42" t="n">
        <v>12</v>
      </c>
      <c r="K7" s="450" t="n">
        <v>1</v>
      </c>
      <c r="L7" s="42" t="n">
        <v>277</v>
      </c>
      <c r="M7" s="450" t="n">
        <v>1</v>
      </c>
      <c r="N7" s="42" t="n">
        <v>212</v>
      </c>
      <c r="O7" s="450" t="n">
        <v>1</v>
      </c>
      <c r="P7" s="42" t="n">
        <v>302</v>
      </c>
      <c r="Q7" s="450" t="n">
        <v>1</v>
      </c>
      <c r="R7" s="42" t="n">
        <v>309</v>
      </c>
      <c r="S7" s="450" t="n">
        <v>1</v>
      </c>
      <c r="T7" s="42" t="n">
        <v>304</v>
      </c>
      <c r="U7" s="450" t="n">
        <v>1</v>
      </c>
      <c r="V7" s="42" t="n">
        <v>100</v>
      </c>
      <c r="W7" s="450" t="n">
        <v>1</v>
      </c>
      <c r="X7" s="56">
        <f>D7-SUM(H7,J7,L7,N7,P7,R7,T7,V7)</f>
        <v/>
      </c>
      <c r="Y7" s="57">
        <f>12*COUNT(G7,I7,K7,M7,O7,Q7,U7,W7,S7)</f>
        <v/>
      </c>
      <c r="Z7" s="40">
        <f>9+50 + 50 + 40 + 20</f>
        <v/>
      </c>
      <c r="AA7" s="445">
        <f>'0₦'!BI10 + 300 + 30 + 60 + 14*8 + 15 + 100 + 10 + 30</f>
        <v/>
      </c>
      <c r="AB7" s="446">
        <f>'0₦'!BE10 + 10 + 10</f>
        <v/>
      </c>
      <c r="AC7" s="450">
        <f>'0₦'!BC10 + 20 + 20 + 20 + 15 + 26</f>
        <v/>
      </c>
      <c r="AD7" s="42">
        <f>'0₦'!BD10</f>
        <v/>
      </c>
      <c r="AE7" s="42">
        <f>'0₦'!AX10 + 30</f>
        <v/>
      </c>
      <c r="AF7" s="446">
        <f>hcbi!AA11+hcbi!Y11 + 25</f>
        <v/>
      </c>
      <c r="AG7" s="42">
        <f>'0₦'!AW10</f>
        <v/>
      </c>
      <c r="AH7" s="450">
        <f> 24 + 60 + 20 + 20</f>
        <v/>
      </c>
      <c r="AK7" s="450" t="n">
        <v>890</v>
      </c>
      <c r="AL7" s="42" t="n">
        <v>69</v>
      </c>
      <c r="AN7" s="93" t="n"/>
    </row>
    <row r="8" ht="17.1" customHeight="1" s="37">
      <c r="A8" s="547" t="n"/>
      <c r="B8" s="546">
        <f>B7+1</f>
        <v/>
      </c>
      <c r="C8" s="450" t="inlineStr">
        <is>
          <t>sf21</t>
        </is>
      </c>
      <c r="D8" s="257">
        <f>SUM(Y8:AH8)</f>
        <v/>
      </c>
      <c r="E8" s="54">
        <f>'0₦'!AF11</f>
        <v/>
      </c>
      <c r="F8" s="41">
        <f>'0₦'!AG11</f>
        <v/>
      </c>
      <c r="G8" s="450" t="n">
        <v>1</v>
      </c>
      <c r="H8" s="410" t="n">
        <v>12</v>
      </c>
      <c r="I8" s="450" t="n">
        <v>1</v>
      </c>
      <c r="J8" s="42" t="n">
        <v>205</v>
      </c>
      <c r="K8" s="450" t="n">
        <v>1</v>
      </c>
      <c r="L8" s="42" t="n">
        <v>315</v>
      </c>
      <c r="M8" s="450" t="n">
        <v>1</v>
      </c>
      <c r="N8" s="42">
        <f>450-53</f>
        <v/>
      </c>
      <c r="O8" s="450" t="n">
        <v>1</v>
      </c>
      <c r="P8" s="42" t="n">
        <v>209</v>
      </c>
      <c r="Q8" s="450" t="n">
        <v>1</v>
      </c>
      <c r="R8" s="42" t="n">
        <v>142</v>
      </c>
      <c r="S8" s="450" t="n">
        <v>1</v>
      </c>
      <c r="T8" s="42" t="n">
        <v>125</v>
      </c>
      <c r="U8" s="450" t="n">
        <v>1</v>
      </c>
      <c r="V8" s="42" t="n">
        <v>298</v>
      </c>
      <c r="W8" s="450" t="n">
        <v>1</v>
      </c>
      <c r="X8" s="56">
        <f>D8-SUM(H8,J8,L8,N8,P8,R8,T8,V8)</f>
        <v/>
      </c>
      <c r="Y8" s="57">
        <f>12*COUNT(G8,I8,K8,M8,O8,Q8,U8,W8,S8)</f>
        <v/>
      </c>
      <c r="Z8" s="40">
        <f>9+50 + 30 + 10 + 30 + 30 + 40</f>
        <v/>
      </c>
      <c r="AA8" s="445">
        <f>'0₦'!BI11 + 10 + 30</f>
        <v/>
      </c>
      <c r="AB8" s="446">
        <f>'0₦'!BE11 + 25 + 10 + 10 + 30</f>
        <v/>
      </c>
      <c r="AC8" s="450">
        <f>'0₦'!BC11 + 0 - 26 + 70 + 10 + 20 + 25</f>
        <v/>
      </c>
      <c r="AD8" s="42">
        <f>'0₦'!BD11</f>
        <v/>
      </c>
      <c r="AE8" s="42">
        <f>'0₦'!AX11 + 30</f>
        <v/>
      </c>
      <c r="AF8" s="446">
        <f>hcbi!AA12+hcbi!Y12</f>
        <v/>
      </c>
      <c r="AG8" s="42">
        <f>'0₦'!AW11 + 60 + 30 + 30 + 60 + 17 + 35 + 30 + 15 + 20 + 30</f>
        <v/>
      </c>
      <c r="AH8" s="450">
        <f>120+15 + 180</f>
        <v/>
      </c>
      <c r="AI8" s="445" t="e">
        <v>#VALUE!</v>
      </c>
      <c r="AJ8" s="445" t="e">
        <v>#VALUE!</v>
      </c>
      <c r="AK8" s="44" t="n">
        <v>723</v>
      </c>
      <c r="AL8" s="450" t="n">
        <v>74</v>
      </c>
      <c r="AN8" s="93" t="n"/>
    </row>
    <row r="9" ht="17.1" customHeight="1" s="37">
      <c r="A9" s="441">
        <f>A2+0.1</f>
        <v/>
      </c>
      <c r="B9" s="546">
        <f>B8+1</f>
        <v/>
      </c>
      <c r="C9" s="450" t="inlineStr">
        <is>
          <t>sf21</t>
        </is>
      </c>
      <c r="D9" s="257">
        <f>SUM(Y9:AH9)</f>
        <v/>
      </c>
      <c r="E9" s="54">
        <f>'0₦'!AF12</f>
        <v/>
      </c>
      <c r="F9" s="41">
        <f>'0₦'!AG12</f>
        <v/>
      </c>
      <c r="G9" s="450" t="n">
        <v>1</v>
      </c>
      <c r="H9" s="410" t="n">
        <v>12</v>
      </c>
      <c r="I9" s="450" t="n">
        <v>1</v>
      </c>
      <c r="J9" s="42" t="n">
        <v>270</v>
      </c>
      <c r="K9" s="450" t="n">
        <v>1</v>
      </c>
      <c r="L9" s="42" t="n">
        <v>180</v>
      </c>
      <c r="M9" s="450" t="n">
        <v>1</v>
      </c>
      <c r="N9" s="42" t="n">
        <v>277</v>
      </c>
      <c r="O9" s="450" t="n">
        <v>1</v>
      </c>
      <c r="P9" s="42" t="n">
        <v>326</v>
      </c>
      <c r="Q9" s="450" t="n">
        <v>1</v>
      </c>
      <c r="R9" s="42" t="n">
        <v>300</v>
      </c>
      <c r="S9" s="450" t="n">
        <v>1</v>
      </c>
      <c r="T9" s="42" t="n">
        <v>292</v>
      </c>
      <c r="U9" s="450" t="n">
        <v>1</v>
      </c>
      <c r="V9" s="42" t="n">
        <v>145</v>
      </c>
      <c r="W9" s="450" t="n">
        <v>1</v>
      </c>
      <c r="X9" s="56">
        <f>D9-SUM(H9,J9,L9,N9,P9,R9,T9,V9)</f>
        <v/>
      </c>
      <c r="Y9" s="57">
        <f>12*COUNT(G9,I9,K9,M9,O9,Q9,U9,W9,S9)</f>
        <v/>
      </c>
      <c r="Z9" s="40">
        <f>9+60 + 30 + 40 + 100 + 30 + 30</f>
        <v/>
      </c>
      <c r="AA9" s="445">
        <f>'0₦'!BI12 + 45 + 90 - 10</f>
        <v/>
      </c>
      <c r="AB9" s="446">
        <f>'0₦'!BE12 + 30 + 30 + 10 + 30 + 90 + 30</f>
        <v/>
      </c>
      <c r="AC9" s="450">
        <f>'0₦'!BC12 + 10+'1₦+'!C5+'1₦+'!D5 + '1₦+'!T104 + 40 + 26</f>
        <v/>
      </c>
      <c r="AD9" s="42">
        <f>'0₦'!BD12</f>
        <v/>
      </c>
      <c r="AE9" s="42">
        <f>'0₦'!AX12</f>
        <v/>
      </c>
      <c r="AF9" s="446">
        <f>hcbi!AA13+hcbi!Y13</f>
        <v/>
      </c>
      <c r="AG9" s="42">
        <f>'0₦'!AW12</f>
        <v/>
      </c>
      <c r="AH9" s="450">
        <f>15+120 + 180</f>
        <v/>
      </c>
      <c r="AK9" s="44" t="n">
        <v>697</v>
      </c>
      <c r="AL9" s="450" t="n">
        <v>23</v>
      </c>
    </row>
    <row r="10" ht="17.1" customHeight="1" s="37">
      <c r="B10" s="546">
        <f>B9+1</f>
        <v/>
      </c>
      <c r="C10" s="450" t="inlineStr">
        <is>
          <t>sf21</t>
        </is>
      </c>
      <c r="D10" s="257">
        <f>SUM(Y10:AH10)</f>
        <v/>
      </c>
      <c r="E10" s="54">
        <f>'0₦'!AF13</f>
        <v/>
      </c>
      <c r="F10" s="41">
        <f>'0₦'!AG13</f>
        <v/>
      </c>
      <c r="G10" s="79" t="n"/>
      <c r="H10" s="79" t="n"/>
      <c r="I10" s="450" t="n">
        <v>1</v>
      </c>
      <c r="J10" s="42" t="n">
        <v>194</v>
      </c>
      <c r="K10" s="450" t="n">
        <v>1</v>
      </c>
      <c r="L10" s="42" t="n">
        <v>130</v>
      </c>
      <c r="M10" s="450" t="n">
        <v>1</v>
      </c>
      <c r="N10" s="42" t="n">
        <v>115</v>
      </c>
      <c r="O10" s="450" t="n">
        <v>1</v>
      </c>
      <c r="P10" s="42" t="n">
        <v>78</v>
      </c>
      <c r="Q10" s="79" t="n"/>
      <c r="R10" s="79" t="n"/>
      <c r="S10" s="450" t="n">
        <v>1</v>
      </c>
      <c r="T10" s="42" t="n">
        <v>165</v>
      </c>
      <c r="U10" s="450" t="n">
        <v>1</v>
      </c>
      <c r="V10" s="42" t="n">
        <v>125</v>
      </c>
      <c r="W10" s="450" t="n">
        <v>1</v>
      </c>
      <c r="X10" s="56">
        <f>D10-SUM(H10,J10,L10,N10,P10,R10,T10,V10)</f>
        <v/>
      </c>
      <c r="Y10" s="57">
        <f>12*COUNT(G10,I10,K10,M10,O10,Q10,U10,W10,S10)</f>
        <v/>
      </c>
      <c r="Z10" s="40">
        <f>9+30+50</f>
        <v/>
      </c>
      <c r="AA10" s="445">
        <f>'0₦'!BI13 + 25 + 30 + 10 + 30 + 60 - 10 - 20</f>
        <v/>
      </c>
      <c r="AB10" s="446">
        <f>'0₦'!BE13 + 30</f>
        <v/>
      </c>
      <c r="AC10" s="450">
        <f>'0₦'!BC13 + -26 + 20  + 15</f>
        <v/>
      </c>
      <c r="AD10" s="42">
        <f>'0₦'!BD13</f>
        <v/>
      </c>
      <c r="AE10" s="42">
        <f>'0₦'!AX13</f>
        <v/>
      </c>
      <c r="AF10" s="446">
        <f>hcbi!AA14+hcbi!Y14</f>
        <v/>
      </c>
      <c r="AG10" s="42">
        <f>'0₦'!AW13 + 10</f>
        <v/>
      </c>
      <c r="AH10" s="450" t="n">
        <v>26</v>
      </c>
      <c r="AI10" s="445" t="e">
        <v>#VALUE!</v>
      </c>
      <c r="AJ10" s="445" t="e">
        <v>#VALUE!</v>
      </c>
      <c r="AK10" s="44" t="n">
        <v>755</v>
      </c>
      <c r="AL10" s="450" t="n">
        <v>266</v>
      </c>
    </row>
    <row r="11" ht="17.1" customHeight="1" s="37">
      <c r="B11" s="546">
        <f>B10+1</f>
        <v/>
      </c>
      <c r="C11" s="450" t="inlineStr">
        <is>
          <t>sf21</t>
        </is>
      </c>
      <c r="D11" s="257">
        <f>SUM(Y11:AH11)</f>
        <v/>
      </c>
      <c r="E11" s="54">
        <f>'0₦'!AF14</f>
        <v/>
      </c>
      <c r="F11" s="41">
        <f>'0₦'!AG14</f>
        <v/>
      </c>
      <c r="G11" s="79" t="n"/>
      <c r="H11" s="79" t="n"/>
      <c r="I11" s="79" t="n"/>
      <c r="J11" s="79" t="n"/>
      <c r="K11" s="450" t="n">
        <v>1</v>
      </c>
      <c r="L11" s="42" t="n">
        <v>224</v>
      </c>
      <c r="M11" s="450" t="n">
        <v>1</v>
      </c>
      <c r="N11" s="42" t="n">
        <v>220</v>
      </c>
      <c r="O11" s="450" t="n">
        <v>1</v>
      </c>
      <c r="P11" s="42" t="n">
        <v>103</v>
      </c>
      <c r="Q11" s="450" t="n">
        <v>1</v>
      </c>
      <c r="R11" s="42" t="n">
        <v>153</v>
      </c>
      <c r="S11" s="450" t="n">
        <v>1</v>
      </c>
      <c r="T11" s="42" t="n">
        <v>163</v>
      </c>
      <c r="U11" s="450" t="n">
        <v>1</v>
      </c>
      <c r="V11" s="42" t="n">
        <v>176</v>
      </c>
      <c r="W11" s="450" t="n">
        <v>1</v>
      </c>
      <c r="X11" s="56">
        <f>D11-SUM(H11,J11,L11,N11,P11,R11,T11,V11)</f>
        <v/>
      </c>
      <c r="Y11" s="57">
        <f>12*COUNT(G11,I11,K11,M11,O11,Q11,U11,W11,S11)</f>
        <v/>
      </c>
      <c r="Z11" s="40">
        <f>IF(AND('0₦'!T14&lt;&gt;0,'0₦'!T14&lt;&gt;""),9,0) + 40 + 30</f>
        <v/>
      </c>
      <c r="AA11" s="445">
        <f>'0₦'!BI14 + 30+30 + 60 + 30 + 10 + 30 + 10 + 30 + 30 + 30</f>
        <v/>
      </c>
      <c r="AB11" s="446">
        <f>'0₦'!BE14 + 30 + 10 + 10</f>
        <v/>
      </c>
      <c r="AC11" s="450">
        <f>'0₦'!BC14 + '1₦+'!X5</f>
        <v/>
      </c>
      <c r="AD11" s="42">
        <f>'0₦'!BD14</f>
        <v/>
      </c>
      <c r="AE11" s="42">
        <f>'0₦'!AX14</f>
        <v/>
      </c>
      <c r="AF11" s="446">
        <f>hcbi!AA15+hcbi!Y15</f>
        <v/>
      </c>
      <c r="AG11" s="42">
        <f>'0₦'!AW14 + 23 + '1₦+'!P5 + SUM('1₦+'!N5:O5)</f>
        <v/>
      </c>
      <c r="AH11" s="450">
        <f>0</f>
        <v/>
      </c>
      <c r="AK11" s="44">
        <f>760</f>
        <v/>
      </c>
      <c r="AL11" s="450" t="n">
        <v>507</v>
      </c>
    </row>
    <row r="12" ht="17.1" customHeight="1" s="37">
      <c r="B12" s="546">
        <f>B11+1</f>
        <v/>
      </c>
      <c r="C12" s="450" t="inlineStr">
        <is>
          <t>sf21</t>
        </is>
      </c>
      <c r="D12" s="257">
        <f>SUM(Y12:AH12)</f>
        <v/>
      </c>
      <c r="E12" s="54">
        <f>'0₦'!AF15</f>
        <v/>
      </c>
      <c r="F12" s="41">
        <f>'0₦'!AG15</f>
        <v/>
      </c>
      <c r="G12" s="79" t="n"/>
      <c r="H12" s="79" t="n"/>
      <c r="I12" s="450" t="n">
        <v>1</v>
      </c>
      <c r="J12" s="42" t="n">
        <v>168</v>
      </c>
      <c r="K12" s="450" t="n">
        <v>1</v>
      </c>
      <c r="L12" s="434" t="n">
        <v>229</v>
      </c>
      <c r="M12" s="450" t="n">
        <v>1</v>
      </c>
      <c r="N12" s="42" t="n">
        <v>266</v>
      </c>
      <c r="O12" s="450" t="n">
        <v>1</v>
      </c>
      <c r="P12" s="42" t="n">
        <v>229</v>
      </c>
      <c r="Q12" s="450" t="n">
        <v>1</v>
      </c>
      <c r="R12" s="42" t="n">
        <v>193</v>
      </c>
      <c r="S12" s="450" t="n">
        <v>1</v>
      </c>
      <c r="T12" s="42" t="n">
        <v>144</v>
      </c>
      <c r="U12" s="450" t="n">
        <v>1</v>
      </c>
      <c r="V12" s="42" t="n">
        <v>177</v>
      </c>
      <c r="W12" s="450" t="n">
        <v>1</v>
      </c>
      <c r="X12" s="56">
        <f>D12-SUM(H12,J12,L12,N12,P12,R12,T12,V12)</f>
        <v/>
      </c>
      <c r="Y12" s="57">
        <f>12*COUNT(G12,I12,K12,M12,O12,Q12,U12,W12,S12)</f>
        <v/>
      </c>
      <c r="Z12" s="40">
        <f>IF(AND('0₦'!T15&lt;&gt;0,'0₦'!T15&lt;&gt;""),9,0) + 15 + 20 + 30 + 15 + 100</f>
        <v/>
      </c>
      <c r="AA12" s="445">
        <f>'0₦'!BI15 + 30 + 40 + 30 + 20 + 30 + 5 + 10 + 10 + 25 + 30 + 30 + 10 + 60</f>
        <v/>
      </c>
      <c r="AB12" s="446">
        <f>'0₦'!BE15 + 35 + 100 + 20 + 10 + 21</f>
        <v/>
      </c>
      <c r="AC12" s="450">
        <f>'0₦'!BC15 + 30</f>
        <v/>
      </c>
      <c r="AD12" s="42">
        <f>'0₦'!BD15</f>
        <v/>
      </c>
      <c r="AE12" s="42">
        <f>'0₦'!AX15+'1₦+'!U5</f>
        <v/>
      </c>
      <c r="AF12" s="446">
        <f>hcbi!AA16+hcbi!Y16 + 25</f>
        <v/>
      </c>
      <c r="AG12" s="42">
        <f>'0₦'!AW15</f>
        <v/>
      </c>
      <c r="AH12" s="450">
        <f>0+15+'1₦+'!R5+10+'1₦+'!R4 + 20 + 7</f>
        <v/>
      </c>
      <c r="AI12" s="445" t="e">
        <v>#VALUE!</v>
      </c>
      <c r="AJ12" s="445" t="e">
        <v>#VALUE!</v>
      </c>
      <c r="AK12" s="44" t="n">
        <v>777</v>
      </c>
      <c r="AL12" s="450" t="n">
        <v>569</v>
      </c>
    </row>
    <row r="13" ht="17.1" customHeight="1" s="37">
      <c r="B13" s="546">
        <f>B12+1</f>
        <v/>
      </c>
      <c r="C13" s="433" t="inlineStr">
        <is>
          <t>SEA</t>
        </is>
      </c>
      <c r="D13" s="257">
        <f>SUM(Y13:AH13)</f>
        <v/>
      </c>
      <c r="E13" s="54">
        <f>'0₦'!AF16</f>
        <v/>
      </c>
      <c r="F13" s="41">
        <f>'0₦'!AG16</f>
        <v/>
      </c>
      <c r="G13" s="450" t="n">
        <v>1</v>
      </c>
      <c r="H13" s="410" t="n">
        <v>12</v>
      </c>
      <c r="I13" s="450" t="n">
        <v>1</v>
      </c>
      <c r="J13" s="42" t="n">
        <v>12</v>
      </c>
      <c r="K13" s="450" t="n">
        <v>1</v>
      </c>
      <c r="L13" s="42" t="n">
        <v>298</v>
      </c>
      <c r="M13" s="450" t="n">
        <v>1</v>
      </c>
      <c r="N13" s="42" t="n">
        <v>145</v>
      </c>
      <c r="O13" s="450" t="n">
        <v>1</v>
      </c>
      <c r="P13" s="42" t="n">
        <v>271</v>
      </c>
      <c r="Q13" s="450" t="n">
        <v>1</v>
      </c>
      <c r="R13" s="42" t="n">
        <v>127</v>
      </c>
      <c r="S13" s="450" t="n">
        <v>1</v>
      </c>
      <c r="T13" s="42" t="n">
        <v>118</v>
      </c>
      <c r="U13" s="450" t="n">
        <v>1</v>
      </c>
      <c r="V13" s="42" t="n">
        <v>245</v>
      </c>
      <c r="X13" s="438">
        <f>D13-SUM(H13,J13,L13,N13,P13,R13,T13,V13)</f>
        <v/>
      </c>
      <c r="Y13" s="57">
        <f>12*COUNT(G13,I13,K13,M13,O13,Q13,U13,W13,S13)</f>
        <v/>
      </c>
      <c r="Z13" s="40">
        <f>IF(AND('0₦'!T16&lt;&gt;0,'0₦'!T16&lt;&gt;""),9,0) + 20</f>
        <v/>
      </c>
      <c r="AA13" s="445">
        <f>'0₦'!BI16 + 10+35 + 40 + 30 + 90 + 60 + 30 + 45 + 30 + 30 + 30 - 20 + 20</f>
        <v/>
      </c>
      <c r="AB13" s="446">
        <f>'0₦'!BE16 + 100 + 15 + 10</f>
        <v/>
      </c>
      <c r="AC13" s="450">
        <f>'0₦'!BC16 + 12</f>
        <v/>
      </c>
      <c r="AD13" s="42">
        <f>'0₦'!BD16</f>
        <v/>
      </c>
      <c r="AE13" s="42">
        <f>'0₦'!AX16 + 14</f>
        <v/>
      </c>
      <c r="AF13" s="446">
        <f>hcbi!AA17+hcbi!Y17 + 20</f>
        <v/>
      </c>
      <c r="AG13" s="42">
        <f>'0₦'!AW16</f>
        <v/>
      </c>
      <c r="AH13" s="450">
        <f>150</f>
        <v/>
      </c>
      <c r="AK13" s="44" t="n">
        <v>690</v>
      </c>
      <c r="AL13" s="450" t="n">
        <v>89</v>
      </c>
    </row>
    <row r="14" ht="17.1" customHeight="1" s="37">
      <c r="B14" s="546">
        <f>B13+1</f>
        <v/>
      </c>
      <c r="C14" s="433" t="inlineStr">
        <is>
          <t>SEA</t>
        </is>
      </c>
      <c r="D14" s="257">
        <f>SUM(Y14:AH14)</f>
        <v/>
      </c>
      <c r="E14" s="54">
        <f>'0₦'!AF17</f>
        <v/>
      </c>
      <c r="F14" s="41">
        <f>'0₦'!AG17</f>
        <v/>
      </c>
      <c r="G14" s="450" t="n">
        <v>1</v>
      </c>
      <c r="H14" s="410" t="n">
        <v>12</v>
      </c>
      <c r="I14" s="450" t="n">
        <v>1</v>
      </c>
      <c r="J14" s="42" t="n">
        <v>75</v>
      </c>
      <c r="K14" s="450" t="n">
        <v>1</v>
      </c>
      <c r="L14" s="42" t="n">
        <v>499</v>
      </c>
      <c r="M14" s="450" t="n">
        <v>1</v>
      </c>
      <c r="N14" s="42" t="n">
        <v>148</v>
      </c>
      <c r="O14" s="450" t="n">
        <v>1</v>
      </c>
      <c r="P14" s="42" t="n">
        <v>168</v>
      </c>
      <c r="Q14" s="450" t="n">
        <v>1</v>
      </c>
      <c r="R14" s="42" t="n">
        <v>171</v>
      </c>
      <c r="S14" s="450" t="n">
        <v>1</v>
      </c>
      <c r="T14" s="42" t="n">
        <v>187</v>
      </c>
      <c r="U14" s="450" t="n">
        <v>1</v>
      </c>
      <c r="V14" s="42" t="n">
        <v>227</v>
      </c>
      <c r="W14" s="450" t="n">
        <v>1</v>
      </c>
      <c r="X14" s="56">
        <f>D14-SUM(H14,J14,L14,N14,P14,R14,T14,V14)</f>
        <v/>
      </c>
      <c r="Y14" s="57">
        <f>12*COUNT(G14,I14,K14,M14,O14,Q14,U14,W14,S14)</f>
        <v/>
      </c>
      <c r="Z14" s="40">
        <f>IF(AND('0₦'!T17&lt;&gt;0,'0₦'!T17&lt;&gt;""),9,0) + 60 + 30 + 80 + 40 + 30</f>
        <v/>
      </c>
      <c r="AA14" s="445">
        <f>'0₦'!BI17 + 10 + 300 - 15 + 10 + 20 + 40 + 60 + 30</f>
        <v/>
      </c>
      <c r="AB14" s="446">
        <f>'0₦'!BE17+30 + 10 + 250 + 15 + 10 + 45</f>
        <v/>
      </c>
      <c r="AC14" s="450">
        <f>'0₦'!BC17 + 5 + 15 + 20 + 10</f>
        <v/>
      </c>
      <c r="AD14" s="42">
        <f>'0₦'!BD17+'1₦+'!S5</f>
        <v/>
      </c>
      <c r="AE14" s="42">
        <f>'0₦'!AX17+'1₦+'!W5 + 18</f>
        <v/>
      </c>
      <c r="AF14" s="446">
        <f>hcbi!AA18+hcbi!Y18 + 15</f>
        <v/>
      </c>
      <c r="AG14" s="42">
        <f>'0₦'!AW17</f>
        <v/>
      </c>
      <c r="AH14" s="450">
        <f>7 + 30 + 10 + 35 + 10</f>
        <v/>
      </c>
      <c r="AI14" s="445" t="e">
        <v>#VALUE!</v>
      </c>
      <c r="AJ14" s="445" t="e">
        <v>#VALUE!</v>
      </c>
      <c r="AK14" s="44" t="n">
        <v>583</v>
      </c>
      <c r="AL14" s="450" t="n">
        <v>57</v>
      </c>
    </row>
    <row r="15" ht="17.1" customHeight="1" s="37">
      <c r="A15" s="547" t="n"/>
      <c r="B15" s="546">
        <f>B14+1</f>
        <v/>
      </c>
      <c r="C15" s="450" t="inlineStr">
        <is>
          <t>sf21</t>
        </is>
      </c>
      <c r="D15" s="257">
        <f>SUM(Y15:AH15)</f>
        <v/>
      </c>
      <c r="E15" s="54">
        <f>'0₦'!AF18</f>
        <v/>
      </c>
      <c r="F15" s="41">
        <f>'0₦'!AG18</f>
        <v/>
      </c>
      <c r="G15" s="450" t="n">
        <v>1</v>
      </c>
      <c r="H15" s="410" t="n">
        <v>14</v>
      </c>
      <c r="I15" s="450" t="n">
        <v>1</v>
      </c>
      <c r="J15" s="42" t="n">
        <v>232</v>
      </c>
      <c r="K15" s="38" t="n">
        <v>1</v>
      </c>
      <c r="L15" s="42" t="n">
        <v>229</v>
      </c>
      <c r="M15" s="450" t="n">
        <v>1</v>
      </c>
      <c r="N15" s="42" t="n">
        <v>200</v>
      </c>
      <c r="O15" s="450" t="n">
        <v>1</v>
      </c>
      <c r="P15" s="42" t="n">
        <v>200</v>
      </c>
      <c r="Q15" s="450" t="n">
        <v>1</v>
      </c>
      <c r="R15" s="42" t="n">
        <v>200</v>
      </c>
      <c r="S15" s="450" t="n">
        <v>1</v>
      </c>
      <c r="T15" s="42" t="n">
        <v>200</v>
      </c>
      <c r="U15" s="450" t="n">
        <v>1</v>
      </c>
      <c r="V15" s="42" t="n">
        <v>205</v>
      </c>
      <c r="W15" s="450" t="n">
        <v>1</v>
      </c>
      <c r="X15" s="56">
        <f>D15-SUM(H15,J15,L15,N15,P15,R15,T15,V15)</f>
        <v/>
      </c>
      <c r="Y15" s="57">
        <f>12*COUNT(G15,I15,K15,M15,O15,Q15,U15,W15,S15)</f>
        <v/>
      </c>
      <c r="Z15" s="40">
        <f>IF(AND('0₦'!T18&lt;&gt;0,'0₦'!T18&lt;&gt;""),9,0) + 70 + 150+ 30 + 40</f>
        <v/>
      </c>
      <c r="AA15" s="445">
        <f>'0₦'!BI18+10</f>
        <v/>
      </c>
      <c r="AB15" s="446">
        <f>'0₦'!BE18+25</f>
        <v/>
      </c>
      <c r="AC15" s="450">
        <f>'0₦'!BC18 + 60 + 3</f>
        <v/>
      </c>
      <c r="AD15" s="42">
        <f>'0₦'!BD18</f>
        <v/>
      </c>
      <c r="AE15" s="42">
        <f>'0₦'!AX18</f>
        <v/>
      </c>
      <c r="AF15" s="446">
        <f>hcbi!AA19+hcbi!Y19</f>
        <v/>
      </c>
      <c r="AG15" s="42">
        <f>'0₦'!AW18 + 30 + 30 + 120 + 30</f>
        <v/>
      </c>
      <c r="AH15" s="450">
        <f>120</f>
        <v/>
      </c>
      <c r="AK15" s="44" t="n">
        <v>379</v>
      </c>
      <c r="AL15" s="38" t="n">
        <v>164</v>
      </c>
    </row>
    <row r="16" ht="17.1" customHeight="1" s="37">
      <c r="A16" s="441">
        <f>A9+0.1</f>
        <v/>
      </c>
      <c r="B16" s="546">
        <f>B15+1</f>
        <v/>
      </c>
      <c r="C16" s="450" t="inlineStr">
        <is>
          <t>sf21</t>
        </is>
      </c>
      <c r="D16" s="257">
        <f>SUM(Y16:AH16)</f>
        <v/>
      </c>
      <c r="E16" s="54">
        <f>'0₦'!AF19</f>
        <v/>
      </c>
      <c r="F16" s="41">
        <f>'0₦'!AG19</f>
        <v/>
      </c>
      <c r="G16" s="450" t="n">
        <v>1</v>
      </c>
      <c r="H16" s="410" t="n">
        <v>12</v>
      </c>
      <c r="I16" s="450" t="n">
        <v>1</v>
      </c>
      <c r="J16" s="42" t="n">
        <v>249</v>
      </c>
      <c r="K16" s="450" t="n">
        <v>1</v>
      </c>
      <c r="L16" s="42" t="n">
        <v>187</v>
      </c>
      <c r="M16" s="450" t="n">
        <v>1</v>
      </c>
      <c r="N16" s="42" t="n">
        <v>125</v>
      </c>
      <c r="O16" s="450" t="n">
        <v>1</v>
      </c>
      <c r="P16" s="42" t="n">
        <v>213</v>
      </c>
      <c r="Q16" s="450" t="n">
        <v>1</v>
      </c>
      <c r="R16" s="42" t="n">
        <v>215</v>
      </c>
      <c r="S16" s="450" t="n">
        <v>1</v>
      </c>
      <c r="T16" s="42" t="n">
        <v>200</v>
      </c>
      <c r="U16" s="450" t="n">
        <v>1</v>
      </c>
      <c r="V16" s="42" t="n">
        <v>150</v>
      </c>
      <c r="W16" s="450" t="n">
        <v>1</v>
      </c>
      <c r="X16" s="56">
        <f>D16-SUM(H16,J16,L16,N16,P16,R16,T16,V16)</f>
        <v/>
      </c>
      <c r="Y16" s="57">
        <f>12*COUNT(G16,I16,K16,M16,O16,Q16,U16,W16,S16)</f>
        <v/>
      </c>
      <c r="Z16" s="40">
        <f>IF(AND('0₦'!T19&lt;&gt;0,'0₦'!T19&lt;&gt;""),9,0) + 50 + 90 + 60</f>
        <v/>
      </c>
      <c r="AA16" s="445">
        <f>'0₦'!BI19 + 0</f>
        <v/>
      </c>
      <c r="AB16" s="446">
        <f>'0₦'!BE19 + 30 + 10 + 15 + 30 + 30 + 30 + 15 +15 + 20 + 30 + 20 + 36 + 10 + 100</f>
        <v/>
      </c>
      <c r="AC16" s="450">
        <f>'0₦'!BC19 + 60 + 20</f>
        <v/>
      </c>
      <c r="AD16" s="42">
        <f>'0₦'!BD19</f>
        <v/>
      </c>
      <c r="AE16" s="42">
        <f>'0₦'!AX19</f>
        <v/>
      </c>
      <c r="AF16" s="446">
        <f>hcbi!AA20+hcbi!Y20</f>
        <v/>
      </c>
      <c r="AG16" s="42">
        <f>'0₦'!AW19 + 60 + 90 + 60</f>
        <v/>
      </c>
      <c r="AH16" s="450">
        <f>0</f>
        <v/>
      </c>
      <c r="AI16" s="445" t="e">
        <v>#VALUE!</v>
      </c>
      <c r="AJ16" s="445" t="e">
        <v>#VALUE!</v>
      </c>
      <c r="AK16" s="44" t="n">
        <v>463</v>
      </c>
      <c r="AL16" s="450" t="n">
        <v>196</v>
      </c>
    </row>
    <row r="17" ht="17.1" customHeight="1" s="37">
      <c r="B17" s="546">
        <f>B16+1</f>
        <v/>
      </c>
      <c r="C17" s="450" t="inlineStr">
        <is>
          <t>sf21</t>
        </is>
      </c>
      <c r="D17" s="257">
        <f>SUM(Y17:AH17)</f>
        <v/>
      </c>
      <c r="E17" s="54">
        <f>'0₦'!AF20</f>
        <v/>
      </c>
      <c r="F17" s="41">
        <f>'0₦'!AG20</f>
        <v/>
      </c>
      <c r="G17" s="79" t="n"/>
      <c r="H17" s="79" t="n"/>
      <c r="I17" s="79" t="n"/>
      <c r="J17" s="79" t="n"/>
      <c r="K17" s="450" t="n">
        <v>1</v>
      </c>
      <c r="L17" s="42" t="n">
        <v>200</v>
      </c>
      <c r="M17" s="450" t="n">
        <v>1</v>
      </c>
      <c r="N17" s="42" t="n">
        <v>200</v>
      </c>
      <c r="O17" s="450" t="n">
        <v>1</v>
      </c>
      <c r="P17" s="42" t="n">
        <v>200</v>
      </c>
      <c r="Q17" s="450" t="n">
        <v>1</v>
      </c>
      <c r="R17" s="42" t="n">
        <v>200</v>
      </c>
      <c r="S17" s="450" t="n">
        <v>1</v>
      </c>
      <c r="T17" s="42" t="n">
        <v>195</v>
      </c>
      <c r="U17" s="450" t="n">
        <v>1</v>
      </c>
      <c r="V17" s="42">
        <f>D17-SUM(H17,J17,L17,N17,P17,R17,T17)</f>
        <v/>
      </c>
      <c r="W17" s="79" t="n"/>
      <c r="X17" s="79" t="n"/>
      <c r="Y17" s="57">
        <f>12*COUNT(G17,I17,K17,M17,O17,Q17,U17,W17,S17)</f>
        <v/>
      </c>
      <c r="Z17" s="40">
        <f>9+60 + 30 + 45</f>
        <v/>
      </c>
      <c r="AA17" s="445">
        <f>'0₦'!BI20 + -5 - 20</f>
        <v/>
      </c>
      <c r="AB17" s="446">
        <f>'0₦'!BE20 - 15</f>
        <v/>
      </c>
      <c r="AC17" s="450">
        <f>'0₦'!BC20 + 60 - 10 - 20</f>
        <v/>
      </c>
      <c r="AD17" s="42">
        <f>'0₦'!BD20</f>
        <v/>
      </c>
      <c r="AE17" s="42">
        <f>'0₦'!AX20</f>
        <v/>
      </c>
      <c r="AF17" s="446">
        <f>hcbi!AA21+hcbi!Y21</f>
        <v/>
      </c>
      <c r="AG17" s="42">
        <f>'0₦'!AW20 + 30 + 120 + 120 + 120 + 180</f>
        <v/>
      </c>
      <c r="AH17" s="450">
        <f>20+20+20+20 + 10</f>
        <v/>
      </c>
      <c r="AK17" s="44" t="n">
        <v>774</v>
      </c>
      <c r="AL17" s="450" t="n">
        <v>904</v>
      </c>
    </row>
    <row r="18" ht="17.1" customHeight="1" s="37">
      <c r="B18" s="546">
        <f>B17+1</f>
        <v/>
      </c>
      <c r="C18" s="450" t="inlineStr">
        <is>
          <t>sf21</t>
        </is>
      </c>
      <c r="D18" s="257">
        <f>SUM(Y18:AH18)</f>
        <v/>
      </c>
      <c r="E18" s="54">
        <f>'0₦'!AF21</f>
        <v/>
      </c>
      <c r="F18" s="41">
        <f>'0₦'!AG21</f>
        <v/>
      </c>
      <c r="G18" s="79" t="n"/>
      <c r="H18" s="79" t="n"/>
      <c r="I18" s="450" t="n">
        <v>1</v>
      </c>
      <c r="J18" s="42" t="n">
        <v>132</v>
      </c>
      <c r="K18" s="450" t="n">
        <v>1</v>
      </c>
      <c r="L18" s="42" t="n">
        <v>302</v>
      </c>
      <c r="M18" s="450" t="n">
        <v>1</v>
      </c>
      <c r="N18" s="42" t="n">
        <v>132</v>
      </c>
      <c r="O18" s="450" t="n">
        <v>1</v>
      </c>
      <c r="P18" s="42" t="n">
        <v>242</v>
      </c>
      <c r="Q18" s="450" t="n">
        <v>1</v>
      </c>
      <c r="R18" s="42" t="n">
        <v>305</v>
      </c>
      <c r="S18" s="450" t="n">
        <v>1</v>
      </c>
      <c r="T18" s="42" t="n">
        <v>208</v>
      </c>
      <c r="U18" s="450" t="n">
        <v>1</v>
      </c>
      <c r="V18" s="42">
        <f>D18-SUM(H18,J18,L18,N18,P18,R18,T18)</f>
        <v/>
      </c>
      <c r="W18" s="450" t="n">
        <v>1</v>
      </c>
      <c r="X18" s="56">
        <f>D18-SUM(H18,J18,L18,N18,P18,R18,T18,V18)</f>
        <v/>
      </c>
      <c r="Y18" s="57">
        <f>12*COUNT(G18,I18,K18,M18,O18,Q18,U18,W18,S18)</f>
        <v/>
      </c>
      <c r="Z18" s="40">
        <f>IF(AND('0₦'!T21&lt;&gt;0,'0₦'!T21&lt;&gt;""),9,0) + 60 + 40 + 40 + 40</f>
        <v/>
      </c>
      <c r="AA18" s="445">
        <f>'0₦'!BI21 + 35 + 10 + 5 + 20 + 30 + 30 + 30 + 50 + 30 + 30 + 10</f>
        <v/>
      </c>
      <c r="AB18" s="446">
        <f>'0₦'!BE21 + 15 + 20 + 100 + 30 + 10 + 7</f>
        <v/>
      </c>
      <c r="AC18" s="450">
        <f>'0₦'!BC21 + 10 + 20 + 5 - 26</f>
        <v/>
      </c>
      <c r="AD18" s="42">
        <f>'0₦'!BD21</f>
        <v/>
      </c>
      <c r="AE18" s="42">
        <f>'0₦'!AX21 + 21</f>
        <v/>
      </c>
      <c r="AF18" s="446">
        <f>hcbi!AA22+hcbi!Y22 + 20</f>
        <v/>
      </c>
      <c r="AG18" s="42">
        <f>'0₦'!AW21+10 + 15 + 30 + 20</f>
        <v/>
      </c>
      <c r="AH18" s="450">
        <f>20+20</f>
        <v/>
      </c>
      <c r="AI18" s="445" t="e">
        <v>#VALUE!</v>
      </c>
      <c r="AJ18" s="445" t="e">
        <v>#VALUE!</v>
      </c>
      <c r="AK18" s="44" t="n">
        <v>845</v>
      </c>
      <c r="AL18" s="450" t="n">
        <v>343</v>
      </c>
    </row>
    <row r="19" ht="17.1" customHeight="1" s="37">
      <c r="B19" s="546">
        <f>B18+1</f>
        <v/>
      </c>
      <c r="C19" s="433" t="inlineStr">
        <is>
          <t>SEA</t>
        </is>
      </c>
      <c r="D19" s="257">
        <f>SUM(Y19:AH19)</f>
        <v/>
      </c>
      <c r="E19" s="54">
        <f>'0₦'!AF22</f>
        <v/>
      </c>
      <c r="F19" s="41">
        <f>'0₦'!AG22</f>
        <v/>
      </c>
      <c r="G19" s="450" t="n">
        <v>1</v>
      </c>
      <c r="H19" s="410" t="n">
        <v>12</v>
      </c>
      <c r="I19" s="450" t="n">
        <v>1</v>
      </c>
      <c r="J19" s="42" t="n">
        <v>233</v>
      </c>
      <c r="K19" s="450" t="n">
        <v>1</v>
      </c>
      <c r="L19" s="42" t="n">
        <v>135</v>
      </c>
      <c r="M19" s="450" t="n">
        <v>1</v>
      </c>
      <c r="N19" s="42" t="n">
        <v>234</v>
      </c>
      <c r="O19" s="450" t="n">
        <v>1</v>
      </c>
      <c r="P19" s="42" t="n">
        <v>120</v>
      </c>
      <c r="Q19" s="450" t="n">
        <v>1</v>
      </c>
      <c r="R19" s="42" t="n">
        <v>151</v>
      </c>
      <c r="S19" s="450" t="n">
        <v>1</v>
      </c>
      <c r="T19" s="42" t="n">
        <v>239</v>
      </c>
      <c r="U19" s="450" t="n">
        <v>1</v>
      </c>
      <c r="V19" s="42" t="n">
        <v>200</v>
      </c>
      <c r="W19" s="450" t="n">
        <v>1</v>
      </c>
      <c r="X19" s="56">
        <f>D19-SUM(H19,J19,L19,N19,P19,R19,T19,V19)</f>
        <v/>
      </c>
      <c r="Y19" s="57">
        <f>12*COUNT(G19,I19,K19,M19,O19,Q19,U19,W19,S19)</f>
        <v/>
      </c>
      <c r="Z19" s="40">
        <f>IF(AND('0₦'!T22&lt;&gt;0,'0₦'!T22&lt;&gt;""),9,0) + 80 + 60 + 40 + 40</f>
        <v/>
      </c>
      <c r="AA19" s="445">
        <f>'0₦'!BI22 + 60 + 20 + 20 + 40 + 45 + 40 + 30*6 + 30 - 20</f>
        <v/>
      </c>
      <c r="AB19" s="446">
        <f>'0₦'!BE22 + 50 + 15 + 100</f>
        <v/>
      </c>
      <c r="AC19" s="450">
        <f>'0₦'!BC22 + 26 + 15</f>
        <v/>
      </c>
      <c r="AD19" s="42">
        <f>'0₦'!BD22</f>
        <v/>
      </c>
      <c r="AE19" s="42">
        <f>'0₦'!AX22 + 15</f>
        <v/>
      </c>
      <c r="AF19" s="446">
        <f>hcbi!AA23+hcbi!Y23</f>
        <v/>
      </c>
      <c r="AG19" s="42">
        <f>'0₦'!AW22</f>
        <v/>
      </c>
      <c r="AH19" s="450">
        <f>10 + 20 + 120 + 21</f>
        <v/>
      </c>
      <c r="AK19" s="44" t="n">
        <v>757</v>
      </c>
      <c r="AL19" s="450" t="n">
        <v>533</v>
      </c>
    </row>
    <row r="20" ht="17.1" customHeight="1" s="37">
      <c r="B20" s="546">
        <f>B19+1</f>
        <v/>
      </c>
      <c r="C20" s="433" t="inlineStr">
        <is>
          <t>SEA</t>
        </is>
      </c>
      <c r="D20" s="257">
        <f>SUM(Y20:AH20)</f>
        <v/>
      </c>
      <c r="E20" s="54">
        <f>'0₦'!AF23</f>
        <v/>
      </c>
      <c r="F20" s="41">
        <f>'0₦'!AG23</f>
        <v/>
      </c>
      <c r="G20" s="450" t="n">
        <v>1</v>
      </c>
      <c r="H20" s="410" t="n">
        <v>12</v>
      </c>
      <c r="I20" s="450" t="n">
        <v>1</v>
      </c>
      <c r="J20" s="42" t="n">
        <v>343</v>
      </c>
      <c r="K20" s="450" t="n">
        <v>1</v>
      </c>
      <c r="L20" s="42" t="n">
        <v>303</v>
      </c>
      <c r="M20" s="450" t="n">
        <v>1</v>
      </c>
      <c r="N20" s="42" t="n">
        <v>212</v>
      </c>
      <c r="O20" s="450" t="n">
        <v>1</v>
      </c>
      <c r="P20" s="42" t="n">
        <v>114</v>
      </c>
      <c r="Q20" s="450" t="n">
        <v>1</v>
      </c>
      <c r="R20" s="42" t="n">
        <v>193</v>
      </c>
      <c r="S20" s="450" t="n">
        <v>1</v>
      </c>
      <c r="T20" s="42" t="n">
        <v>231</v>
      </c>
      <c r="U20" s="450" t="n">
        <v>1</v>
      </c>
      <c r="V20" s="42" t="n">
        <v>221</v>
      </c>
      <c r="W20" s="450" t="n">
        <v>1</v>
      </c>
      <c r="X20" s="56">
        <f>D20-SUM(H20,J20,L20,N20,P20,R20,T20,V20)</f>
        <v/>
      </c>
      <c r="Y20" s="57">
        <f>12*COUNT(G20,I20,K20,M20,O20,Q20,U20,W20,S20)</f>
        <v/>
      </c>
      <c r="Z20" s="40">
        <f>IF(AND('0₦'!T23&lt;&gt;0,'0₦'!T23&lt;&gt;""),9,0) + 50 + 30 + 40 + 46</f>
        <v/>
      </c>
      <c r="AA20" s="445">
        <f>'0₦'!BI23 + 60 + 30 + 30 + 40 + 10 + 30 + 30 + 20 + 10 + 30 + 30 + 25 - 20</f>
        <v/>
      </c>
      <c r="AB20" s="446">
        <f>'0₦'!BE23 + 10 + 45 + 15 + 100 + 30+'1₦+'!G6</f>
        <v/>
      </c>
      <c r="AC20" s="450">
        <f>'0₦'!BC23 + 20+'1₦+'!L6+'1₦+'!D6+'1₦+'!C6</f>
        <v/>
      </c>
      <c r="AD20" s="42">
        <f>'0₦'!BD23 + 10</f>
        <v/>
      </c>
      <c r="AE20" s="42">
        <f>'0₦'!AX23 + '1₦+'!Z7 + 30 + 30 + 30 + 25 + 30 + 11</f>
        <v/>
      </c>
      <c r="AF20" s="446">
        <f>hcbi!AA24+hcbi!Y24 + 15</f>
        <v/>
      </c>
      <c r="AG20" s="42">
        <f>'0₦'!AW23</f>
        <v/>
      </c>
      <c r="AH20" s="450">
        <f>25 + 10</f>
        <v/>
      </c>
      <c r="AI20" s="445" t="e">
        <v>#VALUE!</v>
      </c>
      <c r="AJ20" s="445" t="n"/>
      <c r="AK20" s="44" t="n">
        <v>764</v>
      </c>
      <c r="AL20" s="450" t="n">
        <v>258</v>
      </c>
    </row>
    <row r="21" ht="17.1" customHeight="1" s="37">
      <c r="B21" s="546">
        <f>B20+1</f>
        <v/>
      </c>
      <c r="C21" s="433" t="inlineStr">
        <is>
          <t>SEA</t>
        </is>
      </c>
      <c r="D21" s="257">
        <f>SUM(Y21:AH21)</f>
        <v/>
      </c>
      <c r="E21" s="54">
        <f>'0₦'!AF24</f>
        <v/>
      </c>
      <c r="F21" s="41">
        <f>'0₦'!AG24</f>
        <v/>
      </c>
      <c r="G21" s="450" t="n">
        <v>1</v>
      </c>
      <c r="H21" s="410" t="n">
        <v>12</v>
      </c>
      <c r="I21" s="450" t="n">
        <v>1</v>
      </c>
      <c r="J21" s="42" t="n">
        <v>90</v>
      </c>
      <c r="K21" s="450" t="n">
        <v>1</v>
      </c>
      <c r="L21" s="42" t="n">
        <v>379</v>
      </c>
      <c r="M21" s="450" t="n">
        <v>1</v>
      </c>
      <c r="N21" s="42" t="n">
        <v>212</v>
      </c>
      <c r="O21" s="450" t="n">
        <v>1</v>
      </c>
      <c r="P21" s="42" t="n">
        <v>200</v>
      </c>
      <c r="Q21" s="450" t="n">
        <v>1</v>
      </c>
      <c r="R21" s="42" t="n">
        <v>107</v>
      </c>
      <c r="S21" s="450" t="n">
        <v>1</v>
      </c>
      <c r="T21" s="42" t="n">
        <v>283</v>
      </c>
      <c r="U21" s="450" t="n">
        <v>1</v>
      </c>
      <c r="V21" s="42" t="n">
        <v>115</v>
      </c>
      <c r="W21" s="450" t="n">
        <v>1</v>
      </c>
      <c r="X21" s="56">
        <f>D21-SUM(H21,J21,L21,N21,P21,R21,T21,V21)</f>
        <v/>
      </c>
      <c r="Y21" s="57">
        <f>12*COUNT(G21,I21,K21,M21,O21,Q21,U21,W21,S21)</f>
        <v/>
      </c>
      <c r="Z21" s="40">
        <f>IF(AND('0₦'!T24&lt;&gt;0,'0₦'!T24&lt;&gt;""),9,0) + 50 + 20 + 20</f>
        <v/>
      </c>
      <c r="AA21" s="445">
        <f>'0₦'!BI24 + 40 + 300 + 45 + 30 + 30 + 30</f>
        <v/>
      </c>
      <c r="AB21" s="446">
        <f>'0₦'!BE24 + 30 + 15 +30</f>
        <v/>
      </c>
      <c r="AC21" s="450">
        <f>'0₦'!BC24 + '1₦+'!Y6 + 20</f>
        <v/>
      </c>
      <c r="AD21" s="42">
        <f>'0₦'!BD24</f>
        <v/>
      </c>
      <c r="AE21" s="42">
        <f>'0₦'!AX24</f>
        <v/>
      </c>
      <c r="AF21" s="446">
        <f>hcbi!AA25+hcbi!Y25</f>
        <v/>
      </c>
      <c r="AG21" s="42">
        <f>'0₦'!AW24 + 30</f>
        <v/>
      </c>
      <c r="AH21" s="450">
        <f>30 + 100</f>
        <v/>
      </c>
      <c r="AK21" s="44" t="n">
        <v>750</v>
      </c>
      <c r="AL21" s="450" t="n">
        <v>402</v>
      </c>
    </row>
    <row r="22" ht="17.1" customHeight="1" s="37">
      <c r="A22" s="547" t="n"/>
      <c r="B22" s="546">
        <f>B21+1</f>
        <v/>
      </c>
      <c r="C22" s="450" t="inlineStr">
        <is>
          <t>sf21</t>
        </is>
      </c>
      <c r="D22" s="257">
        <f>SUM(Y22:AH22)</f>
        <v/>
      </c>
      <c r="E22" s="54">
        <f>'0₦'!AF25</f>
        <v/>
      </c>
      <c r="F22" s="41">
        <f>'0₦'!AG25</f>
        <v/>
      </c>
      <c r="G22" s="450" t="n">
        <v>1</v>
      </c>
      <c r="H22" s="410" t="n">
        <v>12</v>
      </c>
      <c r="I22" s="450" t="n">
        <v>1</v>
      </c>
      <c r="J22" s="42">
        <f>D22-H22</f>
        <v/>
      </c>
      <c r="L22" s="42">
        <f>D22-SUM(H22,J22)</f>
        <v/>
      </c>
      <c r="N22" s="42">
        <f>D22-SUM(H22,J22,L22,)</f>
        <v/>
      </c>
      <c r="P22" s="42">
        <f>D22-SUM(H22,J22,L22,N22)</f>
        <v/>
      </c>
      <c r="R22" s="42">
        <f>D22-SUM(H22,J22,L22,N22,P22)</f>
        <v/>
      </c>
      <c r="T22" s="42">
        <f>D22-SUM(H22,J22,L22,N22,P22,R22)</f>
        <v/>
      </c>
      <c r="V22" s="42">
        <f>D22-SUM(H22,J22,L22,N22,P22,R22,T22)</f>
        <v/>
      </c>
      <c r="X22" s="56">
        <f>D22-SUM(H22,J22,L22,N22,P22,R22,T22,V22)</f>
        <v/>
      </c>
      <c r="Y22" s="57">
        <f>12*COUNT(G22,I22,K22,M22,O22,Q22,U22,W22,S22)</f>
        <v/>
      </c>
      <c r="Z22" s="40">
        <f>IF(AND('0₦'!T25&lt;&gt;0,'0₦'!T25&lt;&gt;""),9,0) + 0</f>
        <v/>
      </c>
      <c r="AA22" s="445">
        <f>'0₦'!BI25 + 0</f>
        <v/>
      </c>
      <c r="AB22" s="446">
        <f>'0₦'!BE25</f>
        <v/>
      </c>
      <c r="AC22" s="450">
        <f>'0₦'!BC25 + 0</f>
        <v/>
      </c>
      <c r="AD22" s="42">
        <f>'0₦'!BD25</f>
        <v/>
      </c>
      <c r="AE22" s="42">
        <f>'0₦'!AX25</f>
        <v/>
      </c>
      <c r="AF22" s="446">
        <f>hcbi!AA26+hcbi!Y26</f>
        <v/>
      </c>
      <c r="AG22" s="42">
        <f>'0₦'!AW25</f>
        <v/>
      </c>
      <c r="AH22" s="450">
        <f>0</f>
        <v/>
      </c>
      <c r="AI22" s="445" t="n"/>
      <c r="AJ22" s="445" t="n"/>
      <c r="AK22" s="44" t="n">
        <v>768</v>
      </c>
      <c r="AL22" s="450" t="n">
        <v>116</v>
      </c>
    </row>
    <row r="23" ht="17.1" customHeight="1" s="37">
      <c r="A23" s="441">
        <f>A16+0.1</f>
        <v/>
      </c>
      <c r="B23" s="546">
        <f>B22+1</f>
        <v/>
      </c>
      <c r="C23" s="450" t="inlineStr">
        <is>
          <t>sf21</t>
        </is>
      </c>
      <c r="D23" s="257">
        <f>SUM(Y23:AH23)</f>
        <v/>
      </c>
      <c r="E23" s="54">
        <f>'0₦'!AF26</f>
        <v/>
      </c>
      <c r="F23" s="41">
        <f>'0₦'!AG26</f>
        <v/>
      </c>
      <c r="H23" s="410">
        <f>D23</f>
        <v/>
      </c>
      <c r="J23" s="42">
        <f>D23-H23</f>
        <v/>
      </c>
      <c r="L23" s="42">
        <f>D23-SUM(H23,J23)</f>
        <v/>
      </c>
      <c r="N23" s="42">
        <f>D23-SUM(H23,J23,L23,)</f>
        <v/>
      </c>
      <c r="P23" s="42">
        <f>D23-SUM(H23,J23,L23,N23)</f>
        <v/>
      </c>
      <c r="R23" s="42">
        <f>D23-SUM(H23,J23,L23,N23,P23)</f>
        <v/>
      </c>
      <c r="T23" s="42">
        <f>D23-SUM(H23,J23,L23,N23,P23,R23)</f>
        <v/>
      </c>
      <c r="V23" s="42">
        <f>D23-SUM(H23,J23,L23,N23,P23,R23,T23)</f>
        <v/>
      </c>
      <c r="X23" s="56">
        <f>D23-SUM(H23,J23,L23,N23,P23,R23,T23,V23)</f>
        <v/>
      </c>
      <c r="Y23" s="57">
        <f>12*COUNT(G23,I23,K23,M23,O23,Q23,U23,W23,S23)</f>
        <v/>
      </c>
      <c r="Z23" s="40">
        <f>IF(AND('0₦'!T26&lt;&gt;0,'0₦'!T26&lt;&gt;""),9,0) + 0</f>
        <v/>
      </c>
      <c r="AA23" s="445">
        <f>'0₦'!BI26 + 0</f>
        <v/>
      </c>
      <c r="AB23" s="446">
        <f>'0₦'!BE26</f>
        <v/>
      </c>
      <c r="AC23" s="450">
        <f>'0₦'!BC26 + 0</f>
        <v/>
      </c>
      <c r="AD23" s="42">
        <f>'0₦'!BD26</f>
        <v/>
      </c>
      <c r="AE23" s="42">
        <f>'0₦'!AX26</f>
        <v/>
      </c>
      <c r="AF23" s="446">
        <f>hcbi!AA27+hcbi!Y27</f>
        <v/>
      </c>
      <c r="AG23" s="42">
        <f>'0₦'!AW26</f>
        <v/>
      </c>
      <c r="AH23" s="450">
        <f>0</f>
        <v/>
      </c>
      <c r="AK23" s="44" t="n">
        <v>523</v>
      </c>
      <c r="AL23" s="450" t="n">
        <v>14</v>
      </c>
    </row>
    <row r="24" ht="17.1" customHeight="1" s="37">
      <c r="B24" s="546">
        <f>B23+1</f>
        <v/>
      </c>
      <c r="C24" s="450" t="inlineStr">
        <is>
          <t>sf21</t>
        </is>
      </c>
      <c r="D24" s="257">
        <f>SUM(Y24:AH24)</f>
        <v/>
      </c>
      <c r="E24" s="54">
        <f>'0₦'!AF27</f>
        <v/>
      </c>
      <c r="F24" s="41">
        <f>'0₦'!AG27</f>
        <v/>
      </c>
      <c r="H24" s="410">
        <f>D24</f>
        <v/>
      </c>
      <c r="J24" s="42">
        <f>D24-H24</f>
        <v/>
      </c>
      <c r="L24" s="42">
        <f>D24-SUM(H24,J24)</f>
        <v/>
      </c>
      <c r="N24" s="42">
        <f>D24-SUM(H24,J24,L24,)</f>
        <v/>
      </c>
      <c r="P24" s="42">
        <f>D24-SUM(H24,J24,L24,N24)</f>
        <v/>
      </c>
      <c r="R24" s="42">
        <f>D24-SUM(H24,J24,L24,N24,P24)</f>
        <v/>
      </c>
      <c r="T24" s="42">
        <f>D24-SUM(H24,J24,L24,N24,P24,R24)</f>
        <v/>
      </c>
      <c r="V24" s="42">
        <f>D24-SUM(H24,J24,L24,N24,P24,R24,T24)</f>
        <v/>
      </c>
      <c r="X24" s="56">
        <f>D24-SUM(H24,J24,L24,N24,P24,R24,T24,V24)</f>
        <v/>
      </c>
      <c r="Y24" s="57">
        <f>12*COUNT(G24,I24,K24,M24,O24,Q24,U24,W24,S24)</f>
        <v/>
      </c>
      <c r="Z24" s="40">
        <f>IF(AND('0₦'!T27&lt;&gt;0,'0₦'!T27&lt;&gt;""),9,0) + 0</f>
        <v/>
      </c>
      <c r="AA24" s="445">
        <f>'0₦'!BI27 + 0</f>
        <v/>
      </c>
      <c r="AB24" s="446">
        <f>'0₦'!BE27</f>
        <v/>
      </c>
      <c r="AC24" s="450">
        <f>'0₦'!BC27 + 0</f>
        <v/>
      </c>
      <c r="AD24" s="42">
        <f>'0₦'!BD27</f>
        <v/>
      </c>
      <c r="AE24" s="42">
        <f>'0₦'!AX27</f>
        <v/>
      </c>
      <c r="AF24" s="446">
        <f>hcbi!AA28+hcbi!Y28</f>
        <v/>
      </c>
      <c r="AG24" s="42">
        <f>'0₦'!AW27</f>
        <v/>
      </c>
      <c r="AH24" s="450">
        <f>0</f>
        <v/>
      </c>
      <c r="AI24" s="445" t="n"/>
      <c r="AJ24" s="445" t="n"/>
      <c r="AK24" s="44" t="n">
        <v>523</v>
      </c>
      <c r="AL24" s="450" t="n">
        <v>100</v>
      </c>
    </row>
    <row r="25" ht="17.1" customHeight="1" s="37">
      <c r="B25" s="546">
        <f>B24+1</f>
        <v/>
      </c>
      <c r="C25" s="450" t="inlineStr">
        <is>
          <t>sf21</t>
        </is>
      </c>
      <c r="D25" s="257">
        <f>SUM(Y25:AH25)</f>
        <v/>
      </c>
      <c r="E25" s="54">
        <f>'0₦'!AF28</f>
        <v/>
      </c>
      <c r="F25" s="41">
        <f>'0₦'!AG28</f>
        <v/>
      </c>
      <c r="H25" s="410">
        <f>D25</f>
        <v/>
      </c>
      <c r="J25" s="42">
        <f>D25-H25</f>
        <v/>
      </c>
      <c r="L25" s="42">
        <f>D25-SUM(H25,J25)</f>
        <v/>
      </c>
      <c r="N25" s="42">
        <f>D25-SUM(H25,J25,L25,)</f>
        <v/>
      </c>
      <c r="P25" s="42">
        <f>D25-SUM(H25,J25,L25,N25)</f>
        <v/>
      </c>
      <c r="R25" s="42">
        <f>D25-SUM(H25,J25,L25,N25,P25)</f>
        <v/>
      </c>
      <c r="T25" s="42">
        <f>D25-SUM(H25,J25,L25,N25,P25,R25)</f>
        <v/>
      </c>
      <c r="V25" s="42">
        <f>D25-SUM(H25,J25,L25,N25,P25,R25,T25)</f>
        <v/>
      </c>
      <c r="X25" s="56">
        <f>D25-SUM(H25,J25,L25,N25,P25,R25,T25,V25)</f>
        <v/>
      </c>
      <c r="Y25" s="57">
        <f>12*COUNT(G25,I25,K25,M25,O25,Q25,U25,W25,S25)</f>
        <v/>
      </c>
      <c r="Z25" s="40">
        <f>IF(AND('0₦'!T28&lt;&gt;0,'0₦'!T28&lt;&gt;""),9,0) + 0</f>
        <v/>
      </c>
      <c r="AA25" s="445">
        <f>'0₦'!BI28 + 0</f>
        <v/>
      </c>
      <c r="AB25" s="446">
        <f>'0₦'!BE28</f>
        <v/>
      </c>
      <c r="AC25" s="450">
        <f>'0₦'!BC28 + 0</f>
        <v/>
      </c>
      <c r="AD25" s="42">
        <f>'0₦'!BD28</f>
        <v/>
      </c>
      <c r="AE25" s="42">
        <f>'0₦'!AX28</f>
        <v/>
      </c>
      <c r="AF25" s="446">
        <f>hcbi!AA29+hcbi!Y29</f>
        <v/>
      </c>
      <c r="AG25" s="42">
        <f>'0₦'!AW28</f>
        <v/>
      </c>
      <c r="AH25" s="450">
        <f>0</f>
        <v/>
      </c>
      <c r="AK25" s="44" t="n">
        <v>656</v>
      </c>
      <c r="AL25" s="450" t="n">
        <v>1000</v>
      </c>
    </row>
    <row r="26" ht="17.1" customHeight="1" s="37">
      <c r="B26" s="546">
        <f>B25+1</f>
        <v/>
      </c>
      <c r="C26" s="450" t="inlineStr">
        <is>
          <t>sf21</t>
        </is>
      </c>
      <c r="D26" s="257">
        <f>SUM(Y26:AH26)</f>
        <v/>
      </c>
      <c r="E26" s="54">
        <f>'0₦'!AF29</f>
        <v/>
      </c>
      <c r="F26" s="41">
        <f>'0₦'!AG29</f>
        <v/>
      </c>
      <c r="H26" s="410">
        <f>D26</f>
        <v/>
      </c>
      <c r="J26" s="42">
        <f>D26-H26</f>
        <v/>
      </c>
      <c r="L26" s="42">
        <f>D26-SUM(H26,J26)</f>
        <v/>
      </c>
      <c r="N26" s="42">
        <f>D26-SUM(H26,J26,L26,)</f>
        <v/>
      </c>
      <c r="P26" s="42">
        <f>D26-SUM(H26,J26,L26,N26)</f>
        <v/>
      </c>
      <c r="R26" s="42">
        <f>D26-SUM(H26,J26,L26,N26,P26)</f>
        <v/>
      </c>
      <c r="T26" s="42">
        <f>D26-SUM(H26,J26,L26,N26,P26,R26)</f>
        <v/>
      </c>
      <c r="V26" s="42">
        <f>D26-SUM(H26,J26,L26,N26,P26,R26,T26)</f>
        <v/>
      </c>
      <c r="X26" s="56">
        <f>D26-SUM(H26,J26,L26,N26,P26,R26,T26,V26)</f>
        <v/>
      </c>
      <c r="Y26" s="57">
        <f>12*COUNT(G26,I26,K26,M26,O26,Q26,U26,W26,S26)</f>
        <v/>
      </c>
      <c r="Z26" s="40">
        <f>IF(AND('0₦'!T29&lt;&gt;0,'0₦'!T29&lt;&gt;""),9,0) + 0</f>
        <v/>
      </c>
      <c r="AA26" s="445">
        <f>'0₦'!BI29 + 0</f>
        <v/>
      </c>
      <c r="AB26" s="446">
        <f>'0₦'!BE29</f>
        <v/>
      </c>
      <c r="AC26" s="450">
        <f>'0₦'!BC29 + 0</f>
        <v/>
      </c>
      <c r="AD26" s="42">
        <f>'0₦'!BD29</f>
        <v/>
      </c>
      <c r="AE26" s="42">
        <f>'0₦'!AX29</f>
        <v/>
      </c>
      <c r="AF26" s="446">
        <f>hcbi!AA30+hcbi!Y30</f>
        <v/>
      </c>
      <c r="AG26" s="42">
        <f>'0₦'!AW29</f>
        <v/>
      </c>
      <c r="AH26" s="450">
        <f>0</f>
        <v/>
      </c>
      <c r="AI26" s="445" t="n"/>
      <c r="AJ26" s="445" t="n"/>
      <c r="AK26" s="44" t="n">
        <v>623</v>
      </c>
      <c r="AL26" s="450" t="n">
        <v>45</v>
      </c>
    </row>
    <row r="27" ht="17.1" customHeight="1" s="37">
      <c r="B27" s="546">
        <f>B26+1</f>
        <v/>
      </c>
      <c r="C27" s="450" t="inlineStr">
        <is>
          <t>sf21</t>
        </is>
      </c>
      <c r="D27" s="257">
        <f>SUM(Y27:AH27)</f>
        <v/>
      </c>
      <c r="E27" s="54">
        <f>'0₦'!AF30</f>
        <v/>
      </c>
      <c r="F27" s="41">
        <f>'0₦'!AG30</f>
        <v/>
      </c>
      <c r="H27" s="410">
        <f>D27</f>
        <v/>
      </c>
      <c r="J27" s="42">
        <f>D27-H27</f>
        <v/>
      </c>
      <c r="L27" s="42">
        <f>D27-SUM(H27,J27)</f>
        <v/>
      </c>
      <c r="N27" s="42">
        <f>D27-SUM(H27,J27,L27,)</f>
        <v/>
      </c>
      <c r="P27" s="42">
        <f>D27-SUM(H27,J27,L27,N27)</f>
        <v/>
      </c>
      <c r="R27" s="42">
        <f>D27-SUM(H27,J27,L27,N27,P27)</f>
        <v/>
      </c>
      <c r="T27" s="42">
        <f>D27-SUM(H27,J27,L27,N27,P27,R27)</f>
        <v/>
      </c>
      <c r="V27" s="42">
        <f>D27-SUM(H27,J27,L27,N27,P27,R27,T27)</f>
        <v/>
      </c>
      <c r="X27" s="56">
        <f>D27-SUM(H27,J27,L27,N27,P27,R27,T27,V27)</f>
        <v/>
      </c>
      <c r="Y27" s="57">
        <f>12*COUNT(G27,I27,K27,M27,O27,Q27,U27,W27,S27)</f>
        <v/>
      </c>
      <c r="Z27" s="40">
        <f>IF(AND('0₦'!T30&lt;&gt;0,'0₦'!T30&lt;&gt;""),9,0) + 0</f>
        <v/>
      </c>
      <c r="AA27" s="445">
        <f>'0₦'!BI30 + 0</f>
        <v/>
      </c>
      <c r="AB27" s="446">
        <f>'0₦'!BE30</f>
        <v/>
      </c>
      <c r="AC27" s="450">
        <f>'0₦'!BC30 + 0</f>
        <v/>
      </c>
      <c r="AD27" s="42">
        <f>'0₦'!BD30</f>
        <v/>
      </c>
      <c r="AE27" s="42">
        <f>'0₦'!AX30</f>
        <v/>
      </c>
      <c r="AF27" s="446">
        <f>hcbi!AA31+hcbi!Y31</f>
        <v/>
      </c>
      <c r="AG27" s="42">
        <f>'0₦'!AW30</f>
        <v/>
      </c>
      <c r="AH27" s="450">
        <f>0</f>
        <v/>
      </c>
      <c r="AK27" s="44" t="n">
        <v>658</v>
      </c>
      <c r="AL27" s="450" t="n">
        <v>129</v>
      </c>
    </row>
    <row r="28" ht="17.1" customHeight="1" s="37">
      <c r="B28" s="546">
        <f>B27+1</f>
        <v/>
      </c>
      <c r="C28" s="450" t="inlineStr">
        <is>
          <t>sf21</t>
        </is>
      </c>
      <c r="D28" s="257">
        <f>SUM(Y28:AH28)</f>
        <v/>
      </c>
      <c r="E28" s="54">
        <f>'0₦'!AF31</f>
        <v/>
      </c>
      <c r="F28" s="41">
        <f>'0₦'!AG31</f>
        <v/>
      </c>
      <c r="H28" s="410">
        <f>D28</f>
        <v/>
      </c>
      <c r="J28" s="42">
        <f>D28-H28</f>
        <v/>
      </c>
      <c r="L28" s="42">
        <f>D28-SUM(H28,J28)</f>
        <v/>
      </c>
      <c r="N28" s="42">
        <f>D28-SUM(H28,J28,L28,)</f>
        <v/>
      </c>
      <c r="P28" s="42">
        <f>D28-SUM(H28,J28,L28,N28)</f>
        <v/>
      </c>
      <c r="R28" s="42">
        <f>D28-SUM(H28,J28,L28,N28,P28)</f>
        <v/>
      </c>
      <c r="T28" s="42">
        <f>D28-SUM(H28,J28,L28,N28,P28,R28)</f>
        <v/>
      </c>
      <c r="V28" s="42">
        <f>D28-SUM(H28,J28,L28,N28,P28,R28,T28)</f>
        <v/>
      </c>
      <c r="X28" s="56">
        <f>D28-SUM(H28,J28,L28,N28,P28,R28,T28,V28)</f>
        <v/>
      </c>
      <c r="Y28" s="57">
        <f>12*COUNT(G28,I28,K28,M28,O28,Q28,U28,W28,S28)</f>
        <v/>
      </c>
      <c r="Z28" s="40">
        <f>IF(AND('0₦'!T31&lt;&gt;0,'0₦'!T31&lt;&gt;""),9,0) + 0</f>
        <v/>
      </c>
      <c r="AA28" s="445">
        <f>'0₦'!BI31 + 0</f>
        <v/>
      </c>
      <c r="AB28" s="446">
        <f>'0₦'!BE31</f>
        <v/>
      </c>
      <c r="AC28" s="450">
        <f>'0₦'!BC31 + 0</f>
        <v/>
      </c>
      <c r="AD28" s="42">
        <f>'0₦'!BD31</f>
        <v/>
      </c>
      <c r="AE28" s="42">
        <f>'0₦'!AX31</f>
        <v/>
      </c>
      <c r="AF28" s="446">
        <f>hcbi!AA32+hcbi!Y32</f>
        <v/>
      </c>
      <c r="AG28" s="42">
        <f>'0₦'!AW31</f>
        <v/>
      </c>
      <c r="AH28" s="450">
        <f>0</f>
        <v/>
      </c>
      <c r="AI28" s="445" t="n"/>
      <c r="AJ28" s="445" t="n"/>
      <c r="AK28" s="44" t="n">
        <v>620</v>
      </c>
      <c r="AL28" s="450" t="n">
        <v>100</v>
      </c>
    </row>
    <row r="29" ht="17.1" customHeight="1" s="37">
      <c r="A29" s="547" t="n"/>
      <c r="B29" s="546">
        <f>B28+1</f>
        <v/>
      </c>
      <c r="C29" s="450" t="inlineStr">
        <is>
          <t>sf21</t>
        </is>
      </c>
      <c r="D29" s="257">
        <f>SUM(Y29:AH29)</f>
        <v/>
      </c>
      <c r="E29" s="54">
        <f>'0₦'!AF32</f>
        <v/>
      </c>
      <c r="F29" s="41">
        <f>'0₦'!AG32</f>
        <v/>
      </c>
      <c r="H29" s="410">
        <f>D29</f>
        <v/>
      </c>
      <c r="J29" s="42">
        <f>D29-H29</f>
        <v/>
      </c>
      <c r="L29" s="42">
        <f>D29-SUM(H29,J29)</f>
        <v/>
      </c>
      <c r="N29" s="42">
        <f>D29-SUM(H29,J29,L29,)</f>
        <v/>
      </c>
      <c r="P29" s="42">
        <f>D29-SUM(H29,J29,L29,N29)</f>
        <v/>
      </c>
      <c r="R29" s="42">
        <f>D29-SUM(H29,J29,L29,N29,P29)</f>
        <v/>
      </c>
      <c r="T29" s="42">
        <f>D29-SUM(H29,J29,L29,N29,P29,R29)</f>
        <v/>
      </c>
      <c r="V29" s="42">
        <f>D29-SUM(H29,J29,L29,N29,P29,R29,T29)</f>
        <v/>
      </c>
      <c r="X29" s="56">
        <f>D29-SUM(H29,J29,L29,N29,P29,R29,T29,V29)</f>
        <v/>
      </c>
      <c r="Y29" s="57">
        <f>12*COUNT(G29,I29,K29,M29,O29,Q29,U29,W29,S29)</f>
        <v/>
      </c>
      <c r="Z29" s="40">
        <f>IF(AND('0₦'!T32&lt;&gt;0,'0₦'!T32&lt;&gt;""),9,0) + 0</f>
        <v/>
      </c>
      <c r="AA29" s="445">
        <f>'0₦'!BI32 + 0</f>
        <v/>
      </c>
      <c r="AB29" s="446">
        <f>'0₦'!BE32</f>
        <v/>
      </c>
      <c r="AC29" s="450">
        <f>'0₦'!BC32 + 0</f>
        <v/>
      </c>
      <c r="AD29" s="42">
        <f>'0₦'!BD32</f>
        <v/>
      </c>
      <c r="AE29" s="42">
        <f>'0₦'!AX32</f>
        <v/>
      </c>
      <c r="AF29" s="446">
        <f>hcbi!AA33+hcbi!Y33</f>
        <v/>
      </c>
      <c r="AG29" s="42">
        <f>'0₦'!AW32</f>
        <v/>
      </c>
      <c r="AH29" s="450">
        <f>0</f>
        <v/>
      </c>
      <c r="AK29" s="44" t="n">
        <v>652</v>
      </c>
      <c r="AL29" s="450" t="n">
        <v>10</v>
      </c>
    </row>
    <row r="30" ht="17.1" customHeight="1" s="37">
      <c r="A30" s="441">
        <f>A2+1</f>
        <v/>
      </c>
      <c r="B30" s="546">
        <f>B29+1</f>
        <v/>
      </c>
      <c r="C30" s="450" t="inlineStr">
        <is>
          <t>sf21</t>
        </is>
      </c>
      <c r="D30" s="257">
        <f>SUM(Y30:AH30)</f>
        <v/>
      </c>
      <c r="E30" s="54">
        <f>'0₦'!AF33</f>
        <v/>
      </c>
      <c r="F30" s="41">
        <f>'0₦'!AG33</f>
        <v/>
      </c>
      <c r="H30" s="410">
        <f>D30</f>
        <v/>
      </c>
      <c r="J30" s="42">
        <f>D30-H30</f>
        <v/>
      </c>
      <c r="L30" s="42">
        <f>D30-SUM(H30,J30)</f>
        <v/>
      </c>
      <c r="N30" s="42">
        <f>D30-SUM(H30,J30,L30,)</f>
        <v/>
      </c>
      <c r="P30" s="42">
        <f>D30-SUM(H30,J30,L30,N30)</f>
        <v/>
      </c>
      <c r="R30" s="42">
        <f>D30-SUM(H30,J30,L30,N30,P30)</f>
        <v/>
      </c>
      <c r="T30" s="42">
        <f>D30-SUM(H30,J30,L30,N30,P30,R30)</f>
        <v/>
      </c>
      <c r="V30" s="42">
        <f>D30-SUM(H30,J30,L30,N30,P30,R30,T30)</f>
        <v/>
      </c>
      <c r="X30" s="56">
        <f>D30-SUM(H30,J30,L30,N30,P30,R30,T30,V30)</f>
        <v/>
      </c>
      <c r="Y30" s="57">
        <f>12*COUNT(G30,I30,K30,M30,O30,Q30,U30,W30,S30)</f>
        <v/>
      </c>
      <c r="Z30" s="40">
        <f>IF(AND('0₦'!T33&lt;&gt;0,'0₦'!T33&lt;&gt;""),9,0) + 0</f>
        <v/>
      </c>
      <c r="AA30" s="445">
        <f>'0₦'!BI33 + 0</f>
        <v/>
      </c>
      <c r="AB30" s="446">
        <f>'0₦'!BE33</f>
        <v/>
      </c>
      <c r="AC30" s="450">
        <f>'0₦'!BC33 + 0</f>
        <v/>
      </c>
      <c r="AD30" s="42">
        <f>'0₦'!BD33</f>
        <v/>
      </c>
      <c r="AE30" s="42">
        <f>'0₦'!AX33</f>
        <v/>
      </c>
      <c r="AF30" s="446">
        <f>hcbi!AA34+hcbi!Y34</f>
        <v/>
      </c>
      <c r="AG30" s="42">
        <f>'0₦'!AW33</f>
        <v/>
      </c>
      <c r="AH30" s="450">
        <f>0</f>
        <v/>
      </c>
      <c r="AI30" s="445" t="n"/>
      <c r="AJ30" s="445" t="n"/>
      <c r="AK30" s="44" t="n">
        <v>798</v>
      </c>
      <c r="AL30" s="450" t="n">
        <v>125</v>
      </c>
    </row>
    <row r="31" ht="17.1" customHeight="1" s="37">
      <c r="B31" s="546">
        <f>B30+1</f>
        <v/>
      </c>
      <c r="C31" s="450" t="inlineStr">
        <is>
          <t>sf21</t>
        </is>
      </c>
      <c r="D31" s="257">
        <f>SUM(Y31:AH31)</f>
        <v/>
      </c>
      <c r="E31" s="54">
        <f>'0₦'!AF34</f>
        <v/>
      </c>
      <c r="F31" s="41">
        <f>'0₦'!AG34</f>
        <v/>
      </c>
      <c r="H31" s="410">
        <f>D31</f>
        <v/>
      </c>
      <c r="J31" s="42">
        <f>D31-H31</f>
        <v/>
      </c>
      <c r="L31" s="42">
        <f>D31-SUM(H31,J31)</f>
        <v/>
      </c>
      <c r="N31" s="42">
        <f>D31-SUM(H31,J31,L31,)</f>
        <v/>
      </c>
      <c r="P31" s="42">
        <f>D31-SUM(H31,J31,L31,N31)</f>
        <v/>
      </c>
      <c r="R31" s="42">
        <f>D31-SUM(H31,J31,L31,N31,P31)</f>
        <v/>
      </c>
      <c r="T31" s="42">
        <f>D31-SUM(H31,J31,L31,N31,P31,R31)</f>
        <v/>
      </c>
      <c r="V31" s="42">
        <f>D31-SUM(H31,J31,L31,N31,P31,R31,T31)</f>
        <v/>
      </c>
      <c r="X31" s="56">
        <f>D31-SUM(H31,J31,L31,N31,P31,R31,T31,V31)</f>
        <v/>
      </c>
      <c r="Y31" s="57">
        <f>12*COUNT(G31,I31,K31,M31,O31,Q31,U31,W31,S31)</f>
        <v/>
      </c>
      <c r="Z31" s="40">
        <f>IF(AND('0₦'!T34&lt;&gt;0,'0₦'!T34&lt;&gt;""),9,0) + 0</f>
        <v/>
      </c>
      <c r="AA31" s="445">
        <f>'0₦'!BI34 + 0</f>
        <v/>
      </c>
      <c r="AB31" s="446">
        <f>'0₦'!BE34</f>
        <v/>
      </c>
      <c r="AC31" s="450">
        <f>'0₦'!BC34 + 0</f>
        <v/>
      </c>
      <c r="AD31" s="42">
        <f>'0₦'!BD34</f>
        <v/>
      </c>
      <c r="AE31" s="42">
        <f>'0₦'!AX34</f>
        <v/>
      </c>
      <c r="AF31" s="446">
        <f>hcbi!AA35+hcbi!Y35</f>
        <v/>
      </c>
      <c r="AG31" s="42">
        <f>'0₦'!AW34</f>
        <v/>
      </c>
      <c r="AH31" s="450">
        <f>0</f>
        <v/>
      </c>
      <c r="AK31" s="44" t="n">
        <v>702</v>
      </c>
      <c r="AL31" s="450" t="n">
        <v>329</v>
      </c>
    </row>
    <row r="32" ht="17.1" customHeight="1" s="37">
      <c r="B32" s="546">
        <f>B31+1</f>
        <v/>
      </c>
      <c r="C32" s="450" t="inlineStr">
        <is>
          <t>sf21</t>
        </is>
      </c>
      <c r="D32" s="257">
        <f>SUM(Y32:AH32)</f>
        <v/>
      </c>
      <c r="E32" s="54">
        <f>'0₦'!AF35</f>
        <v/>
      </c>
      <c r="F32" s="41">
        <f>'0₦'!AG35</f>
        <v/>
      </c>
      <c r="H32" s="410">
        <f>D32</f>
        <v/>
      </c>
      <c r="J32" s="42">
        <f>D32-H32</f>
        <v/>
      </c>
      <c r="L32" s="42">
        <f>D32-SUM(H32,J32)</f>
        <v/>
      </c>
      <c r="N32" s="42">
        <f>D32-SUM(H32,J32,L32,)</f>
        <v/>
      </c>
      <c r="P32" s="42">
        <f>D32-SUM(H32,J32,L32,N32)</f>
        <v/>
      </c>
      <c r="R32" s="42">
        <f>D32-SUM(H32,J32,L32,N32,P32)</f>
        <v/>
      </c>
      <c r="T32" s="42">
        <f>D32-SUM(H32,J32,L32,N32,P32,R32)</f>
        <v/>
      </c>
      <c r="V32" s="42">
        <f>D32-SUM(H32,J32,L32,N32,P32,R32,T32)</f>
        <v/>
      </c>
      <c r="X32" s="56">
        <f>D32-SUM(H32,J32,L32,N32,P32,R32,T32,V32)</f>
        <v/>
      </c>
      <c r="Y32" s="57">
        <f>12*COUNT(G32,I32,K32,M32,O32,Q32,U32,W32,S32)</f>
        <v/>
      </c>
      <c r="Z32" s="40">
        <f>IF(AND('0₦'!T35&lt;&gt;0,'0₦'!T35&lt;&gt;""),9,0) + 0</f>
        <v/>
      </c>
      <c r="AA32" s="445">
        <f>'0₦'!BI35 + 0</f>
        <v/>
      </c>
      <c r="AB32" s="446">
        <f>'0₦'!BE35</f>
        <v/>
      </c>
      <c r="AC32" s="450">
        <f>'0₦'!BC35 + 0</f>
        <v/>
      </c>
      <c r="AD32" s="42">
        <f>'0₦'!BD35</f>
        <v/>
      </c>
      <c r="AE32" s="42">
        <f>'0₦'!AX35</f>
        <v/>
      </c>
      <c r="AF32" s="446">
        <f>hcbi!AA36+hcbi!Y36</f>
        <v/>
      </c>
      <c r="AG32" s="42">
        <f>'0₦'!AW35</f>
        <v/>
      </c>
      <c r="AH32" s="450">
        <f>0</f>
        <v/>
      </c>
      <c r="AI32" s="445" t="n"/>
      <c r="AJ32" s="445" t="n"/>
      <c r="AK32" s="44" t="n">
        <v>727</v>
      </c>
      <c r="AL32" s="450" t="n">
        <v>523</v>
      </c>
    </row>
    <row r="33" ht="17.1" customHeight="1" s="37">
      <c r="B33" s="546">
        <f>B32+1</f>
        <v/>
      </c>
      <c r="C33" s="450" t="inlineStr">
        <is>
          <t>sf21</t>
        </is>
      </c>
      <c r="D33" s="257">
        <f>SUM(Y33:AH33)</f>
        <v/>
      </c>
      <c r="E33" s="54">
        <f>'0₦'!AF36</f>
        <v/>
      </c>
      <c r="F33" s="41">
        <f>'0₦'!AG36</f>
        <v/>
      </c>
      <c r="H33" s="410">
        <f>D33</f>
        <v/>
      </c>
      <c r="J33" s="42">
        <f>D33-H33</f>
        <v/>
      </c>
      <c r="L33" s="42">
        <f>D33-SUM(H33,J33)</f>
        <v/>
      </c>
      <c r="N33" s="42">
        <f>D33-SUM(H33,J33,L33,)</f>
        <v/>
      </c>
      <c r="P33" s="42">
        <f>D33-SUM(H33,J33,L33,N33)</f>
        <v/>
      </c>
      <c r="R33" s="42">
        <f>D33-SUM(H33,J33,L33,N33,P33)</f>
        <v/>
      </c>
      <c r="T33" s="42">
        <f>D33-SUM(H33,J33,L33,N33,P33,R33)</f>
        <v/>
      </c>
      <c r="V33" s="42">
        <f>D33-SUM(H33,J33,L33,N33,P33,R33,T33)</f>
        <v/>
      </c>
      <c r="X33" s="56">
        <f>D33-SUM(H33,J33,L33,N33,P33,R33,T33,V33)</f>
        <v/>
      </c>
      <c r="Y33" s="57">
        <f>12*COUNT(G33,I33,K33,M33,O33,Q33,U33,W33,S33)</f>
        <v/>
      </c>
      <c r="Z33" s="40">
        <f>IF(AND('0₦'!T36&lt;&gt;0,'0₦'!T36&lt;&gt;""),9,0) + 0</f>
        <v/>
      </c>
      <c r="AA33" s="445">
        <f>'0₦'!BI36 + 0</f>
        <v/>
      </c>
      <c r="AB33" s="446">
        <f>'0₦'!BE36</f>
        <v/>
      </c>
      <c r="AC33" s="450">
        <f>'0₦'!BC36 + 0</f>
        <v/>
      </c>
      <c r="AD33" s="42">
        <f>'0₦'!BD36</f>
        <v/>
      </c>
      <c r="AE33" s="42">
        <f>'0₦'!AX36</f>
        <v/>
      </c>
      <c r="AF33" s="446">
        <f>hcbi!AA37+hcbi!Y37</f>
        <v/>
      </c>
      <c r="AG33" s="42">
        <f>'0₦'!AW36</f>
        <v/>
      </c>
      <c r="AH33" s="450">
        <f>0</f>
        <v/>
      </c>
      <c r="AK33" s="44" t="n">
        <v>864</v>
      </c>
      <c r="AL33" s="450" t="n">
        <v>328</v>
      </c>
    </row>
    <row r="34" ht="17.1" customHeight="1" s="37">
      <c r="B34" s="546">
        <f>B33+1</f>
        <v/>
      </c>
      <c r="C34" s="450" t="inlineStr">
        <is>
          <t>sf21</t>
        </is>
      </c>
      <c r="D34" s="257">
        <f>SUM(Y34:AH34)</f>
        <v/>
      </c>
      <c r="E34" s="54">
        <f>'0₦'!AF37</f>
        <v/>
      </c>
      <c r="F34" s="41">
        <f>'0₦'!AG37</f>
        <v/>
      </c>
      <c r="H34" s="410">
        <f>D34</f>
        <v/>
      </c>
      <c r="J34" s="42">
        <f>D34-H34</f>
        <v/>
      </c>
      <c r="L34" s="42">
        <f>D34-SUM(H34,J34)</f>
        <v/>
      </c>
      <c r="N34" s="42">
        <f>D34-SUM(H34,J34,L34,)</f>
        <v/>
      </c>
      <c r="P34" s="42">
        <f>D34-SUM(H34,J34,L34,N34)</f>
        <v/>
      </c>
      <c r="R34" s="42">
        <f>D34-SUM(H34,J34,L34,N34,P34)</f>
        <v/>
      </c>
      <c r="T34" s="42">
        <f>D34-SUM(H34,J34,L34,N34,P34,R34)</f>
        <v/>
      </c>
      <c r="V34" s="42">
        <f>D34-SUM(H34,J34,L34,N34,P34,R34,T34)</f>
        <v/>
      </c>
      <c r="X34" s="56">
        <f>D34-SUM(H34,J34,L34,N34,P34,R34,T34,V34)</f>
        <v/>
      </c>
      <c r="Y34" s="57">
        <f>12*COUNT(G34,I34,K34,M34,O34,Q34,U34,W34,S34)</f>
        <v/>
      </c>
      <c r="Z34" s="40">
        <f>IF(AND('0₦'!T37&lt;&gt;0,'0₦'!T37&lt;&gt;""),9,0) + 0</f>
        <v/>
      </c>
      <c r="AA34" s="445">
        <f>'0₦'!BI37 + 0</f>
        <v/>
      </c>
      <c r="AB34" s="446">
        <f>'0₦'!BE37</f>
        <v/>
      </c>
      <c r="AC34" s="450">
        <f>'0₦'!BC37 + 0</f>
        <v/>
      </c>
      <c r="AD34" s="42">
        <f>'0₦'!BD37</f>
        <v/>
      </c>
      <c r="AE34" s="42">
        <f>'0₦'!AX37</f>
        <v/>
      </c>
      <c r="AF34" s="446">
        <f>hcbi!AA38+hcbi!Y38</f>
        <v/>
      </c>
      <c r="AG34" s="42">
        <f>'0₦'!AW37</f>
        <v/>
      </c>
      <c r="AH34" s="450">
        <f>0</f>
        <v/>
      </c>
      <c r="AI34" s="445" t="n"/>
      <c r="AJ34" s="445" t="n"/>
      <c r="AK34" s="44" t="n">
        <v>757</v>
      </c>
      <c r="AL34" s="450" t="n">
        <v>574</v>
      </c>
    </row>
    <row r="35" ht="17.1" customHeight="1" s="37">
      <c r="B35" s="546">
        <f>B34+1</f>
        <v/>
      </c>
      <c r="C35" s="450" t="inlineStr">
        <is>
          <t>sf21</t>
        </is>
      </c>
      <c r="D35" s="257">
        <f>SUM(Y35:AH35)</f>
        <v/>
      </c>
      <c r="E35" s="54">
        <f>'0₦'!AF38</f>
        <v/>
      </c>
      <c r="F35" s="41">
        <f>'0₦'!AG38</f>
        <v/>
      </c>
      <c r="H35" s="410">
        <f>D35</f>
        <v/>
      </c>
      <c r="J35" s="42">
        <f>D35-H35</f>
        <v/>
      </c>
      <c r="L35" s="42">
        <f>D35-SUM(H35,J35)</f>
        <v/>
      </c>
      <c r="N35" s="42">
        <f>D35-SUM(H35,J35,L35,)</f>
        <v/>
      </c>
      <c r="P35" s="42">
        <f>D35-SUM(H35,J35,L35,N35)</f>
        <v/>
      </c>
      <c r="R35" s="42">
        <f>D35-SUM(H35,J35,L35,N35,P35)</f>
        <v/>
      </c>
      <c r="T35" s="42">
        <f>D35-SUM(H35,J35,L35,N35,P35,R35)</f>
        <v/>
      </c>
      <c r="V35" s="42">
        <f>D35-SUM(H35,J35,L35,N35,P35,R35,T35)</f>
        <v/>
      </c>
      <c r="X35" s="56">
        <f>D35-SUM(H35,J35,L35,N35,P35,R35,T35,V35)</f>
        <v/>
      </c>
      <c r="Y35" s="57">
        <f>12*COUNT(G35,I35,K35,M35,O35,Q35,U35,W35,S35)</f>
        <v/>
      </c>
      <c r="Z35" s="40">
        <f>IF(AND('0₦'!T38&lt;&gt;0,'0₦'!T38&lt;&gt;""),9,0) + 0</f>
        <v/>
      </c>
      <c r="AA35" s="445">
        <f>'0₦'!BI38 + 0</f>
        <v/>
      </c>
      <c r="AB35" s="446">
        <f>'0₦'!BE38</f>
        <v/>
      </c>
      <c r="AC35" s="450">
        <f>'0₦'!BC38 + 0</f>
        <v/>
      </c>
      <c r="AD35" s="42">
        <f>'0₦'!BD38</f>
        <v/>
      </c>
      <c r="AE35" s="42">
        <f>'0₦'!AX38</f>
        <v/>
      </c>
      <c r="AF35" s="446">
        <f>hcbi!AA39+hcbi!Y39</f>
        <v/>
      </c>
      <c r="AG35" s="42">
        <f>'0₦'!AW38</f>
        <v/>
      </c>
      <c r="AH35" s="450">
        <f>0</f>
        <v/>
      </c>
      <c r="AK35" s="44" t="n">
        <v>930</v>
      </c>
      <c r="AL35" s="450" t="n">
        <v>517</v>
      </c>
    </row>
    <row r="36" ht="17.1" customHeight="1" s="37">
      <c r="A36" s="547" t="n"/>
      <c r="B36" s="546">
        <f>B35+1</f>
        <v/>
      </c>
      <c r="C36" s="450" t="inlineStr">
        <is>
          <t>sf21</t>
        </is>
      </c>
      <c r="D36" s="257">
        <f>SUM(Y36:AH36)</f>
        <v/>
      </c>
      <c r="E36" s="54">
        <f>'0₦'!AF39</f>
        <v/>
      </c>
      <c r="F36" s="41">
        <f>'0₦'!AG39</f>
        <v/>
      </c>
      <c r="H36" s="410">
        <f>D36</f>
        <v/>
      </c>
      <c r="J36" s="42">
        <f>D36-H36</f>
        <v/>
      </c>
      <c r="L36" s="42">
        <f>D36-SUM(H36,J36)</f>
        <v/>
      </c>
      <c r="N36" s="42">
        <f>D36-SUM(H36,J36,L36,)</f>
        <v/>
      </c>
      <c r="P36" s="42">
        <f>D36-SUM(H36,J36,L36,N36)</f>
        <v/>
      </c>
      <c r="R36" s="42">
        <f>D36-SUM(H36,J36,L36,N36,P36)</f>
        <v/>
      </c>
      <c r="T36" s="42">
        <f>D36-SUM(H36,J36,L36,N36,P36,R36)</f>
        <v/>
      </c>
      <c r="V36" s="42">
        <f>D36-SUM(H36,J36,L36,N36,P36,R36,T36)</f>
        <v/>
      </c>
      <c r="X36" s="56">
        <f>D36-SUM(H36,J36,L36,N36,P36,R36,T36,V36)</f>
        <v/>
      </c>
      <c r="Y36" s="57">
        <f>12*COUNT(G36,I36,K36,M36,O36,Q36,U36,W36,S36)</f>
        <v/>
      </c>
      <c r="Z36" s="40">
        <f>IF(AND('0₦'!T39&lt;&gt;0,'0₦'!T39&lt;&gt;""),9,0) + 0</f>
        <v/>
      </c>
      <c r="AA36" s="445">
        <f>'0₦'!BI39 + 0</f>
        <v/>
      </c>
      <c r="AB36" s="446">
        <f>'0₦'!BE39</f>
        <v/>
      </c>
      <c r="AC36" s="450">
        <f>'0₦'!BC39 + 0</f>
        <v/>
      </c>
      <c r="AD36" s="42">
        <f>'0₦'!BD39</f>
        <v/>
      </c>
      <c r="AE36" s="42">
        <f>'0₦'!AX39</f>
        <v/>
      </c>
      <c r="AF36" s="446">
        <f>hcbi!AA40+hcbi!Y40</f>
        <v/>
      </c>
      <c r="AG36" s="42">
        <f>'0₦'!AW39</f>
        <v/>
      </c>
      <c r="AH36" s="450">
        <f>0</f>
        <v/>
      </c>
      <c r="AI36" s="445" t="n"/>
      <c r="AJ36" s="445" t="n"/>
      <c r="AK36" s="44" t="n">
        <v>923</v>
      </c>
      <c r="AL36" s="450" t="n">
        <v>117</v>
      </c>
    </row>
    <row r="37" ht="17.1" customHeight="1" s="37">
      <c r="A37" s="441">
        <f>A30+0.1</f>
        <v/>
      </c>
      <c r="B37" s="546">
        <f>B36+1</f>
        <v/>
      </c>
      <c r="C37" s="450" t="inlineStr">
        <is>
          <t>sf21</t>
        </is>
      </c>
      <c r="D37" s="257">
        <f>SUM(Y37:AH37)</f>
        <v/>
      </c>
      <c r="E37" s="54">
        <f>'0₦'!AF40</f>
        <v/>
      </c>
      <c r="F37" s="41">
        <f>'0₦'!AG40</f>
        <v/>
      </c>
      <c r="H37" s="410">
        <f>D37</f>
        <v/>
      </c>
      <c r="J37" s="42">
        <f>D37-H37</f>
        <v/>
      </c>
      <c r="L37" s="42">
        <f>D37-SUM(H37,J37)</f>
        <v/>
      </c>
      <c r="N37" s="42">
        <f>D37-SUM(H37,J37,L37,)</f>
        <v/>
      </c>
      <c r="P37" s="42">
        <f>D37-SUM(H37,J37,L37,N37)</f>
        <v/>
      </c>
      <c r="R37" s="42">
        <f>D37-SUM(H37,J37,L37,N37,P37)</f>
        <v/>
      </c>
      <c r="T37" s="42">
        <f>D37-SUM(H37,J37,L37,N37,P37,R37)</f>
        <v/>
      </c>
      <c r="V37" s="42">
        <f>D37-SUM(H37,J37,L37,N37,P37,R37,T37)</f>
        <v/>
      </c>
      <c r="X37" s="56">
        <f>D37-SUM(H37,J37,L37,N37,P37,R37,T37,V37)</f>
        <v/>
      </c>
      <c r="Y37" s="57">
        <f>12*COUNT(G37,I37,K37,M37,O37,Q37,U37,W37,S37)</f>
        <v/>
      </c>
      <c r="Z37" s="40">
        <f>IF(AND('0₦'!T40&lt;&gt;0,'0₦'!T40&lt;&gt;""),9,0) + 0</f>
        <v/>
      </c>
      <c r="AA37" s="445">
        <f>'0₦'!BI40 + 0</f>
        <v/>
      </c>
      <c r="AB37" s="446">
        <f>'0₦'!BE40</f>
        <v/>
      </c>
      <c r="AC37" s="450">
        <f>'0₦'!BC40 + 0</f>
        <v/>
      </c>
      <c r="AD37" s="42">
        <f>'0₦'!BD40</f>
        <v/>
      </c>
      <c r="AE37" s="42">
        <f>'0₦'!AX40</f>
        <v/>
      </c>
      <c r="AF37" s="446">
        <f>hcbi!AA41+hcbi!Y41</f>
        <v/>
      </c>
      <c r="AG37" s="42">
        <f>'0₦'!AW40</f>
        <v/>
      </c>
      <c r="AH37" s="450">
        <f>0</f>
        <v/>
      </c>
      <c r="AK37" s="44" t="n">
        <v>757</v>
      </c>
      <c r="AL37" s="450" t="n">
        <v>88</v>
      </c>
    </row>
    <row r="38" ht="17.1" customHeight="1" s="37">
      <c r="B38" s="546">
        <f>B37+1</f>
        <v/>
      </c>
      <c r="C38" s="450" t="inlineStr">
        <is>
          <t>sf21</t>
        </is>
      </c>
      <c r="D38" s="257">
        <f>SUM(Y38:AH38)</f>
        <v/>
      </c>
      <c r="E38" s="54">
        <f>'0₦'!AF41</f>
        <v/>
      </c>
      <c r="F38" s="41">
        <f>'0₦'!AG41</f>
        <v/>
      </c>
      <c r="H38" s="410">
        <f>D38</f>
        <v/>
      </c>
      <c r="J38" s="42">
        <f>D38-H38</f>
        <v/>
      </c>
      <c r="L38" s="42">
        <f>D38-SUM(H38,J38)</f>
        <v/>
      </c>
      <c r="N38" s="42">
        <f>D38-SUM(H38,J38,L38,)</f>
        <v/>
      </c>
      <c r="P38" s="42">
        <f>D38-SUM(H38,J38,L38,N38)</f>
        <v/>
      </c>
      <c r="R38" s="42">
        <f>D38-SUM(H38,J38,L38,N38,P38)</f>
        <v/>
      </c>
      <c r="T38" s="42">
        <f>D38-SUM(H38,J38,L38,N38,P38,R38)</f>
        <v/>
      </c>
      <c r="V38" s="42">
        <f>D38-SUM(H38,J38,L38,N38,P38,R38,T38)</f>
        <v/>
      </c>
      <c r="X38" s="56">
        <f>D38-SUM(H38,J38,L38,N38,P38,R38,T38,V38)</f>
        <v/>
      </c>
      <c r="Y38" s="57">
        <f>12*COUNT(G38,I38,K38,M38,O38,Q38,U38,W38,S38)</f>
        <v/>
      </c>
      <c r="Z38" s="40">
        <f>IF(AND('0₦'!T41&lt;&gt;0,'0₦'!T41&lt;&gt;""),9,0) + 0</f>
        <v/>
      </c>
      <c r="AA38" s="445">
        <f>'0₦'!BI41 + 0</f>
        <v/>
      </c>
      <c r="AB38" s="446">
        <f>'0₦'!BE41</f>
        <v/>
      </c>
      <c r="AC38" s="450">
        <f>'0₦'!BC41 + 0</f>
        <v/>
      </c>
      <c r="AD38" s="42">
        <f>'0₦'!BD41</f>
        <v/>
      </c>
      <c r="AE38" s="42">
        <f>'0₦'!AX41</f>
        <v/>
      </c>
      <c r="AF38" s="446">
        <f>hcbi!AA42+hcbi!Y42</f>
        <v/>
      </c>
      <c r="AG38" s="42">
        <f>'0₦'!AW41</f>
        <v/>
      </c>
      <c r="AH38" s="450">
        <f>0</f>
        <v/>
      </c>
      <c r="AI38" s="445" t="n"/>
      <c r="AJ38" s="446" t="n"/>
      <c r="AK38" s="44" t="n">
        <v>917</v>
      </c>
      <c r="AL38" s="450" t="n">
        <v>515</v>
      </c>
    </row>
    <row r="39" ht="17.1" customHeight="1" s="37">
      <c r="B39" s="546">
        <f>B38+1</f>
        <v/>
      </c>
      <c r="C39" s="450" t="inlineStr">
        <is>
          <t>sf21</t>
        </is>
      </c>
      <c r="D39" s="257">
        <f>SUM(Y39:AH39)</f>
        <v/>
      </c>
      <c r="E39" s="54">
        <f>'0₦'!AF42</f>
        <v/>
      </c>
      <c r="F39" s="41">
        <f>'0₦'!AG42</f>
        <v/>
      </c>
      <c r="H39" s="410">
        <f>D39</f>
        <v/>
      </c>
      <c r="J39" s="42">
        <f>D39-H39</f>
        <v/>
      </c>
      <c r="L39" s="42">
        <f>D39-SUM(H39,J39)</f>
        <v/>
      </c>
      <c r="N39" s="42">
        <f>D39-SUM(H39,J39,L39,)</f>
        <v/>
      </c>
      <c r="P39" s="42">
        <f>D39-SUM(H39,J39,L39,N39)</f>
        <v/>
      </c>
      <c r="R39" s="42">
        <f>D39-SUM(H39,J39,L39,N39,P39)</f>
        <v/>
      </c>
      <c r="T39" s="42">
        <f>D39-SUM(H39,J39,L39,N39,P39,R39)</f>
        <v/>
      </c>
      <c r="V39" s="42">
        <f>D39-SUM(H39,J39,L39,N39,P39,R39,T39)</f>
        <v/>
      </c>
      <c r="X39" s="56">
        <f>D39-SUM(H39,J39,L39,N39,P39,R39,T39,V39)</f>
        <v/>
      </c>
      <c r="Y39" s="57">
        <f>12*COUNT(G39,I39,K39,M39,O39,Q39,U39,W39,S39)</f>
        <v/>
      </c>
      <c r="Z39" s="40">
        <f>IF(AND('0₦'!T42&lt;&gt;0,'0₦'!T42&lt;&gt;""),9,0) + 0</f>
        <v/>
      </c>
      <c r="AA39" s="445">
        <f>'0₦'!BI42 + 0</f>
        <v/>
      </c>
      <c r="AB39" s="446">
        <f>'0₦'!BE42</f>
        <v/>
      </c>
      <c r="AC39" s="450">
        <f>'0₦'!BC42 + 0</f>
        <v/>
      </c>
      <c r="AD39" s="42">
        <f>'0₦'!BD42</f>
        <v/>
      </c>
      <c r="AE39" s="42">
        <f>'0₦'!AX42</f>
        <v/>
      </c>
      <c r="AF39" s="446">
        <f>hcbi!AA43+hcbi!Y43</f>
        <v/>
      </c>
      <c r="AG39" s="42">
        <f>'0₦'!AW42</f>
        <v/>
      </c>
      <c r="AH39" s="450">
        <f>0</f>
        <v/>
      </c>
      <c r="AK39" s="44" t="n">
        <v>895</v>
      </c>
      <c r="AL39" s="450" t="n">
        <v>195</v>
      </c>
    </row>
    <row r="40" ht="17.1" customHeight="1" s="37">
      <c r="B40" s="546">
        <f>B39+1</f>
        <v/>
      </c>
      <c r="C40" s="450" t="inlineStr">
        <is>
          <t>sf21</t>
        </is>
      </c>
      <c r="D40" s="257">
        <f>SUM(Y40:AH40)</f>
        <v/>
      </c>
      <c r="E40" s="54">
        <f>'0₦'!AF43</f>
        <v/>
      </c>
      <c r="F40" s="41">
        <f>'0₦'!AG43</f>
        <v/>
      </c>
      <c r="H40" s="410">
        <f>D40</f>
        <v/>
      </c>
      <c r="J40" s="42">
        <f>D40-H40</f>
        <v/>
      </c>
      <c r="L40" s="42">
        <f>D40-SUM(H40,J40)</f>
        <v/>
      </c>
      <c r="N40" s="42">
        <f>D40-SUM(H40,J40,L40,)</f>
        <v/>
      </c>
      <c r="P40" s="42">
        <f>D40-SUM(H40,J40,L40,N40)</f>
        <v/>
      </c>
      <c r="R40" s="42">
        <f>D40-SUM(H40,J40,L40,N40,P40)</f>
        <v/>
      </c>
      <c r="T40" s="42">
        <f>D40-SUM(H40,J40,L40,N40,P40,R40)</f>
        <v/>
      </c>
      <c r="V40" s="42">
        <f>D40-SUM(H40,J40,L40,N40,P40,R40,T40)</f>
        <v/>
      </c>
      <c r="X40" s="56">
        <f>D40-SUM(H40,J40,L40,N40,P40,R40,T40,V40)</f>
        <v/>
      </c>
      <c r="Y40" s="57">
        <f>12*COUNT(G40,I40,K40,M40,O40,Q40,U40,W40,S40)</f>
        <v/>
      </c>
      <c r="Z40" s="40">
        <f>IF(AND('0₦'!T43&lt;&gt;0,'0₦'!T43&lt;&gt;""),9,0) + 0</f>
        <v/>
      </c>
      <c r="AA40" s="445">
        <f>'0₦'!BI43 + 0</f>
        <v/>
      </c>
      <c r="AB40" s="446">
        <f>'0₦'!BE43</f>
        <v/>
      </c>
      <c r="AC40" s="450">
        <f>'0₦'!BC43 + 0</f>
        <v/>
      </c>
      <c r="AD40" s="42">
        <f>'0₦'!BD43</f>
        <v/>
      </c>
      <c r="AE40" s="42">
        <f>'0₦'!AX43</f>
        <v/>
      </c>
      <c r="AF40" s="446">
        <f>hcbi!AA44+hcbi!Y44</f>
        <v/>
      </c>
      <c r="AG40" s="42">
        <f>'0₦'!AW43</f>
        <v/>
      </c>
      <c r="AH40" s="450">
        <f>0</f>
        <v/>
      </c>
      <c r="AI40" s="445" t="n"/>
      <c r="AJ40" s="445" t="n"/>
      <c r="AK40" s="44" t="n">
        <v>762</v>
      </c>
      <c r="AL40" s="450" t="n">
        <v>413</v>
      </c>
    </row>
    <row r="41" ht="17.1" customHeight="1" s="37">
      <c r="B41" s="546">
        <f>B40+1</f>
        <v/>
      </c>
      <c r="C41" s="450" t="inlineStr">
        <is>
          <t>sf21</t>
        </is>
      </c>
      <c r="D41" s="257">
        <f>SUM(Y41:AH41)</f>
        <v/>
      </c>
      <c r="E41" s="54">
        <f>'0₦'!AF44</f>
        <v/>
      </c>
      <c r="F41" s="41">
        <f>'0₦'!AG44</f>
        <v/>
      </c>
      <c r="H41" s="410">
        <f>D41</f>
        <v/>
      </c>
      <c r="J41" s="42">
        <f>D41-H41</f>
        <v/>
      </c>
      <c r="L41" s="42">
        <f>D41-SUM(H41,J41)</f>
        <v/>
      </c>
      <c r="N41" s="42">
        <f>D41-SUM(H41,J41,L41,)</f>
        <v/>
      </c>
      <c r="P41" s="42">
        <f>D41-SUM(H41,J41,L41,N41)</f>
        <v/>
      </c>
      <c r="R41" s="42">
        <f>D41-SUM(H41,J41,L41,N41,P41)</f>
        <v/>
      </c>
      <c r="T41" s="42">
        <f>D41-SUM(H41,J41,L41,N41,P41,R41)</f>
        <v/>
      </c>
      <c r="V41" s="42">
        <f>D41-SUM(H41,J41,L41,N41,P41,R41,T41)</f>
        <v/>
      </c>
      <c r="X41" s="56">
        <f>D41-SUM(H41,J41,L41,N41,P41,R41,T41,V41)</f>
        <v/>
      </c>
      <c r="Y41" s="57">
        <f>12*COUNT(G41,I41,K41,M41,O41,Q41,U41,W41,S41)</f>
        <v/>
      </c>
      <c r="Z41" s="40">
        <f>IF(AND('0₦'!T44&lt;&gt;0,'0₦'!T44&lt;&gt;""),9,0) + 0</f>
        <v/>
      </c>
      <c r="AA41" s="445">
        <f>'0₦'!BI44 + 0</f>
        <v/>
      </c>
      <c r="AB41" s="446">
        <f>'0₦'!BE44</f>
        <v/>
      </c>
      <c r="AC41" s="450">
        <f>'0₦'!BC44 + 0</f>
        <v/>
      </c>
      <c r="AD41" s="42">
        <f>'0₦'!BD44</f>
        <v/>
      </c>
      <c r="AE41" s="42">
        <f>'0₦'!AX44</f>
        <v/>
      </c>
      <c r="AF41" s="446">
        <f>hcbi!AA45+hcbi!Y45</f>
        <v/>
      </c>
      <c r="AG41" s="42">
        <f>'0₦'!AW44</f>
        <v/>
      </c>
      <c r="AH41" s="450">
        <f>0</f>
        <v/>
      </c>
      <c r="AK41" s="44" t="n">
        <v>706</v>
      </c>
      <c r="AL41" s="450" t="n">
        <v>285</v>
      </c>
    </row>
    <row r="42" ht="17.1" customHeight="1" s="37">
      <c r="B42" s="546">
        <f>B41+1</f>
        <v/>
      </c>
      <c r="C42" s="450" t="inlineStr">
        <is>
          <t>sf21</t>
        </is>
      </c>
      <c r="D42" s="257">
        <f>SUM(Y42:AH42)</f>
        <v/>
      </c>
      <c r="E42" s="54">
        <f>'0₦'!AF45</f>
        <v/>
      </c>
      <c r="F42" s="41">
        <f>'0₦'!AG45</f>
        <v/>
      </c>
      <c r="H42" s="410">
        <f>D42</f>
        <v/>
      </c>
      <c r="J42" s="42">
        <f>D42-H42</f>
        <v/>
      </c>
      <c r="L42" s="42">
        <f>D42-SUM(H42,J42)</f>
        <v/>
      </c>
      <c r="N42" s="42">
        <f>D42-SUM(H42,J42,L42,)</f>
        <v/>
      </c>
      <c r="P42" s="42">
        <f>D42-SUM(H42,J42,L42,N42)</f>
        <v/>
      </c>
      <c r="R42" s="42">
        <f>D42-SUM(H42,J42,L42,N42,P42)</f>
        <v/>
      </c>
      <c r="T42" s="42">
        <f>D42-SUM(H42,J42,L42,N42,P42,R42)</f>
        <v/>
      </c>
      <c r="V42" s="42">
        <f>D42-SUM(H42,J42,L42,N42,P42,R42,T42)</f>
        <v/>
      </c>
      <c r="X42" s="56">
        <f>D42-SUM(H42,J42,L42,N42,P42,R42,T42,V42)</f>
        <v/>
      </c>
      <c r="Y42" s="57">
        <f>12*COUNT(G42,I42,K42,M42,O42,Q42,U42,W42,S42)</f>
        <v/>
      </c>
      <c r="Z42" s="40">
        <f>IF(AND('0₦'!T45&lt;&gt;0,'0₦'!T45&lt;&gt;""),9,0) + 0</f>
        <v/>
      </c>
      <c r="AA42" s="445">
        <f>'0₦'!BI45 + 0</f>
        <v/>
      </c>
      <c r="AB42" s="446">
        <f>'0₦'!BE45</f>
        <v/>
      </c>
      <c r="AC42" s="450">
        <f>'0₦'!BC45 + 0</f>
        <v/>
      </c>
      <c r="AD42" s="42">
        <f>'0₦'!BD45</f>
        <v/>
      </c>
      <c r="AE42" s="42">
        <f>'0₦'!AX45</f>
        <v/>
      </c>
      <c r="AF42" s="446">
        <f>hcbi!AA46+hcbi!Y46</f>
        <v/>
      </c>
      <c r="AG42" s="42">
        <f>'0₦'!AW45</f>
        <v/>
      </c>
      <c r="AH42" s="450">
        <f>0</f>
        <v/>
      </c>
      <c r="AI42" s="445" t="n"/>
      <c r="AJ42" s="445" t="n"/>
      <c r="AK42" s="61" t="n">
        <v>858</v>
      </c>
      <c r="AL42" s="450" t="n">
        <v>714</v>
      </c>
    </row>
    <row r="43" ht="17.1" customHeight="1" s="37">
      <c r="A43" s="547" t="n"/>
      <c r="B43" s="546">
        <f>B42+1</f>
        <v/>
      </c>
      <c r="C43" s="450" t="inlineStr">
        <is>
          <t>sf21</t>
        </is>
      </c>
      <c r="D43" s="257">
        <f>SUM(Y43:AH43)</f>
        <v/>
      </c>
      <c r="E43" s="54">
        <f>'0₦'!AF46</f>
        <v/>
      </c>
      <c r="F43" s="41">
        <f>'0₦'!AG46</f>
        <v/>
      </c>
      <c r="H43" s="410">
        <f>D43</f>
        <v/>
      </c>
      <c r="J43" s="42">
        <f>D43-H43</f>
        <v/>
      </c>
      <c r="L43" s="42">
        <f>D43-SUM(H43,J43)</f>
        <v/>
      </c>
      <c r="N43" s="42">
        <f>D43-SUM(H43,J43,L43,)</f>
        <v/>
      </c>
      <c r="P43" s="42">
        <f>D43-SUM(H43,J43,L43,N43)</f>
        <v/>
      </c>
      <c r="R43" s="42">
        <f>D43-SUM(H43,J43,L43,N43,P43)</f>
        <v/>
      </c>
      <c r="T43" s="42">
        <f>D43-SUM(H43,J43,L43,N43,P43,R43)</f>
        <v/>
      </c>
      <c r="V43" s="42">
        <f>D43-SUM(H43,J43,L43,N43,P43,R43,T43)</f>
        <v/>
      </c>
      <c r="X43" s="56">
        <f>D43-SUM(H43,J43,L43,N43,P43,R43,T43,V43)</f>
        <v/>
      </c>
      <c r="Y43" s="57">
        <f>12*COUNT(G43,I43,K43,M43,O43,Q43,U43,W43,S43)</f>
        <v/>
      </c>
      <c r="Z43" s="40">
        <f>IF(AND('0₦'!T46&lt;&gt;0,'0₦'!T46&lt;&gt;""),9,0) + 0</f>
        <v/>
      </c>
      <c r="AA43" s="445">
        <f>'0₦'!BI46 + 0</f>
        <v/>
      </c>
      <c r="AB43" s="446">
        <f>'0₦'!BE46</f>
        <v/>
      </c>
      <c r="AC43" s="450">
        <f>'0₦'!BC46 + 0</f>
        <v/>
      </c>
      <c r="AD43" s="42">
        <f>'0₦'!BD46</f>
        <v/>
      </c>
      <c r="AE43" s="42">
        <f>'0₦'!AX46</f>
        <v/>
      </c>
      <c r="AF43" s="446">
        <f>hcbi!AA47+hcbi!Y47</f>
        <v/>
      </c>
      <c r="AG43" s="42">
        <f>'0₦'!AW46</f>
        <v/>
      </c>
      <c r="AH43" s="450">
        <f>0</f>
        <v/>
      </c>
      <c r="AK43" s="44" t="n">
        <v>769</v>
      </c>
      <c r="AL43" s="450" t="n">
        <v>159</v>
      </c>
    </row>
    <row r="44" ht="17.1" customHeight="1" s="37">
      <c r="A44" s="441">
        <f>A37+0.1</f>
        <v/>
      </c>
      <c r="B44" s="546">
        <f>B43+1</f>
        <v/>
      </c>
      <c r="C44" s="450" t="inlineStr">
        <is>
          <t>sf21</t>
        </is>
      </c>
      <c r="D44" s="257">
        <f>SUM(Y44:AH44)</f>
        <v/>
      </c>
      <c r="E44" s="54">
        <f>'0₦'!AF47</f>
        <v/>
      </c>
      <c r="F44" s="41">
        <f>'0₦'!AG47</f>
        <v/>
      </c>
      <c r="H44" s="410">
        <f>D44</f>
        <v/>
      </c>
      <c r="J44" s="42">
        <f>D44-H44</f>
        <v/>
      </c>
      <c r="L44" s="42">
        <f>D44-SUM(H44,J44)</f>
        <v/>
      </c>
      <c r="N44" s="42">
        <f>D44-SUM(H44,J44,L44,)</f>
        <v/>
      </c>
      <c r="P44" s="42">
        <f>D44-SUM(H44,J44,L44,N44)</f>
        <v/>
      </c>
      <c r="R44" s="42">
        <f>D44-SUM(H44,J44,L44,N44,P44)</f>
        <v/>
      </c>
      <c r="T44" s="42">
        <f>D44-SUM(H44,J44,L44,N44,P44,R44)</f>
        <v/>
      </c>
      <c r="V44" s="42">
        <f>D44-SUM(H44,J44,L44,N44,P44,R44,T44)</f>
        <v/>
      </c>
      <c r="X44" s="56">
        <f>D44-SUM(H44,J44,L44,N44,P44,R44,T44,V44)</f>
        <v/>
      </c>
      <c r="Y44" s="57">
        <f>12*COUNT(G44,I44,K44,M44,O44,Q44,U44,W44,S44)</f>
        <v/>
      </c>
      <c r="Z44" s="40">
        <f>IF(AND('0₦'!T47&lt;&gt;0,'0₦'!T47&lt;&gt;""),9,0) + 0</f>
        <v/>
      </c>
      <c r="AA44" s="445">
        <f>'0₦'!BI47 + 0</f>
        <v/>
      </c>
      <c r="AB44" s="446">
        <f>'0₦'!BE47</f>
        <v/>
      </c>
      <c r="AC44" s="450">
        <f>'0₦'!BC47 + 0</f>
        <v/>
      </c>
      <c r="AD44" s="42">
        <f>'0₦'!BD47</f>
        <v/>
      </c>
      <c r="AE44" s="42">
        <f>'0₦'!AX47</f>
        <v/>
      </c>
      <c r="AF44" s="446">
        <f>hcbi!AA48+hcbi!Y48</f>
        <v/>
      </c>
      <c r="AG44" s="42">
        <f>'0₦'!AW47</f>
        <v/>
      </c>
      <c r="AH44" s="450">
        <f>0</f>
        <v/>
      </c>
      <c r="AI44" s="445" t="n"/>
      <c r="AJ44" s="445" t="n"/>
      <c r="AK44" s="44" t="n">
        <v>662</v>
      </c>
      <c r="AL44" s="450" t="n">
        <v>181</v>
      </c>
    </row>
    <row r="45" ht="17.1" customHeight="1" s="37">
      <c r="B45" s="546">
        <f>B44+1</f>
        <v/>
      </c>
      <c r="C45" s="450" t="inlineStr">
        <is>
          <t>sf21</t>
        </is>
      </c>
      <c r="D45" s="257">
        <f>SUM(Y45:AH45)</f>
        <v/>
      </c>
      <c r="E45" s="54">
        <f>'0₦'!AF48</f>
        <v/>
      </c>
      <c r="F45" s="41">
        <f>'0₦'!AG48</f>
        <v/>
      </c>
      <c r="H45" s="410">
        <f>D45</f>
        <v/>
      </c>
      <c r="J45" s="42">
        <f>D45-H45</f>
        <v/>
      </c>
      <c r="L45" s="42">
        <f>D45-SUM(H45,J45)</f>
        <v/>
      </c>
      <c r="N45" s="42">
        <f>D45-SUM(H45,J45,L45,)</f>
        <v/>
      </c>
      <c r="P45" s="42">
        <f>D45-SUM(H45,J45,L45,N45)</f>
        <v/>
      </c>
      <c r="R45" s="42">
        <f>D45-SUM(H45,J45,L45,N45,P45)</f>
        <v/>
      </c>
      <c r="T45" s="42">
        <f>D45-SUM(H45,J45,L45,N45,P45,R45)</f>
        <v/>
      </c>
      <c r="V45" s="42">
        <f>D45-SUM(H45,J45,L45,N45,P45,R45,T45)</f>
        <v/>
      </c>
      <c r="X45" s="56">
        <f>D45-SUM(H45,J45,L45,N45,P45,R45,T45,V45)</f>
        <v/>
      </c>
      <c r="Y45" s="57">
        <f>12*COUNT(G45,I45,K45,M45,O45,Q45,U45,W45,S45)</f>
        <v/>
      </c>
      <c r="Z45" s="40">
        <f>IF(AND('0₦'!T48&lt;&gt;0,'0₦'!T48&lt;&gt;""),9,0) + 0</f>
        <v/>
      </c>
      <c r="AA45" s="445">
        <f>'0₦'!BI48 + 0</f>
        <v/>
      </c>
      <c r="AB45" s="446">
        <f>'0₦'!BE48</f>
        <v/>
      </c>
      <c r="AC45" s="450">
        <f>'0₦'!BC48 + 0</f>
        <v/>
      </c>
      <c r="AD45" s="42">
        <f>'0₦'!BD48</f>
        <v/>
      </c>
      <c r="AE45" s="42">
        <f>'0₦'!AX48</f>
        <v/>
      </c>
      <c r="AF45" s="446">
        <f>hcbi!AA49+hcbi!Y49</f>
        <v/>
      </c>
      <c r="AG45" s="42">
        <f>'0₦'!AW48</f>
        <v/>
      </c>
      <c r="AH45" s="450">
        <f>0</f>
        <v/>
      </c>
      <c r="AK45" s="44" t="n">
        <v>810</v>
      </c>
      <c r="AL45" s="450" t="n">
        <v>219</v>
      </c>
    </row>
    <row r="46" ht="17.1" customHeight="1" s="37">
      <c r="B46" s="546">
        <f>B45+1</f>
        <v/>
      </c>
      <c r="C46" s="450" t="inlineStr">
        <is>
          <t>sf21</t>
        </is>
      </c>
      <c r="D46" s="257">
        <f>SUM(Y46:AH46)</f>
        <v/>
      </c>
      <c r="E46" s="54">
        <f>'0₦'!AF49</f>
        <v/>
      </c>
      <c r="F46" s="41">
        <f>'0₦'!AG49</f>
        <v/>
      </c>
      <c r="H46" s="410">
        <f>D46</f>
        <v/>
      </c>
      <c r="J46" s="42">
        <f>D46-H46</f>
        <v/>
      </c>
      <c r="L46" s="42">
        <f>D46-SUM(H46,J46)</f>
        <v/>
      </c>
      <c r="N46" s="42">
        <f>D46-SUM(H46,J46,L46,)</f>
        <v/>
      </c>
      <c r="P46" s="42">
        <f>D46-SUM(H46,J46,L46,N46)</f>
        <v/>
      </c>
      <c r="R46" s="42">
        <f>D46-SUM(H46,J46,L46,N46,P46)</f>
        <v/>
      </c>
      <c r="T46" s="42">
        <f>D46-SUM(H46,J46,L46,N46,P46,R46)</f>
        <v/>
      </c>
      <c r="V46" s="42">
        <f>D46-SUM(H46,J46,L46,N46,P46,R46,T46)</f>
        <v/>
      </c>
      <c r="X46" s="56">
        <f>D46-SUM(H46,J46,L46,N46,P46,R46,T46,V46)</f>
        <v/>
      </c>
      <c r="Y46" s="57">
        <f>12*COUNT(G46,I46,K46,M46,O46,Q46,U46,W46,S46)</f>
        <v/>
      </c>
      <c r="Z46" s="40">
        <f>IF(AND('0₦'!T49&lt;&gt;0,'0₦'!T49&lt;&gt;""),9,0) + 0</f>
        <v/>
      </c>
      <c r="AA46" s="445">
        <f>'0₦'!BI49 + 0</f>
        <v/>
      </c>
      <c r="AB46" s="446">
        <f>'0₦'!BE49</f>
        <v/>
      </c>
      <c r="AC46" s="450">
        <f>'0₦'!BC49 + 0</f>
        <v/>
      </c>
      <c r="AD46" s="42">
        <f>'0₦'!BD49</f>
        <v/>
      </c>
      <c r="AE46" s="42">
        <f>'0₦'!AX49</f>
        <v/>
      </c>
      <c r="AF46" s="446">
        <f>hcbi!AA50+hcbi!Y50</f>
        <v/>
      </c>
      <c r="AG46" s="42">
        <f>'0₦'!AW49</f>
        <v/>
      </c>
      <c r="AH46" s="450">
        <f>0</f>
        <v/>
      </c>
      <c r="AI46" s="445" t="n"/>
      <c r="AJ46" s="445" t="n"/>
      <c r="AK46" s="44" t="n">
        <v>657</v>
      </c>
      <c r="AL46" s="450" t="n">
        <v>111</v>
      </c>
    </row>
    <row r="47" ht="17.1" customHeight="1" s="37">
      <c r="B47" s="546">
        <f>B46+1</f>
        <v/>
      </c>
      <c r="C47" s="450" t="inlineStr">
        <is>
          <t>sf21</t>
        </is>
      </c>
      <c r="D47" s="257">
        <f>SUM(Y47:AH47)</f>
        <v/>
      </c>
      <c r="E47" s="54">
        <f>'0₦'!AF50</f>
        <v/>
      </c>
      <c r="F47" s="41">
        <f>'0₦'!AG50</f>
        <v/>
      </c>
      <c r="H47" s="410">
        <f>D47</f>
        <v/>
      </c>
      <c r="J47" s="42">
        <f>D47-H47</f>
        <v/>
      </c>
      <c r="L47" s="42">
        <f>D47-SUM(H47,J47)</f>
        <v/>
      </c>
      <c r="N47" s="42">
        <f>D47-SUM(H47,J47,L47,)</f>
        <v/>
      </c>
      <c r="P47" s="42">
        <f>D47-SUM(H47,J47,L47,N47)</f>
        <v/>
      </c>
      <c r="R47" s="42">
        <f>D47-SUM(H47,J47,L47,N47,P47)</f>
        <v/>
      </c>
      <c r="T47" s="42">
        <f>D47-SUM(H47,J47,L47,N47,P47,R47)</f>
        <v/>
      </c>
      <c r="V47" s="42">
        <f>D47-SUM(H47,J47,L47,N47,P47,R47,T47)</f>
        <v/>
      </c>
      <c r="X47" s="56">
        <f>D47-SUM(H47,J47,L47,N47,P47,R47,T47,V47)</f>
        <v/>
      </c>
      <c r="Y47" s="57">
        <f>12*COUNT(G47,I47,K47,M47,O47,Q47,U47,W47,S47)</f>
        <v/>
      </c>
      <c r="Z47" s="40">
        <f>IF(AND('0₦'!T50&lt;&gt;0,'0₦'!T50&lt;&gt;""),9,0) + 0</f>
        <v/>
      </c>
      <c r="AA47" s="445">
        <f>'0₦'!BI50 + 0</f>
        <v/>
      </c>
      <c r="AB47" s="446">
        <f>'0₦'!BE50</f>
        <v/>
      </c>
      <c r="AC47" s="450">
        <f>'0₦'!BC50 + 0</f>
        <v/>
      </c>
      <c r="AD47" s="42">
        <f>'0₦'!BD50</f>
        <v/>
      </c>
      <c r="AE47" s="42">
        <f>'0₦'!AX50</f>
        <v/>
      </c>
      <c r="AF47" s="446">
        <f>hcbi!AA51+hcbi!Y51</f>
        <v/>
      </c>
      <c r="AG47" s="42">
        <f>'0₦'!AW50</f>
        <v/>
      </c>
      <c r="AH47" s="450">
        <f>0</f>
        <v/>
      </c>
      <c r="AK47" s="44" t="n">
        <v>347</v>
      </c>
      <c r="AL47" s="450" t="n">
        <v>111</v>
      </c>
    </row>
    <row r="48" ht="17.1" customHeight="1" s="37">
      <c r="B48" s="546">
        <f>B47+1</f>
        <v/>
      </c>
      <c r="C48" s="450" t="inlineStr">
        <is>
          <t>sf21</t>
        </is>
      </c>
      <c r="D48" s="257">
        <f>SUM(Y48:AH48)</f>
        <v/>
      </c>
      <c r="E48" s="54">
        <f>'0₦'!AF51</f>
        <v/>
      </c>
      <c r="F48" s="41">
        <f>'0₦'!AG51</f>
        <v/>
      </c>
      <c r="H48" s="410">
        <f>D48</f>
        <v/>
      </c>
      <c r="J48" s="42">
        <f>D48-H48</f>
        <v/>
      </c>
      <c r="L48" s="42">
        <f>D48-SUM(H48,J48)</f>
        <v/>
      </c>
      <c r="N48" s="42">
        <f>D48-SUM(H48,J48,L48,)</f>
        <v/>
      </c>
      <c r="P48" s="42">
        <f>D48-SUM(H48,J48,L48,N48)</f>
        <v/>
      </c>
      <c r="R48" s="42">
        <f>D48-SUM(H48,J48,L48,N48,P48)</f>
        <v/>
      </c>
      <c r="T48" s="42">
        <f>D48-SUM(H48,J48,L48,N48,P48,R48)</f>
        <v/>
      </c>
      <c r="V48" s="42">
        <f>D48-SUM(H48,J48,L48,N48,P48,R48,T48)</f>
        <v/>
      </c>
      <c r="X48" s="56">
        <f>D48-SUM(H48,J48,L48,N48,P48,R48,T48,V48)</f>
        <v/>
      </c>
      <c r="Y48" s="57">
        <f>12*COUNT(G48,I48,K48,M48,O48,Q48,U48,W48,S48)</f>
        <v/>
      </c>
      <c r="Z48" s="40">
        <f>IF(AND('0₦'!T51&lt;&gt;0,'0₦'!T51&lt;&gt;""),9,0) + 0</f>
        <v/>
      </c>
      <c r="AA48" s="445">
        <f>'0₦'!BI51 + 0</f>
        <v/>
      </c>
      <c r="AB48" s="446">
        <f>'0₦'!BE51</f>
        <v/>
      </c>
      <c r="AC48" s="450">
        <f>'0₦'!BC51 + 0</f>
        <v/>
      </c>
      <c r="AD48" s="42">
        <f>'0₦'!BD51</f>
        <v/>
      </c>
      <c r="AE48" s="42">
        <f>'0₦'!AX51</f>
        <v/>
      </c>
      <c r="AF48" s="446">
        <f>hcbi!AA52+hcbi!Y52</f>
        <v/>
      </c>
      <c r="AG48" s="42">
        <f>'0₦'!AW51</f>
        <v/>
      </c>
      <c r="AH48" s="450">
        <f>0</f>
        <v/>
      </c>
      <c r="AI48" s="445" t="n"/>
      <c r="AJ48" s="445" t="n"/>
      <c r="AK48" s="44" t="n">
        <v>542</v>
      </c>
      <c r="AL48" s="450" t="n">
        <v>111</v>
      </c>
    </row>
    <row r="49" ht="17.1" customHeight="1" s="37">
      <c r="B49" s="546">
        <f>B48+1</f>
        <v/>
      </c>
      <c r="C49" s="450" t="inlineStr">
        <is>
          <t>sf21</t>
        </is>
      </c>
      <c r="D49" s="257">
        <f>SUM(Y49:AH49)</f>
        <v/>
      </c>
      <c r="E49" s="54">
        <f>'0₦'!AF52</f>
        <v/>
      </c>
      <c r="F49" s="41">
        <f>'0₦'!AG52</f>
        <v/>
      </c>
      <c r="H49" s="410">
        <f>D49</f>
        <v/>
      </c>
      <c r="J49" s="42">
        <f>D49-H49</f>
        <v/>
      </c>
      <c r="L49" s="42">
        <f>D49-SUM(H49,J49)</f>
        <v/>
      </c>
      <c r="N49" s="42">
        <f>D49-SUM(H49,J49,L49,)</f>
        <v/>
      </c>
      <c r="P49" s="42">
        <f>D49-SUM(H49,J49,L49,N49)</f>
        <v/>
      </c>
      <c r="R49" s="42">
        <f>D49-SUM(H49,J49,L49,N49,P49)</f>
        <v/>
      </c>
      <c r="T49" s="42">
        <f>D49-SUM(H49,J49,L49,N49,P49,R49)</f>
        <v/>
      </c>
      <c r="V49" s="42">
        <f>D49-SUM(H49,J49,L49,N49,P49,R49,T49)</f>
        <v/>
      </c>
      <c r="X49" s="56">
        <f>D49-SUM(H49,J49,L49,N49,P49,R49,T49,V49)</f>
        <v/>
      </c>
      <c r="Y49" s="57">
        <f>12*COUNT(G49,I49,K49,M49,O49,Q49,U49,W49,S49)</f>
        <v/>
      </c>
      <c r="Z49" s="40">
        <f>IF(AND('0₦'!T52&lt;&gt;0,'0₦'!T52&lt;&gt;""),9,0) + 0</f>
        <v/>
      </c>
      <c r="AA49" s="445">
        <f>'0₦'!BI52 + 0</f>
        <v/>
      </c>
      <c r="AB49" s="446">
        <f>'0₦'!BE52</f>
        <v/>
      </c>
      <c r="AC49" s="450">
        <f>'0₦'!BC52 + 0</f>
        <v/>
      </c>
      <c r="AD49" s="42">
        <f>'0₦'!BD52</f>
        <v/>
      </c>
      <c r="AE49" s="42">
        <f>'0₦'!AX52</f>
        <v/>
      </c>
      <c r="AF49" s="446">
        <f>hcbi!AA53+hcbi!Y53</f>
        <v/>
      </c>
      <c r="AG49" s="42">
        <f>'0₦'!AW52</f>
        <v/>
      </c>
      <c r="AH49" s="450">
        <f>0</f>
        <v/>
      </c>
      <c r="AK49" s="44" t="n">
        <v>560</v>
      </c>
      <c r="AL49" s="450" t="n">
        <v>111</v>
      </c>
    </row>
    <row r="50" ht="17.1" customHeight="1" s="37">
      <c r="A50" s="547" t="n"/>
      <c r="B50" s="546">
        <f>B49+1</f>
        <v/>
      </c>
      <c r="C50" s="450" t="inlineStr">
        <is>
          <t>sf21</t>
        </is>
      </c>
      <c r="D50" s="257">
        <f>SUM(Y50:AH50)</f>
        <v/>
      </c>
      <c r="E50" s="54">
        <f>'0₦'!AF53</f>
        <v/>
      </c>
      <c r="F50" s="41">
        <f>'0₦'!AG53</f>
        <v/>
      </c>
      <c r="H50" s="410">
        <f>D50</f>
        <v/>
      </c>
      <c r="J50" s="42">
        <f>D50-H50</f>
        <v/>
      </c>
      <c r="L50" s="42">
        <f>D50-SUM(H50,J50)</f>
        <v/>
      </c>
      <c r="N50" s="42">
        <f>D50-SUM(H50,J50,L50,)</f>
        <v/>
      </c>
      <c r="P50" s="42">
        <f>D50-SUM(H50,J50,L50,N50)</f>
        <v/>
      </c>
      <c r="R50" s="42">
        <f>D50-SUM(H50,J50,L50,N50,P50)</f>
        <v/>
      </c>
      <c r="T50" s="42">
        <f>D50-SUM(H50,J50,L50,N50,P50,R50)</f>
        <v/>
      </c>
      <c r="V50" s="42">
        <f>D50-SUM(H50,J50,L50,N50,P50,R50,T50)</f>
        <v/>
      </c>
      <c r="X50" s="56">
        <f>D50-SUM(H50,J50,L50,N50,P50,R50,T50,V50)</f>
        <v/>
      </c>
      <c r="Y50" s="57">
        <f>12*COUNT(G50,I50,K50,M50,O50,Q50,U50,W50,S50)</f>
        <v/>
      </c>
      <c r="Z50" s="40">
        <f>IF(AND('0₦'!T53&lt;&gt;0,'0₦'!T53&lt;&gt;""),9,0) + 0</f>
        <v/>
      </c>
      <c r="AA50" s="445">
        <f>'0₦'!BI53 + 0</f>
        <v/>
      </c>
      <c r="AB50" s="446">
        <f>'0₦'!BE53</f>
        <v/>
      </c>
      <c r="AC50" s="450">
        <f>'0₦'!BC53 + 0</f>
        <v/>
      </c>
      <c r="AD50" s="42">
        <f>'0₦'!BD53</f>
        <v/>
      </c>
      <c r="AE50" s="42">
        <f>'0₦'!AX53</f>
        <v/>
      </c>
      <c r="AF50" s="446">
        <f>hcbi!AA54+hcbi!Y54</f>
        <v/>
      </c>
      <c r="AG50" s="42">
        <f>'0₦'!AW53</f>
        <v/>
      </c>
      <c r="AH50" s="450">
        <f>0</f>
        <v/>
      </c>
      <c r="AI50" s="445" t="n"/>
      <c r="AJ50" s="445" t="n"/>
      <c r="AK50" s="44" t="n">
        <v>648</v>
      </c>
      <c r="AL50" s="450" t="n">
        <v>111</v>
      </c>
    </row>
    <row r="51" ht="17.1" customHeight="1" s="37">
      <c r="A51" s="441">
        <f>A44+0.1</f>
        <v/>
      </c>
      <c r="B51" s="546">
        <f>B50+1</f>
        <v/>
      </c>
      <c r="C51" s="450" t="inlineStr">
        <is>
          <t>sf21</t>
        </is>
      </c>
      <c r="D51" s="257">
        <f>SUM(Y51:AH51)</f>
        <v/>
      </c>
      <c r="E51" s="54">
        <f>'0₦'!AF54</f>
        <v/>
      </c>
      <c r="F51" s="41">
        <f>'0₦'!AG54</f>
        <v/>
      </c>
      <c r="H51" s="410">
        <f>D51</f>
        <v/>
      </c>
      <c r="J51" s="42">
        <f>D51-H51</f>
        <v/>
      </c>
      <c r="L51" s="42">
        <f>D51-SUM(H51,J51)</f>
        <v/>
      </c>
      <c r="N51" s="42">
        <f>D51-SUM(H51,J51,L51,)</f>
        <v/>
      </c>
      <c r="P51" s="42">
        <f>D51-SUM(H51,J51,L51,N51)</f>
        <v/>
      </c>
      <c r="R51" s="42">
        <f>D51-SUM(H51,J51,L51,N51,P51)</f>
        <v/>
      </c>
      <c r="T51" s="42">
        <f>D51-SUM(H51,J51,L51,N51,P51,R51)</f>
        <v/>
      </c>
      <c r="V51" s="42">
        <f>D51-SUM(H51,J51,L51,N51,P51,R51,T51)</f>
        <v/>
      </c>
      <c r="X51" s="56">
        <f>D51-SUM(H51,J51,L51,N51,P51,R51,T51,V51)</f>
        <v/>
      </c>
      <c r="Y51" s="57">
        <f>12*COUNT(G51,I51,K51,M51,O51,Q51,U51,W51,S51)</f>
        <v/>
      </c>
      <c r="Z51" s="40">
        <f>IF(AND('0₦'!T54&lt;&gt;0,'0₦'!T54&lt;&gt;""),9,0) + 0</f>
        <v/>
      </c>
      <c r="AA51" s="445">
        <f>'0₦'!BI54 + 0</f>
        <v/>
      </c>
      <c r="AB51" s="446">
        <f>'0₦'!BE54</f>
        <v/>
      </c>
      <c r="AC51" s="450">
        <f>'0₦'!BC54 + 0</f>
        <v/>
      </c>
      <c r="AD51" s="42">
        <f>'0₦'!BD54</f>
        <v/>
      </c>
      <c r="AE51" s="42">
        <f>'0₦'!AX54</f>
        <v/>
      </c>
      <c r="AF51" s="446">
        <f>hcbi!AA55+hcbi!Y55+15</f>
        <v/>
      </c>
      <c r="AG51" s="42">
        <f>'0₦'!AW54</f>
        <v/>
      </c>
      <c r="AH51" s="450">
        <f>0</f>
        <v/>
      </c>
      <c r="AK51" s="44" t="n">
        <v>487</v>
      </c>
      <c r="AL51" s="450" t="n">
        <v>169</v>
      </c>
    </row>
    <row r="52" ht="17.1" customHeight="1" s="37">
      <c r="B52" s="546">
        <f>B51+1</f>
        <v/>
      </c>
      <c r="C52" s="450" t="inlineStr">
        <is>
          <t>sf21</t>
        </is>
      </c>
      <c r="D52" s="257">
        <f>SUM(Y52:AH52)</f>
        <v/>
      </c>
      <c r="E52" s="54">
        <f>'0₦'!AF55</f>
        <v/>
      </c>
      <c r="F52" s="41">
        <f>'0₦'!AG55</f>
        <v/>
      </c>
      <c r="H52" s="410">
        <f>D52</f>
        <v/>
      </c>
      <c r="J52" s="42">
        <f>D52-H52</f>
        <v/>
      </c>
      <c r="L52" s="42">
        <f>D52-SUM(H52,J52)</f>
        <v/>
      </c>
      <c r="N52" s="42">
        <f>D52-SUM(H52,J52,L52,)</f>
        <v/>
      </c>
      <c r="P52" s="42">
        <f>D52-SUM(H52,J52,L52,N52)</f>
        <v/>
      </c>
      <c r="R52" s="42">
        <f>D52-SUM(H52,J52,L52,N52,P52)</f>
        <v/>
      </c>
      <c r="T52" s="42">
        <f>D52-SUM(H52,J52,L52,N52,P52,R52)</f>
        <v/>
      </c>
      <c r="V52" s="42">
        <f>D52-SUM(H52,J52,L52,N52,P52,R52,T52)</f>
        <v/>
      </c>
      <c r="X52" s="56">
        <f>D52-SUM(H52,J52,L52,N52,P52,R52,T52,V52)</f>
        <v/>
      </c>
      <c r="Y52" s="57">
        <f>12*COUNT(G52,I52,K52,M52,O52,Q52,U52,W52,S52)</f>
        <v/>
      </c>
      <c r="Z52" s="40">
        <f>IF(AND('0₦'!T55&lt;&gt;0,'0₦'!T55&lt;&gt;""),9,0) + 0</f>
        <v/>
      </c>
      <c r="AA52" s="445">
        <f>'0₦'!BI55 + 0</f>
        <v/>
      </c>
      <c r="AB52" s="446">
        <f>'0₦'!BE55</f>
        <v/>
      </c>
      <c r="AC52" s="450">
        <f>'0₦'!BC55 + 0</f>
        <v/>
      </c>
      <c r="AD52" s="42">
        <f>'0₦'!BD55</f>
        <v/>
      </c>
      <c r="AE52" s="42">
        <f>'0₦'!AX55</f>
        <v/>
      </c>
      <c r="AF52" s="446">
        <f>hcbi!AA56+hcbi!Y56+10</f>
        <v/>
      </c>
      <c r="AG52" s="42">
        <f>'0₦'!AW55</f>
        <v/>
      </c>
      <c r="AH52" s="450">
        <f>0</f>
        <v/>
      </c>
      <c r="AI52" s="445" t="n"/>
      <c r="AJ52" s="445" t="n"/>
      <c r="AK52" s="44" t="n">
        <v>659</v>
      </c>
      <c r="AL52" s="450" t="n">
        <v>166</v>
      </c>
    </row>
    <row r="53" ht="17.1" customHeight="1" s="37">
      <c r="B53" s="546">
        <f>B52+1</f>
        <v/>
      </c>
      <c r="C53" s="450" t="inlineStr">
        <is>
          <t>sf21</t>
        </is>
      </c>
      <c r="D53" s="257">
        <f>SUM(Y53:AH53)</f>
        <v/>
      </c>
      <c r="E53" s="54">
        <f>'0₦'!AF56</f>
        <v/>
      </c>
      <c r="F53" s="41">
        <f>'0₦'!AG56</f>
        <v/>
      </c>
      <c r="H53" s="410">
        <f>D53</f>
        <v/>
      </c>
      <c r="J53" s="42">
        <f>D53-H53</f>
        <v/>
      </c>
      <c r="L53" s="42">
        <f>D53-SUM(H53,J53)</f>
        <v/>
      </c>
      <c r="N53" s="42">
        <f>D53-SUM(H53,J53,L53,)</f>
        <v/>
      </c>
      <c r="P53" s="42">
        <f>D53-SUM(H53,J53,L53,N53)</f>
        <v/>
      </c>
      <c r="R53" s="42">
        <f>D53-SUM(H53,J53,L53,N53,P53)</f>
        <v/>
      </c>
      <c r="T53" s="42">
        <f>D53-SUM(H53,J53,L53,N53,P53,R53)</f>
        <v/>
      </c>
      <c r="V53" s="42">
        <f>D53-SUM(H53,J53,L53,N53,P53,R53,T53)</f>
        <v/>
      </c>
      <c r="X53" s="56">
        <f>D53-SUM(H53,J53,L53,N53,P53,R53,T53,V53)</f>
        <v/>
      </c>
      <c r="Y53" s="57">
        <f>12*COUNT(G53,I53,K53,M53,O53,Q53,U53,W53,S53)</f>
        <v/>
      </c>
      <c r="Z53" s="40">
        <f>IF(AND('0₦'!T56&lt;&gt;0,'0₦'!T56&lt;&gt;""),9,0) + 0</f>
        <v/>
      </c>
      <c r="AA53" s="445">
        <f>'0₦'!BI56 + 0</f>
        <v/>
      </c>
      <c r="AB53" s="446">
        <f>'0₦'!BE56</f>
        <v/>
      </c>
      <c r="AC53" s="450">
        <f>'0₦'!BC56 + 0</f>
        <v/>
      </c>
      <c r="AD53" s="42">
        <f>'0₦'!BD56</f>
        <v/>
      </c>
      <c r="AE53" s="42">
        <f>'0₦'!AX56</f>
        <v/>
      </c>
      <c r="AF53" s="446">
        <f>hcbi!AA57+hcbi!Y57</f>
        <v/>
      </c>
      <c r="AG53" s="42">
        <f>'0₦'!AW56</f>
        <v/>
      </c>
      <c r="AH53" s="450">
        <f>0</f>
        <v/>
      </c>
      <c r="AK53" s="44" t="n">
        <v>728</v>
      </c>
      <c r="AL53" s="450" t="n">
        <v>159</v>
      </c>
    </row>
    <row r="54" ht="17.1" customHeight="1" s="37">
      <c r="B54" s="546">
        <f>B53+1</f>
        <v/>
      </c>
      <c r="C54" s="450" t="inlineStr">
        <is>
          <t>sf21</t>
        </is>
      </c>
      <c r="D54" s="257">
        <f>SUM(Y54:AH54)</f>
        <v/>
      </c>
      <c r="E54" s="54">
        <f>'0₦'!AF57</f>
        <v/>
      </c>
      <c r="F54" s="41">
        <f>'0₦'!AG57</f>
        <v/>
      </c>
      <c r="H54" s="410">
        <f>D54</f>
        <v/>
      </c>
      <c r="J54" s="42">
        <f>D54-H54</f>
        <v/>
      </c>
      <c r="L54" s="42">
        <f>D54-SUM(H54,J54)</f>
        <v/>
      </c>
      <c r="N54" s="42">
        <f>D54-SUM(H54,J54,L54,)</f>
        <v/>
      </c>
      <c r="P54" s="42">
        <f>D54-SUM(H54,J54,L54,N54)</f>
        <v/>
      </c>
      <c r="R54" s="42">
        <f>D54-SUM(H54,J54,L54,N54,P54)</f>
        <v/>
      </c>
      <c r="T54" s="42">
        <f>D54-SUM(H54,J54,L54,N54,P54,R54)</f>
        <v/>
      </c>
      <c r="V54" s="42">
        <f>D54-SUM(H54,J54,L54,N54,P54,R54,T54)</f>
        <v/>
      </c>
      <c r="X54" s="56">
        <f>D54-SUM(H54,J54,L54,N54,P54,R54,T54,V54)</f>
        <v/>
      </c>
      <c r="Y54" s="57">
        <f>12*COUNT(G54,I54,K54,M54,O54,Q54,U54,W54,S54)</f>
        <v/>
      </c>
      <c r="Z54" s="40">
        <f>IF(AND('0₦'!T57&lt;&gt;0,'0₦'!T57&lt;&gt;""),9,0) + 0</f>
        <v/>
      </c>
      <c r="AA54" s="445">
        <f>'0₦'!BI57 + 0</f>
        <v/>
      </c>
      <c r="AB54" s="446">
        <f>'0₦'!BE57</f>
        <v/>
      </c>
      <c r="AC54" s="450">
        <f>'0₦'!BC57 + 0</f>
        <v/>
      </c>
      <c r="AD54" s="42">
        <f>'0₦'!BD57</f>
        <v/>
      </c>
      <c r="AE54" s="42">
        <f>'0₦'!AX57</f>
        <v/>
      </c>
      <c r="AF54" s="446">
        <f>hcbi!AA58+hcbi!Y58</f>
        <v/>
      </c>
      <c r="AG54" s="42">
        <f>'0₦'!AW57</f>
        <v/>
      </c>
      <c r="AH54" s="450">
        <f>0</f>
        <v/>
      </c>
      <c r="AI54" s="445" t="n"/>
      <c r="AJ54" s="445" t="n"/>
      <c r="AK54" s="44" t="n">
        <v>827</v>
      </c>
      <c r="AL54" s="450" t="n">
        <v>348</v>
      </c>
    </row>
    <row r="55" ht="17.1" customHeight="1" s="37">
      <c r="B55" s="546">
        <f>B54+1</f>
        <v/>
      </c>
      <c r="C55" s="450" t="inlineStr">
        <is>
          <t>sf21</t>
        </is>
      </c>
      <c r="D55" s="257">
        <f>SUM(Y55:AH55)</f>
        <v/>
      </c>
      <c r="E55" s="54">
        <f>'0₦'!AF58</f>
        <v/>
      </c>
      <c r="F55" s="41">
        <f>'0₦'!AG58</f>
        <v/>
      </c>
      <c r="H55" s="410">
        <f>D55</f>
        <v/>
      </c>
      <c r="J55" s="42">
        <f>D55-H55</f>
        <v/>
      </c>
      <c r="L55" s="42">
        <f>D55-SUM(H55,J55)</f>
        <v/>
      </c>
      <c r="N55" s="42">
        <f>D55-SUM(H55,J55,L55,)</f>
        <v/>
      </c>
      <c r="P55" s="42">
        <f>D55-SUM(H55,J55,L55,N55)</f>
        <v/>
      </c>
      <c r="R55" s="42">
        <f>D55-SUM(H55,J55,L55,N55,P55)</f>
        <v/>
      </c>
      <c r="T55" s="42">
        <f>D55-SUM(H55,J55,L55,N55,P55,R55)</f>
        <v/>
      </c>
      <c r="V55" s="42">
        <f>D55-SUM(H55,J55,L55,N55,P55,R55,T55)</f>
        <v/>
      </c>
      <c r="X55" s="56">
        <f>D55-SUM(H55,J55,L55,N55,P55,R55,T55,V55)</f>
        <v/>
      </c>
      <c r="Y55" s="57">
        <f>12*COUNT(G55,I55,K55,M55,O55,Q55,U55,W55,S55)</f>
        <v/>
      </c>
      <c r="Z55" s="40">
        <f>IF(AND('0₦'!T58&lt;&gt;0,'0₦'!T58&lt;&gt;""),9,0) + 0</f>
        <v/>
      </c>
      <c r="AA55" s="445">
        <f>'0₦'!BI58 + 0</f>
        <v/>
      </c>
      <c r="AB55" s="446">
        <f>'0₦'!BE58</f>
        <v/>
      </c>
      <c r="AC55" s="450">
        <f>'0₦'!BC58 + 0</f>
        <v/>
      </c>
      <c r="AD55" s="42">
        <f>'0₦'!BD58</f>
        <v/>
      </c>
      <c r="AE55" s="42">
        <f>'0₦'!AX58</f>
        <v/>
      </c>
      <c r="AF55" s="446">
        <f>hcbi!AA59+hcbi!Y59+10+20</f>
        <v/>
      </c>
      <c r="AG55" s="42">
        <f>'0₦'!AW58</f>
        <v/>
      </c>
      <c r="AH55" s="450">
        <f>0</f>
        <v/>
      </c>
      <c r="AK55" s="44" t="n">
        <v>945</v>
      </c>
      <c r="AL55" s="450" t="n">
        <v>141</v>
      </c>
    </row>
    <row r="56" ht="17.1" customHeight="1" s="37">
      <c r="B56" s="546">
        <f>B55+1</f>
        <v/>
      </c>
      <c r="C56" s="450" t="inlineStr">
        <is>
          <t>sf21</t>
        </is>
      </c>
      <c r="D56" s="257">
        <f>SUM(Y56:AH56)</f>
        <v/>
      </c>
      <c r="E56" s="54">
        <f>'0₦'!AF59</f>
        <v/>
      </c>
      <c r="F56" s="41">
        <f>'0₦'!AG59</f>
        <v/>
      </c>
      <c r="H56" s="410">
        <f>D56</f>
        <v/>
      </c>
      <c r="J56" s="42">
        <f>D56-H56</f>
        <v/>
      </c>
      <c r="L56" s="42">
        <f>D56-SUM(H56,J56)</f>
        <v/>
      </c>
      <c r="N56" s="42">
        <f>D56-SUM(H56,J56,L56,)</f>
        <v/>
      </c>
      <c r="P56" s="42">
        <f>D56-SUM(H56,J56,L56,N56)</f>
        <v/>
      </c>
      <c r="R56" s="42">
        <f>D56-SUM(H56,J56,L56,N56,P56)</f>
        <v/>
      </c>
      <c r="T56" s="42">
        <f>D56-SUM(H56,J56,L56,N56,P56,R56)</f>
        <v/>
      </c>
      <c r="V56" s="42">
        <f>D56-SUM(H56,J56,L56,N56,P56,R56,T56)</f>
        <v/>
      </c>
      <c r="X56" s="56">
        <f>D56-SUM(H56,J56,L56,N56,P56,R56,T56,V56)</f>
        <v/>
      </c>
      <c r="Y56" s="57">
        <f>12*COUNT(G56,I56,K56,M56,O56,Q56,U56,W56,S56)</f>
        <v/>
      </c>
      <c r="Z56" s="40">
        <f>IF(AND('0₦'!T59&lt;&gt;0,'0₦'!T59&lt;&gt;""),9,0) + 0</f>
        <v/>
      </c>
      <c r="AA56" s="445">
        <f>'0₦'!BI59 + 0</f>
        <v/>
      </c>
      <c r="AB56" s="446">
        <f>'0₦'!BE59</f>
        <v/>
      </c>
      <c r="AC56" s="450">
        <f>'0₦'!BC59 + 0</f>
        <v/>
      </c>
      <c r="AD56" s="42">
        <f>'0₦'!BD59</f>
        <v/>
      </c>
      <c r="AE56" s="42">
        <f>'0₦'!AX59</f>
        <v/>
      </c>
      <c r="AF56" s="446">
        <f>hcbi!AA60+hcbi!Y60</f>
        <v/>
      </c>
      <c r="AG56" s="42">
        <f>'0₦'!AW59</f>
        <v/>
      </c>
      <c r="AH56" s="450">
        <f>0</f>
        <v/>
      </c>
      <c r="AI56" s="445" t="n"/>
      <c r="AJ56" s="445" t="n"/>
      <c r="AK56" s="44" t="n">
        <v>578</v>
      </c>
      <c r="AL56" s="450" t="n">
        <v>130</v>
      </c>
    </row>
    <row r="57" ht="17.1" customHeight="1" s="37">
      <c r="A57" s="547" t="n"/>
      <c r="B57" s="546">
        <f>B56+1</f>
        <v/>
      </c>
      <c r="C57" s="450" t="inlineStr">
        <is>
          <t>sf21</t>
        </is>
      </c>
      <c r="D57" s="257">
        <f>SUM(Y57:AH57)</f>
        <v/>
      </c>
      <c r="E57" s="54">
        <f>'0₦'!AF60</f>
        <v/>
      </c>
      <c r="F57" s="41">
        <f>'0₦'!AG60</f>
        <v/>
      </c>
      <c r="H57" s="410">
        <f>D57</f>
        <v/>
      </c>
      <c r="J57" s="42">
        <f>D57-H57</f>
        <v/>
      </c>
      <c r="L57" s="42">
        <f>D57-SUM(H57,J57)</f>
        <v/>
      </c>
      <c r="N57" s="42">
        <f>D57-SUM(H57,J57,L57,)</f>
        <v/>
      </c>
      <c r="P57" s="42">
        <f>D57-SUM(H57,J57,L57,N57)</f>
        <v/>
      </c>
      <c r="R57" s="42">
        <f>D57-SUM(H57,J57,L57,N57,P57)</f>
        <v/>
      </c>
      <c r="T57" s="42">
        <f>D57-SUM(H57,J57,L57,N57,P57,R57)</f>
        <v/>
      </c>
      <c r="V57" s="42">
        <f>D57-SUM(H57,J57,L57,N57,P57,R57,T57)</f>
        <v/>
      </c>
      <c r="X57" s="56">
        <f>D57-SUM(H57,J57,L57,N57,P57,R57,T57,V57)</f>
        <v/>
      </c>
      <c r="Y57" s="57">
        <f>12*COUNT(G57,I57,K57,M57,O57,Q57,U57,W57,S57)</f>
        <v/>
      </c>
      <c r="Z57" s="40">
        <f>IF(AND('0₦'!T60&lt;&gt;0,'0₦'!T60&lt;&gt;""),9,0) + 0</f>
        <v/>
      </c>
      <c r="AA57" s="445">
        <f>'0₦'!BI60 + 0</f>
        <v/>
      </c>
      <c r="AB57" s="446">
        <f>'0₦'!BE60</f>
        <v/>
      </c>
      <c r="AC57" s="450">
        <f>'0₦'!BC60 + 0</f>
        <v/>
      </c>
      <c r="AD57" s="42">
        <f>'0₦'!BD60</f>
        <v/>
      </c>
      <c r="AE57" s="42">
        <f>'0₦'!AX60</f>
        <v/>
      </c>
      <c r="AF57" s="446">
        <f>hcbi!AA61+hcbi!Y61</f>
        <v/>
      </c>
      <c r="AG57" s="42">
        <f>'0₦'!AW60</f>
        <v/>
      </c>
      <c r="AH57" s="450">
        <f>0</f>
        <v/>
      </c>
      <c r="AK57" s="450" t="n">
        <v>658</v>
      </c>
      <c r="AL57" s="450" t="n">
        <v>164</v>
      </c>
    </row>
    <row r="58" ht="17.1" customHeight="1" s="37">
      <c r="A58" s="441">
        <f>A30+1</f>
        <v/>
      </c>
      <c r="B58" s="546">
        <f>B57+1</f>
        <v/>
      </c>
      <c r="C58" s="450" t="inlineStr">
        <is>
          <t>sf21</t>
        </is>
      </c>
      <c r="D58" s="257">
        <f>SUM(Y58:AH58)</f>
        <v/>
      </c>
      <c r="E58" s="54">
        <f>'0₦'!AF61</f>
        <v/>
      </c>
      <c r="F58" s="41">
        <f>'0₦'!AG61</f>
        <v/>
      </c>
      <c r="H58" s="410">
        <f>D58</f>
        <v/>
      </c>
      <c r="J58" s="42">
        <f>D58-H58</f>
        <v/>
      </c>
      <c r="L58" s="42">
        <f>D58-SUM(H58,J58)</f>
        <v/>
      </c>
      <c r="N58" s="42">
        <f>D58-SUM(H58,J58,L58,)</f>
        <v/>
      </c>
      <c r="P58" s="42">
        <f>D58-SUM(H58,J58,L58,N58)</f>
        <v/>
      </c>
      <c r="R58" s="42">
        <f>D58-SUM(H58,J58,L58,N58,P58)</f>
        <v/>
      </c>
      <c r="T58" s="42">
        <f>D58-SUM(H58,J58,L58,N58,P58,R58)</f>
        <v/>
      </c>
      <c r="V58" s="42">
        <f>D58-SUM(H58,J58,L58,N58,P58,R58,T58)</f>
        <v/>
      </c>
      <c r="X58" s="56">
        <f>D58-SUM(H58,J58,L58,N58,P58,R58,T58,V58)</f>
        <v/>
      </c>
      <c r="Y58" s="57">
        <f>12*COUNT(G58,I58,K58,M58,O58,Q58,U58,W58,S58)</f>
        <v/>
      </c>
      <c r="Z58" s="40">
        <f>IF(AND('0₦'!T61&lt;&gt;0,'0₦'!T61&lt;&gt;""),9,0) + 0</f>
        <v/>
      </c>
      <c r="AA58" s="445">
        <f>'0₦'!BI61 + 0</f>
        <v/>
      </c>
      <c r="AB58" s="446">
        <f>'0₦'!BE61</f>
        <v/>
      </c>
      <c r="AC58" s="450">
        <f>'0₦'!BC61 + 0</f>
        <v/>
      </c>
      <c r="AD58" s="42">
        <f>'0₦'!BD61</f>
        <v/>
      </c>
      <c r="AE58" s="42">
        <f>'0₦'!AX61</f>
        <v/>
      </c>
      <c r="AF58" s="446">
        <f>hcbi!AA62+hcbi!Y62</f>
        <v/>
      </c>
      <c r="AG58" s="42">
        <f>'0₦'!AW61</f>
        <v/>
      </c>
      <c r="AH58" s="450">
        <f>0</f>
        <v/>
      </c>
      <c r="AI58" s="445" t="n"/>
      <c r="AJ58" s="445" t="n"/>
      <c r="AK58" s="61" t="n">
        <v>850</v>
      </c>
      <c r="AL58" s="450" t="n">
        <v>134</v>
      </c>
    </row>
    <row r="59" ht="17.1" customHeight="1" s="37">
      <c r="B59" s="546">
        <f>B58+1</f>
        <v/>
      </c>
      <c r="C59" s="450" t="inlineStr">
        <is>
          <t>sf21</t>
        </is>
      </c>
      <c r="D59" s="257">
        <f>SUM(Y59:AH59)</f>
        <v/>
      </c>
      <c r="E59" s="54">
        <f>'0₦'!AF62</f>
        <v/>
      </c>
      <c r="F59" s="41">
        <f>'0₦'!AG62</f>
        <v/>
      </c>
      <c r="H59" s="410">
        <f>D59</f>
        <v/>
      </c>
      <c r="J59" s="42">
        <f>D59-H59</f>
        <v/>
      </c>
      <c r="L59" s="42">
        <f>D59-SUM(H59,J59)</f>
        <v/>
      </c>
      <c r="N59" s="42">
        <f>D59-SUM(H59,J59,L59,)</f>
        <v/>
      </c>
      <c r="P59" s="42">
        <f>D59-SUM(H59,J59,L59,N59)</f>
        <v/>
      </c>
      <c r="R59" s="42">
        <f>D59-SUM(H59,J59,L59,N59,P59)</f>
        <v/>
      </c>
      <c r="T59" s="42">
        <f>D59-SUM(H59,J59,L59,N59,P59,R59)</f>
        <v/>
      </c>
      <c r="V59" s="42">
        <f>D59-SUM(H59,J59,L59,N59,P59,R59,T59)</f>
        <v/>
      </c>
      <c r="X59" s="56">
        <f>D59-SUM(H59,J59,L59,N59,P59,R59,T59,V59)</f>
        <v/>
      </c>
      <c r="Y59" s="57">
        <f>12*COUNT(G59,I59,K59,M59,O59,Q59,U59,W59,S59)</f>
        <v/>
      </c>
      <c r="Z59" s="40">
        <f>IF(AND('0₦'!T62&lt;&gt;0,'0₦'!T62&lt;&gt;""),9,0) + 0</f>
        <v/>
      </c>
      <c r="AA59" s="445">
        <f>'0₦'!BI62 + 0</f>
        <v/>
      </c>
      <c r="AB59" s="446">
        <f>'0₦'!BE62</f>
        <v/>
      </c>
      <c r="AC59" s="450">
        <f>'0₦'!BC62 + 0</f>
        <v/>
      </c>
      <c r="AD59" s="42">
        <f>'0₦'!BD62</f>
        <v/>
      </c>
      <c r="AE59" s="42">
        <f>'0₦'!AX62</f>
        <v/>
      </c>
      <c r="AF59" s="446">
        <f>hcbi!AA63+hcbi!Y63</f>
        <v/>
      </c>
      <c r="AG59" s="42">
        <f>'0₦'!AW62</f>
        <v/>
      </c>
      <c r="AH59" s="450">
        <f>0</f>
        <v/>
      </c>
      <c r="AK59" s="44" t="n">
        <v>777</v>
      </c>
      <c r="AL59" s="450" t="n">
        <v>182</v>
      </c>
    </row>
    <row r="60" ht="17.1" customHeight="1" s="37">
      <c r="B60" s="546">
        <f>B59+1</f>
        <v/>
      </c>
      <c r="C60" s="450" t="inlineStr">
        <is>
          <t>sf21</t>
        </is>
      </c>
      <c r="D60" s="257">
        <f>SUM(Y60:AH60)</f>
        <v/>
      </c>
      <c r="E60" s="54">
        <f>'0₦'!AF63</f>
        <v/>
      </c>
      <c r="F60" s="41">
        <f>'0₦'!AG63</f>
        <v/>
      </c>
      <c r="H60" s="410">
        <f>D60</f>
        <v/>
      </c>
      <c r="J60" s="42">
        <f>D60-H60</f>
        <v/>
      </c>
      <c r="L60" s="42">
        <f>D60-SUM(H60,J60)</f>
        <v/>
      </c>
      <c r="N60" s="42">
        <f>D60-SUM(H60,J60,L60,)</f>
        <v/>
      </c>
      <c r="P60" s="42">
        <f>D60-SUM(H60,J60,L60,N60)</f>
        <v/>
      </c>
      <c r="R60" s="42">
        <f>D60-SUM(H60,J60,L60,N60,P60)</f>
        <v/>
      </c>
      <c r="T60" s="42">
        <f>D60-SUM(H60,J60,L60,N60,P60,R60)</f>
        <v/>
      </c>
      <c r="V60" s="42">
        <f>D60-SUM(H60,J60,L60,N60,P60,R60,T60)</f>
        <v/>
      </c>
      <c r="X60" s="56">
        <f>D60-SUM(H60,J60,L60,N60,P60,R60,T60,V60)</f>
        <v/>
      </c>
      <c r="Y60" s="57">
        <f>12*COUNT(G60,I60,K60,M60,O60,Q60,U60,W60,S60)</f>
        <v/>
      </c>
      <c r="Z60" s="40">
        <f>IF(AND('0₦'!T63&lt;&gt;0,'0₦'!T63&lt;&gt;""),9,0) + 0</f>
        <v/>
      </c>
      <c r="AA60" s="445">
        <f>'0₦'!BI63 + 0</f>
        <v/>
      </c>
      <c r="AB60" s="446">
        <f>'0₦'!BE63</f>
        <v/>
      </c>
      <c r="AC60" s="450">
        <f>'0₦'!BC63 + 0</f>
        <v/>
      </c>
      <c r="AD60" s="42">
        <f>'0₦'!BD63</f>
        <v/>
      </c>
      <c r="AE60" s="42">
        <f>'0₦'!AX63</f>
        <v/>
      </c>
      <c r="AF60" s="446">
        <f>hcbi!AA64+hcbi!Y64</f>
        <v/>
      </c>
      <c r="AG60" s="42">
        <f>'0₦'!AW63</f>
        <v/>
      </c>
      <c r="AH60" s="450">
        <f>0</f>
        <v/>
      </c>
      <c r="AI60" s="447" t="n"/>
      <c r="AJ60" s="445" t="n"/>
      <c r="AK60" s="450" t="n">
        <v>738</v>
      </c>
      <c r="AL60" s="450" t="n">
        <v>58</v>
      </c>
    </row>
    <row r="61" ht="17.1" customHeight="1" s="37">
      <c r="B61" s="546">
        <f>B60+1</f>
        <v/>
      </c>
      <c r="C61" s="450" t="inlineStr">
        <is>
          <t>sf21</t>
        </is>
      </c>
      <c r="D61" s="257">
        <f>SUM(Y61:AH61)</f>
        <v/>
      </c>
      <c r="E61" s="54">
        <f>'0₦'!AF64</f>
        <v/>
      </c>
      <c r="F61" s="41">
        <f>'0₦'!AG64</f>
        <v/>
      </c>
      <c r="H61" s="410">
        <f>D61</f>
        <v/>
      </c>
      <c r="J61" s="42">
        <f>D61-H61</f>
        <v/>
      </c>
      <c r="L61" s="42">
        <f>D61-SUM(H61,J61)</f>
        <v/>
      </c>
      <c r="N61" s="42">
        <f>D61-SUM(H61,J61,L61,)</f>
        <v/>
      </c>
      <c r="P61" s="42">
        <f>D61-SUM(H61,J61,L61,N61)</f>
        <v/>
      </c>
      <c r="R61" s="42">
        <f>D61-SUM(H61,J61,L61,N61,P61)</f>
        <v/>
      </c>
      <c r="T61" s="42">
        <f>D61-SUM(H61,J61,L61,N61,P61,R61)</f>
        <v/>
      </c>
      <c r="V61" s="42">
        <f>D61-SUM(H61,J61,L61,N61,P61,R61,T61)</f>
        <v/>
      </c>
      <c r="X61" s="56">
        <f>D61-SUM(H61,J61,L61,N61,P61,R61,T61,V61)</f>
        <v/>
      </c>
      <c r="Y61" s="57">
        <f>12*COUNT(G61,I61,K61,M61,O61,Q61,U61,W61,S61)</f>
        <v/>
      </c>
      <c r="Z61" s="40">
        <f>IF(AND('0₦'!T64&lt;&gt;0,'0₦'!T64&lt;&gt;""),9,0) + 0</f>
        <v/>
      </c>
      <c r="AA61" s="445">
        <f>'0₦'!BI64 + 0</f>
        <v/>
      </c>
      <c r="AB61" s="446">
        <f>'0₦'!BE64</f>
        <v/>
      </c>
      <c r="AC61" s="450">
        <f>'0₦'!BC64 + 0</f>
        <v/>
      </c>
      <c r="AD61" s="42">
        <f>'0₦'!BD64</f>
        <v/>
      </c>
      <c r="AE61" s="42">
        <f>'0₦'!AX64</f>
        <v/>
      </c>
      <c r="AF61" s="446">
        <f>hcbi!AA65+hcbi!Y65</f>
        <v/>
      </c>
      <c r="AG61" s="42">
        <f>'0₦'!AW64</f>
        <v/>
      </c>
      <c r="AH61" s="450">
        <f>0</f>
        <v/>
      </c>
      <c r="AI61" s="548" t="n"/>
      <c r="AK61" s="44" t="n">
        <v>751</v>
      </c>
      <c r="AL61" s="450" t="n">
        <v>245</v>
      </c>
    </row>
    <row r="62" ht="17.1" customHeight="1" s="37">
      <c r="B62" s="546">
        <f>B61+1</f>
        <v/>
      </c>
      <c r="C62" s="450" t="inlineStr">
        <is>
          <t>sf21</t>
        </is>
      </c>
      <c r="D62" s="257">
        <f>SUM(Y62:AH62)</f>
        <v/>
      </c>
      <c r="E62" s="54">
        <f>'0₦'!AF65</f>
        <v/>
      </c>
      <c r="F62" s="41">
        <f>'0₦'!AG65</f>
        <v/>
      </c>
      <c r="H62" s="410">
        <f>D62</f>
        <v/>
      </c>
      <c r="J62" s="42">
        <f>D62-H62</f>
        <v/>
      </c>
      <c r="L62" s="42">
        <f>D62-SUM(H62,J62)</f>
        <v/>
      </c>
      <c r="N62" s="42">
        <f>D62-SUM(H62,J62,L62,)</f>
        <v/>
      </c>
      <c r="P62" s="42">
        <f>D62-SUM(H62,J62,L62,N62)</f>
        <v/>
      </c>
      <c r="R62" s="42">
        <f>D62-SUM(H62,J62,L62,N62,P62)</f>
        <v/>
      </c>
      <c r="T62" s="42">
        <f>D62-SUM(H62,J62,L62,N62,P62,R62)</f>
        <v/>
      </c>
      <c r="V62" s="42">
        <f>D62-SUM(H62,J62,L62,N62,P62,R62,T62)</f>
        <v/>
      </c>
      <c r="X62" s="56">
        <f>D62-SUM(H62,J62,L62,N62,P62,R62,T62,V62)</f>
        <v/>
      </c>
      <c r="Y62" s="57">
        <f>12*COUNT(G62,I62,K62,M62,O62,Q62,U62,W62,S62)</f>
        <v/>
      </c>
      <c r="Z62" s="40">
        <f>IF(AND('0₦'!T65&lt;&gt;0,'0₦'!T65&lt;&gt;""),9,0) + 0</f>
        <v/>
      </c>
      <c r="AA62" s="445">
        <f>'0₦'!BI65 + 0</f>
        <v/>
      </c>
      <c r="AB62" s="446">
        <f>'0₦'!BE65</f>
        <v/>
      </c>
      <c r="AC62" s="450">
        <f>'0₦'!BC65 + 0</f>
        <v/>
      </c>
      <c r="AD62" s="42">
        <f>'0₦'!BD65</f>
        <v/>
      </c>
      <c r="AE62" s="42">
        <f>'0₦'!AX65</f>
        <v/>
      </c>
      <c r="AF62" s="446">
        <f>hcbi!AA66+hcbi!Y66+30</f>
        <v/>
      </c>
      <c r="AG62" s="42">
        <f>'0₦'!AW65</f>
        <v/>
      </c>
      <c r="AH62" s="450">
        <f>0</f>
        <v/>
      </c>
      <c r="AI62" s="445" t="n"/>
      <c r="AJ62" s="445" t="n"/>
      <c r="AK62" s="44" t="n">
        <v>428</v>
      </c>
      <c r="AL62" s="450" t="n">
        <v>103</v>
      </c>
    </row>
    <row r="63" ht="17.1" customHeight="1" s="37">
      <c r="B63" s="546">
        <f>B62+1</f>
        <v/>
      </c>
      <c r="C63" s="450" t="inlineStr">
        <is>
          <t>sf21</t>
        </is>
      </c>
      <c r="D63" s="257">
        <f>SUM(Y63:AH63)</f>
        <v/>
      </c>
      <c r="E63" s="54">
        <f>'0₦'!AF66</f>
        <v/>
      </c>
      <c r="F63" s="41">
        <f>'0₦'!AG66</f>
        <v/>
      </c>
      <c r="H63" s="410">
        <f>D63</f>
        <v/>
      </c>
      <c r="J63" s="42">
        <f>D63-H63</f>
        <v/>
      </c>
      <c r="L63" s="42">
        <f>D63-SUM(H63,J63)</f>
        <v/>
      </c>
      <c r="N63" s="42">
        <f>D63-SUM(H63,J63,L63,)</f>
        <v/>
      </c>
      <c r="P63" s="42">
        <f>D63-SUM(H63,J63,L63,N63)</f>
        <v/>
      </c>
      <c r="R63" s="42">
        <f>D63-SUM(H63,J63,L63,N63,P63)</f>
        <v/>
      </c>
      <c r="T63" s="42">
        <f>D63-SUM(H63,J63,L63,N63,P63,R63)</f>
        <v/>
      </c>
      <c r="V63" s="42">
        <f>D63-SUM(H63,J63,L63,N63,P63,R63,T63)</f>
        <v/>
      </c>
      <c r="X63" s="56">
        <f>D63-SUM(H63,J63,L63,N63,P63,R63,T63,V63)</f>
        <v/>
      </c>
      <c r="Y63" s="57">
        <f>12*COUNT(G63,I63,K63,M63,O63,Q63,U63,W63,S63)</f>
        <v/>
      </c>
      <c r="Z63" s="40">
        <f>IF(AND('0₦'!T66&lt;&gt;0,'0₦'!T66&lt;&gt;""),9,0) + 0</f>
        <v/>
      </c>
      <c r="AA63" s="445">
        <f>'0₦'!BI66 + 0</f>
        <v/>
      </c>
      <c r="AB63" s="446">
        <f>'0₦'!BE66</f>
        <v/>
      </c>
      <c r="AC63" s="450">
        <f>'0₦'!BC66 + 0</f>
        <v/>
      </c>
      <c r="AD63" s="42">
        <f>'0₦'!BD66</f>
        <v/>
      </c>
      <c r="AE63" s="42">
        <f>'0₦'!AX66</f>
        <v/>
      </c>
      <c r="AF63" s="446">
        <f>hcbi!AA67+hcbi!Y67</f>
        <v/>
      </c>
      <c r="AG63" s="42">
        <f>'0₦'!AW66</f>
        <v/>
      </c>
      <c r="AH63" s="450">
        <f>0</f>
        <v/>
      </c>
      <c r="AK63" s="44" t="n">
        <v>716</v>
      </c>
      <c r="AL63" s="450" t="n">
        <v>130</v>
      </c>
    </row>
    <row r="64" ht="17.1" customHeight="1" s="37">
      <c r="A64" s="547" t="n"/>
      <c r="B64" s="546">
        <f>B63+1</f>
        <v/>
      </c>
      <c r="C64" s="450" t="inlineStr">
        <is>
          <t>sf21</t>
        </is>
      </c>
      <c r="D64" s="257">
        <f>SUM(Y64:AH64)</f>
        <v/>
      </c>
      <c r="E64" s="54">
        <f>'0₦'!AF67</f>
        <v/>
      </c>
      <c r="F64" s="41">
        <f>'0₦'!AG67</f>
        <v/>
      </c>
      <c r="H64" s="410">
        <f>D64</f>
        <v/>
      </c>
      <c r="J64" s="42">
        <f>D64-H64</f>
        <v/>
      </c>
      <c r="L64" s="42">
        <f>D64-SUM(H64,J64)</f>
        <v/>
      </c>
      <c r="N64" s="42">
        <f>D64-SUM(H64,J64,L64,)</f>
        <v/>
      </c>
      <c r="P64" s="42">
        <f>D64-SUM(H64,J64,L64,N64)</f>
        <v/>
      </c>
      <c r="R64" s="42">
        <f>D64-SUM(H64,J64,L64,N64,P64)</f>
        <v/>
      </c>
      <c r="T64" s="42">
        <f>D64-SUM(H64,J64,L64,N64,P64,R64)</f>
        <v/>
      </c>
      <c r="V64" s="42">
        <f>D64-SUM(H64,J64,L64,N64,P64,R64,T64)</f>
        <v/>
      </c>
      <c r="X64" s="56">
        <f>D64-SUM(H64,J64,L64,N64,P64,R64,T64,V64)</f>
        <v/>
      </c>
      <c r="Y64" s="57">
        <f>12*COUNT(G64,I64,K64,M64,O64,Q64,U64,W64,S64)</f>
        <v/>
      </c>
      <c r="Z64" s="40">
        <f>IF(AND('0₦'!T67&lt;&gt;0,'0₦'!T67&lt;&gt;""),9,0) + 0</f>
        <v/>
      </c>
      <c r="AA64" s="445">
        <f>'0₦'!BI67 + 0</f>
        <v/>
      </c>
      <c r="AB64" s="446">
        <f>'0₦'!BE67</f>
        <v/>
      </c>
      <c r="AC64" s="450">
        <f>'0₦'!BC67 + 0</f>
        <v/>
      </c>
      <c r="AD64" s="42">
        <f>'0₦'!BD67</f>
        <v/>
      </c>
      <c r="AE64" s="42">
        <f>'0₦'!AX67</f>
        <v/>
      </c>
      <c r="AF64" s="446">
        <f>hcbi!AA68+hcbi!Y68</f>
        <v/>
      </c>
      <c r="AG64" s="42">
        <f>'0₦'!AW67</f>
        <v/>
      </c>
      <c r="AH64" s="450">
        <f>0</f>
        <v/>
      </c>
      <c r="AI64" s="445" t="n"/>
      <c r="AJ64" s="445" t="n"/>
      <c r="AK64" s="44" t="n">
        <v>648</v>
      </c>
      <c r="AL64" s="450" t="n">
        <v>205</v>
      </c>
    </row>
    <row r="65" ht="17.1" customHeight="1" s="37">
      <c r="A65" s="441">
        <f>A58+0.1</f>
        <v/>
      </c>
      <c r="B65" s="546">
        <f>B64+1</f>
        <v/>
      </c>
      <c r="C65" s="450" t="inlineStr">
        <is>
          <t>sf21</t>
        </is>
      </c>
      <c r="D65" s="257">
        <f>SUM(Y65:AH65)</f>
        <v/>
      </c>
      <c r="E65" s="54">
        <f>'0₦'!AF68</f>
        <v/>
      </c>
      <c r="F65" s="41">
        <f>'0₦'!AG68</f>
        <v/>
      </c>
      <c r="H65" s="410">
        <f>D65</f>
        <v/>
      </c>
      <c r="J65" s="42">
        <f>D65-H65</f>
        <v/>
      </c>
      <c r="L65" s="42">
        <f>D65-SUM(H65,J65)</f>
        <v/>
      </c>
      <c r="N65" s="42">
        <f>D65-SUM(H65,J65,L65,)</f>
        <v/>
      </c>
      <c r="P65" s="42">
        <f>D65-SUM(H65,J65,L65,N65)</f>
        <v/>
      </c>
      <c r="R65" s="42">
        <f>D65-SUM(H65,J65,L65,N65,P65)</f>
        <v/>
      </c>
      <c r="T65" s="42">
        <f>D65-SUM(H65,J65,L65,N65,P65,R65)</f>
        <v/>
      </c>
      <c r="V65" s="42">
        <f>D65-SUM(H65,J65,L65,N65,P65,R65,T65)</f>
        <v/>
      </c>
      <c r="X65" s="56">
        <f>D65-SUM(H65,J65,L65,N65,P65,R65,T65,V65)</f>
        <v/>
      </c>
      <c r="Y65" s="57">
        <f>12*COUNT(G65,I65,K65,M65,O65,Q65,U65,W65,S65)</f>
        <v/>
      </c>
      <c r="Z65" s="40">
        <f>IF(AND('0₦'!T68&lt;&gt;0,'0₦'!T68&lt;&gt;""),9,0) + 0</f>
        <v/>
      </c>
      <c r="AA65" s="445">
        <f>'0₦'!BI68 + 0</f>
        <v/>
      </c>
      <c r="AB65" s="446">
        <f>'0₦'!BE68</f>
        <v/>
      </c>
      <c r="AC65" s="450">
        <f>'0₦'!BC68 + 0</f>
        <v/>
      </c>
      <c r="AD65" s="42">
        <f>'0₦'!BD68</f>
        <v/>
      </c>
      <c r="AE65" s="42">
        <f>'0₦'!AX68</f>
        <v/>
      </c>
      <c r="AF65" s="446">
        <f>hcbi!AA69+hcbi!Y69</f>
        <v/>
      </c>
      <c r="AG65" s="42">
        <f>'0₦'!AW68</f>
        <v/>
      </c>
      <c r="AH65" s="450">
        <f>0</f>
        <v/>
      </c>
      <c r="AK65" s="44" t="n">
        <v>732</v>
      </c>
      <c r="AL65" s="450" t="n">
        <v>114</v>
      </c>
    </row>
    <row r="66" ht="17.1" customHeight="1" s="37">
      <c r="B66" s="546">
        <f>B65+1</f>
        <v/>
      </c>
      <c r="C66" s="450" t="inlineStr">
        <is>
          <t>sf21</t>
        </is>
      </c>
      <c r="D66" s="257">
        <f>SUM(Y66:AH66)</f>
        <v/>
      </c>
      <c r="E66" s="54">
        <f>'0₦'!AF69</f>
        <v/>
      </c>
      <c r="F66" s="41">
        <f>'0₦'!AG69</f>
        <v/>
      </c>
      <c r="H66" s="410">
        <f>D66</f>
        <v/>
      </c>
      <c r="J66" s="42">
        <f>D66-H66</f>
        <v/>
      </c>
      <c r="L66" s="42">
        <f>D66-SUM(H66,J66)</f>
        <v/>
      </c>
      <c r="N66" s="42">
        <f>D66-SUM(H66,J66,L66,)</f>
        <v/>
      </c>
      <c r="P66" s="42">
        <f>D66-SUM(H66,J66,L66,N66)</f>
        <v/>
      </c>
      <c r="R66" s="42">
        <f>D66-SUM(H66,J66,L66,N66,P66)</f>
        <v/>
      </c>
      <c r="T66" s="42">
        <f>D66-SUM(H66,J66,L66,N66,P66,R66)</f>
        <v/>
      </c>
      <c r="V66" s="42">
        <f>D66-SUM(H66,J66,L66,N66,P66,R66,T66)</f>
        <v/>
      </c>
      <c r="X66" s="56">
        <f>D66-SUM(H66,J66,L66,N66,P66,R66,T66,V66)</f>
        <v/>
      </c>
      <c r="Y66" s="57">
        <f>12*COUNT(G66,I66,K66,M66,O66,Q66,U66,W66,S66)</f>
        <v/>
      </c>
      <c r="Z66" s="40">
        <f>IF(AND('0₦'!T69&lt;&gt;0,'0₦'!T69&lt;&gt;""),9,0) + 0</f>
        <v/>
      </c>
      <c r="AA66" s="445">
        <f>'0₦'!BI69 + 0</f>
        <v/>
      </c>
      <c r="AB66" s="446">
        <f>'0₦'!BE69</f>
        <v/>
      </c>
      <c r="AC66" s="450">
        <f>'0₦'!BC69 + 0</f>
        <v/>
      </c>
      <c r="AD66" s="42">
        <f>'0₦'!BD69</f>
        <v/>
      </c>
      <c r="AE66" s="42">
        <f>'0₦'!AX69</f>
        <v/>
      </c>
      <c r="AF66" s="446">
        <f>hcbi!AA70+hcbi!Y70</f>
        <v/>
      </c>
      <c r="AG66" s="42">
        <f>'0₦'!AW69</f>
        <v/>
      </c>
      <c r="AH66" s="450">
        <f>0</f>
        <v/>
      </c>
      <c r="AI66" s="445" t="n"/>
      <c r="AJ66" s="445" t="n"/>
      <c r="AK66" s="44" t="n">
        <v>829</v>
      </c>
      <c r="AL66" s="450" t="n">
        <v>400</v>
      </c>
    </row>
    <row r="67" ht="17.1" customHeight="1" s="37">
      <c r="B67" s="546">
        <f>B66+1</f>
        <v/>
      </c>
      <c r="C67" s="450" t="inlineStr">
        <is>
          <t>sf21</t>
        </is>
      </c>
      <c r="D67" s="257">
        <f>SUM(Y67:AH67)</f>
        <v/>
      </c>
      <c r="E67" s="54">
        <f>'0₦'!AF70</f>
        <v/>
      </c>
      <c r="F67" s="41">
        <f>'0₦'!AG70</f>
        <v/>
      </c>
      <c r="H67" s="410">
        <f>D67</f>
        <v/>
      </c>
      <c r="J67" s="42">
        <f>D67-H67</f>
        <v/>
      </c>
      <c r="L67" s="42">
        <f>D67-SUM(H67,J67)</f>
        <v/>
      </c>
      <c r="N67" s="42">
        <f>D67-SUM(H67,J67,L67,)</f>
        <v/>
      </c>
      <c r="P67" s="42">
        <f>D67-SUM(H67,J67,L67,N67)</f>
        <v/>
      </c>
      <c r="R67" s="42">
        <f>D67-SUM(H67,J67,L67,N67,P67)</f>
        <v/>
      </c>
      <c r="T67" s="42">
        <f>D67-SUM(H67,J67,L67,N67,P67,R67)</f>
        <v/>
      </c>
      <c r="V67" s="42">
        <f>D67-SUM(H67,J67,L67,N67,P67,R67,T67)</f>
        <v/>
      </c>
      <c r="X67" s="56">
        <f>D67-SUM(H67,J67,L67,N67,P67,R67,T67,V67)</f>
        <v/>
      </c>
      <c r="Y67" s="57">
        <f>12*COUNT(G67,I67,K67,M67,O67,Q67,U67,W67,S67)</f>
        <v/>
      </c>
      <c r="Z67" s="40">
        <f>IF(AND('0₦'!T70&lt;&gt;0,'0₦'!T70&lt;&gt;""),9,0) + 0</f>
        <v/>
      </c>
      <c r="AA67" s="445">
        <f>'0₦'!BI70 + 0</f>
        <v/>
      </c>
      <c r="AB67" s="446">
        <f>'0₦'!BE70</f>
        <v/>
      </c>
      <c r="AC67" s="450">
        <f>'0₦'!BC70 + 0</f>
        <v/>
      </c>
      <c r="AD67" s="42">
        <f>'0₦'!BD70</f>
        <v/>
      </c>
      <c r="AE67" s="42">
        <f>'0₦'!AX70</f>
        <v/>
      </c>
      <c r="AF67" s="446">
        <f>hcbi!AA71+hcbi!Y71</f>
        <v/>
      </c>
      <c r="AG67" s="42">
        <f>'0₦'!AW70</f>
        <v/>
      </c>
      <c r="AH67" s="450">
        <f>0</f>
        <v/>
      </c>
      <c r="AK67" s="44" t="n">
        <v>701</v>
      </c>
      <c r="AL67" s="450" t="n">
        <v>312</v>
      </c>
    </row>
    <row r="68" ht="17.1" customHeight="1" s="37">
      <c r="B68" s="546">
        <f>B67+1</f>
        <v/>
      </c>
      <c r="C68" s="450" t="inlineStr">
        <is>
          <t>sf21</t>
        </is>
      </c>
      <c r="D68" s="257">
        <f>SUM(Y68:AH68)</f>
        <v/>
      </c>
      <c r="E68" s="54">
        <f>'0₦'!AF71</f>
        <v/>
      </c>
      <c r="F68" s="41">
        <f>'0₦'!AG71</f>
        <v/>
      </c>
      <c r="H68" s="410">
        <f>D68</f>
        <v/>
      </c>
      <c r="J68" s="42">
        <f>D68-H68</f>
        <v/>
      </c>
      <c r="L68" s="42">
        <f>D68-SUM(H68,J68)</f>
        <v/>
      </c>
      <c r="N68" s="42">
        <f>D68-SUM(H68,J68,L68,)</f>
        <v/>
      </c>
      <c r="P68" s="42">
        <f>D68-SUM(H68,J68,L68,N68)</f>
        <v/>
      </c>
      <c r="R68" s="42">
        <f>D68-SUM(H68,J68,L68,N68,P68)</f>
        <v/>
      </c>
      <c r="T68" s="42">
        <f>D68-SUM(H68,J68,L68,N68,P68,R68)</f>
        <v/>
      </c>
      <c r="V68" s="42">
        <f>D68-SUM(H68,J68,L68,N68,P68,R68,T68)</f>
        <v/>
      </c>
      <c r="X68" s="56">
        <f>D68-SUM(H68,J68,L68,N68,P68,R68,T68,V68)</f>
        <v/>
      </c>
      <c r="Y68" s="57">
        <f>12*COUNT(G68,I68,K68,M68,O68,Q68,U68,W68,S68)</f>
        <v/>
      </c>
      <c r="Z68" s="40">
        <f>IF(AND('0₦'!T71&lt;&gt;0,'0₦'!T71&lt;&gt;""),9,0) + 0</f>
        <v/>
      </c>
      <c r="AA68" s="445">
        <f>'0₦'!BI71 + 0</f>
        <v/>
      </c>
      <c r="AB68" s="446">
        <f>'0₦'!BE71</f>
        <v/>
      </c>
      <c r="AC68" s="450">
        <f>'0₦'!BC71 + 0</f>
        <v/>
      </c>
      <c r="AD68" s="42">
        <f>'0₦'!BD71</f>
        <v/>
      </c>
      <c r="AE68" s="42">
        <f>'0₦'!AX71</f>
        <v/>
      </c>
      <c r="AF68" s="446">
        <f>hcbi!AA72+hcbi!Y72</f>
        <v/>
      </c>
      <c r="AG68" s="42">
        <f>'0₦'!AW71</f>
        <v/>
      </c>
      <c r="AH68" s="450">
        <f>0</f>
        <v/>
      </c>
      <c r="AI68" s="445" t="n"/>
      <c r="AJ68" s="445" t="n"/>
      <c r="AK68" s="44" t="n">
        <v>870</v>
      </c>
      <c r="AL68" s="450" t="n">
        <v>300</v>
      </c>
    </row>
    <row r="69" ht="17.1" customHeight="1" s="37">
      <c r="B69" s="546">
        <f>B68+1</f>
        <v/>
      </c>
      <c r="C69" s="450" t="inlineStr">
        <is>
          <t>sf21</t>
        </is>
      </c>
      <c r="D69" s="257">
        <f>SUM(Y69:AH69)</f>
        <v/>
      </c>
      <c r="E69" s="54">
        <f>'0₦'!AF72</f>
        <v/>
      </c>
      <c r="F69" s="41">
        <f>'0₦'!AG72</f>
        <v/>
      </c>
      <c r="H69" s="410">
        <f>D69</f>
        <v/>
      </c>
      <c r="J69" s="42">
        <f>D69-H69</f>
        <v/>
      </c>
      <c r="L69" s="42">
        <f>D69-SUM(H69,J69)</f>
        <v/>
      </c>
      <c r="N69" s="42">
        <f>D69-SUM(H69,J69,L69,)</f>
        <v/>
      </c>
      <c r="P69" s="42">
        <f>D69-SUM(H69,J69,L69,N69)</f>
        <v/>
      </c>
      <c r="R69" s="42">
        <f>D69-SUM(H69,J69,L69,N69,P69)</f>
        <v/>
      </c>
      <c r="T69" s="42">
        <f>D69-SUM(H69,J69,L69,N69,P69,R69)</f>
        <v/>
      </c>
      <c r="V69" s="42">
        <f>D69-SUM(H69,J69,L69,N69,P69,R69,T69)</f>
        <v/>
      </c>
      <c r="X69" s="56">
        <f>D69-SUM(H69,J69,L69,N69,P69,R69,T69,V69)</f>
        <v/>
      </c>
      <c r="Y69" s="57">
        <f>12*COUNT(G69,I69,K69,M69,O69,Q69,U69,W69,S69)</f>
        <v/>
      </c>
      <c r="Z69" s="40">
        <f>IF(AND('0₦'!T72&lt;&gt;0,'0₦'!T72&lt;&gt;""),9,0) + 0</f>
        <v/>
      </c>
      <c r="AA69" s="445">
        <f>'0₦'!BI72 + 0</f>
        <v/>
      </c>
      <c r="AB69" s="446">
        <f>'0₦'!BE72</f>
        <v/>
      </c>
      <c r="AC69" s="450">
        <f>'0₦'!BC72 + 0</f>
        <v/>
      </c>
      <c r="AD69" s="42">
        <f>'0₦'!BD72</f>
        <v/>
      </c>
      <c r="AE69" s="42">
        <f>'0₦'!AX72</f>
        <v/>
      </c>
      <c r="AF69" s="446">
        <f>hcbi!AA73+hcbi!Y73+20+10</f>
        <v/>
      </c>
      <c r="AG69" s="42">
        <f>'0₦'!AW72</f>
        <v/>
      </c>
      <c r="AH69" s="450">
        <f>0</f>
        <v/>
      </c>
      <c r="AK69" s="44" t="n">
        <v>655</v>
      </c>
      <c r="AL69" s="450" t="n">
        <v>400</v>
      </c>
    </row>
    <row r="70" ht="17.1" customHeight="1" s="37">
      <c r="B70" s="546">
        <f>B69+1</f>
        <v/>
      </c>
      <c r="C70" s="450" t="inlineStr">
        <is>
          <t>sf21</t>
        </is>
      </c>
      <c r="D70" s="257">
        <f>SUM(Y70:AH70)</f>
        <v/>
      </c>
      <c r="E70" s="54">
        <f>'0₦'!AF73</f>
        <v/>
      </c>
      <c r="F70" s="41">
        <f>'0₦'!AG73</f>
        <v/>
      </c>
      <c r="H70" s="410">
        <f>D70</f>
        <v/>
      </c>
      <c r="J70" s="42">
        <f>D70-H70</f>
        <v/>
      </c>
      <c r="L70" s="42">
        <f>D70-SUM(H70,J70)</f>
        <v/>
      </c>
      <c r="N70" s="42">
        <f>D70-SUM(H70,J70,L70,)</f>
        <v/>
      </c>
      <c r="P70" s="42">
        <f>D70-SUM(H70,J70,L70,N70)</f>
        <v/>
      </c>
      <c r="R70" s="42">
        <f>D70-SUM(H70,J70,L70,N70,P70)</f>
        <v/>
      </c>
      <c r="T70" s="42">
        <f>D70-SUM(H70,J70,L70,N70,P70,R70)</f>
        <v/>
      </c>
      <c r="V70" s="42">
        <f>D70-SUM(H70,J70,L70,N70,P70,R70,T70)</f>
        <v/>
      </c>
      <c r="X70" s="56">
        <f>D70-SUM(H70,J70,L70,N70,P70,R70,T70,V70)</f>
        <v/>
      </c>
      <c r="Y70" s="57">
        <f>12*COUNT(G70,I70,K70,M70,O70,Q70,U70,W70,S70)</f>
        <v/>
      </c>
      <c r="Z70" s="40">
        <f>IF(AND('0₦'!T73&lt;&gt;0,'0₦'!T73&lt;&gt;""),9,0) + 0</f>
        <v/>
      </c>
      <c r="AA70" s="445">
        <f>'0₦'!BI73 + 0</f>
        <v/>
      </c>
      <c r="AB70" s="446">
        <f>'0₦'!BE73</f>
        <v/>
      </c>
      <c r="AC70" s="450">
        <f>'0₦'!BC73 + 0</f>
        <v/>
      </c>
      <c r="AD70" s="42">
        <f>'0₦'!BD73</f>
        <v/>
      </c>
      <c r="AE70" s="42">
        <f>'0₦'!AX73</f>
        <v/>
      </c>
      <c r="AF70" s="446">
        <f>hcbi!AA74+hcbi!Y74</f>
        <v/>
      </c>
      <c r="AG70" s="42">
        <f>'0₦'!AW73</f>
        <v/>
      </c>
      <c r="AH70" s="450">
        <f>0</f>
        <v/>
      </c>
      <c r="AI70" s="445" t="n"/>
      <c r="AJ70" s="445" t="n"/>
      <c r="AK70" s="44" t="n">
        <v>695</v>
      </c>
      <c r="AL70" s="450" t="n">
        <v>179</v>
      </c>
    </row>
    <row r="71" ht="17.1" customHeight="1" s="37">
      <c r="A71" s="547" t="n"/>
      <c r="B71" s="546">
        <f>B70+1</f>
        <v/>
      </c>
      <c r="C71" s="450" t="inlineStr">
        <is>
          <t>sf21</t>
        </is>
      </c>
      <c r="D71" s="257">
        <f>SUM(Y71:AH71)</f>
        <v/>
      </c>
      <c r="E71" s="54">
        <f>'0₦'!AF74</f>
        <v/>
      </c>
      <c r="F71" s="41">
        <f>'0₦'!AG74</f>
        <v/>
      </c>
      <c r="H71" s="410">
        <f>D71</f>
        <v/>
      </c>
      <c r="J71" s="42">
        <f>D71-H71</f>
        <v/>
      </c>
      <c r="L71" s="42">
        <f>D71-SUM(H71,J71)</f>
        <v/>
      </c>
      <c r="N71" s="42">
        <f>D71-SUM(H71,J71,L71,)</f>
        <v/>
      </c>
      <c r="P71" s="42">
        <f>D71-SUM(H71,J71,L71,N71)</f>
        <v/>
      </c>
      <c r="R71" s="42">
        <f>D71-SUM(H71,J71,L71,N71,P71)</f>
        <v/>
      </c>
      <c r="T71" s="42">
        <f>D71-SUM(H71,J71,L71,N71,P71,R71)</f>
        <v/>
      </c>
      <c r="V71" s="42">
        <f>D71-SUM(H71,J71,L71,N71,P71,R71,T71)</f>
        <v/>
      </c>
      <c r="X71" s="56">
        <f>D71-SUM(H71,J71,L71,N71,P71,R71,T71,V71)</f>
        <v/>
      </c>
      <c r="Y71" s="57">
        <f>12*COUNT(G71,I71,K71,M71,O71,Q71,U71,W71,S71)</f>
        <v/>
      </c>
      <c r="Z71" s="40">
        <f>IF(AND('0₦'!T74&lt;&gt;0,'0₦'!T74&lt;&gt;""),9,0) + 0</f>
        <v/>
      </c>
      <c r="AA71" s="445">
        <f>'0₦'!BI74 + 0</f>
        <v/>
      </c>
      <c r="AB71" s="446">
        <f>'0₦'!BE74</f>
        <v/>
      </c>
      <c r="AC71" s="450">
        <f>'0₦'!BC74 + 0</f>
        <v/>
      </c>
      <c r="AD71" s="42">
        <f>'0₦'!BD74</f>
        <v/>
      </c>
      <c r="AE71" s="42">
        <f>'0₦'!AX74</f>
        <v/>
      </c>
      <c r="AF71" s="446">
        <f>hcbi!AA75+hcbi!Y75</f>
        <v/>
      </c>
      <c r="AG71" s="42">
        <f>'0₦'!AW74</f>
        <v/>
      </c>
      <c r="AH71" s="450">
        <f>0</f>
        <v/>
      </c>
      <c r="AK71" s="44" t="n">
        <v>843</v>
      </c>
      <c r="AL71" s="450" t="n">
        <v>156</v>
      </c>
    </row>
    <row r="72" ht="17.1" customHeight="1" s="37">
      <c r="A72" s="441">
        <f>A65+0.1</f>
        <v/>
      </c>
      <c r="B72" s="546">
        <f>B71+1</f>
        <v/>
      </c>
      <c r="C72" s="450" t="inlineStr">
        <is>
          <t>sf21</t>
        </is>
      </c>
      <c r="D72" s="257">
        <f>SUM(Y72:AH72)</f>
        <v/>
      </c>
      <c r="E72" s="54">
        <f>'0₦'!AF75</f>
        <v/>
      </c>
      <c r="F72" s="41">
        <f>'0₦'!AG75</f>
        <v/>
      </c>
      <c r="H72" s="410">
        <f>D72</f>
        <v/>
      </c>
      <c r="J72" s="42">
        <f>D72-H72</f>
        <v/>
      </c>
      <c r="L72" s="42">
        <f>D72-SUM(H72,J72)</f>
        <v/>
      </c>
      <c r="N72" s="42">
        <f>D72-SUM(H72,J72,L72,)</f>
        <v/>
      </c>
      <c r="P72" s="42">
        <f>D72-SUM(H72,J72,L72,N72)</f>
        <v/>
      </c>
      <c r="R72" s="42">
        <f>D72-SUM(H72,J72,L72,N72,P72)</f>
        <v/>
      </c>
      <c r="T72" s="42">
        <f>D72-SUM(H72,J72,L72,N72,P72,R72)</f>
        <v/>
      </c>
      <c r="V72" s="42">
        <f>D72-SUM(H72,J72,L72,N72,P72,R72,T72)</f>
        <v/>
      </c>
      <c r="X72" s="56">
        <f>D72-SUM(H72,J72,L72,N72,P72,R72,T72,V72)</f>
        <v/>
      </c>
      <c r="Y72" s="57">
        <f>12*COUNT(G72,I72,K72,M72,O72,Q72,U72,W72,S72)</f>
        <v/>
      </c>
      <c r="Z72" s="40">
        <f>IF(AND('0₦'!T75&lt;&gt;0,'0₦'!T75&lt;&gt;""),9,0) + 0</f>
        <v/>
      </c>
      <c r="AA72" s="445">
        <f>'0₦'!BI75 + 0</f>
        <v/>
      </c>
      <c r="AB72" s="446">
        <f>'0₦'!BE75</f>
        <v/>
      </c>
      <c r="AC72" s="450">
        <f>'0₦'!BC75 + 0</f>
        <v/>
      </c>
      <c r="AD72" s="42">
        <f>'0₦'!BD75</f>
        <v/>
      </c>
      <c r="AE72" s="42">
        <f>'0₦'!AX75</f>
        <v/>
      </c>
      <c r="AF72" s="446">
        <f>hcbi!AA76+hcbi!Y76</f>
        <v/>
      </c>
      <c r="AG72" s="42">
        <f>'0₦'!AW75</f>
        <v/>
      </c>
      <c r="AH72" s="450">
        <f>0</f>
        <v/>
      </c>
      <c r="AI72" s="445" t="n"/>
      <c r="AJ72" s="445" t="n"/>
      <c r="AK72" s="44" t="n">
        <v>713</v>
      </c>
      <c r="AL72" s="450" t="n">
        <v>429</v>
      </c>
    </row>
    <row r="73" ht="17.1" customHeight="1" s="37">
      <c r="B73" s="546">
        <f>B72+1</f>
        <v/>
      </c>
      <c r="C73" s="450" t="inlineStr">
        <is>
          <t>sf21</t>
        </is>
      </c>
      <c r="D73" s="257">
        <f>SUM(Y73:AH73)</f>
        <v/>
      </c>
      <c r="E73" s="54">
        <f>'0₦'!AF76</f>
        <v/>
      </c>
      <c r="F73" s="41">
        <f>'0₦'!AG76</f>
        <v/>
      </c>
      <c r="H73" s="410">
        <f>D73</f>
        <v/>
      </c>
      <c r="J73" s="42">
        <f>D73-H73</f>
        <v/>
      </c>
      <c r="L73" s="42">
        <f>D73-SUM(H73,J73)</f>
        <v/>
      </c>
      <c r="N73" s="42">
        <f>D73-SUM(H73,J73,L73,)</f>
        <v/>
      </c>
      <c r="P73" s="42">
        <f>D73-SUM(H73,J73,L73,N73)</f>
        <v/>
      </c>
      <c r="R73" s="42">
        <f>D73-SUM(H73,J73,L73,N73,P73)</f>
        <v/>
      </c>
      <c r="T73" s="42">
        <f>D73-SUM(H73,J73,L73,N73,P73,R73)</f>
        <v/>
      </c>
      <c r="V73" s="42">
        <f>D73-SUM(H73,J73,L73,N73,P73,R73,T73)</f>
        <v/>
      </c>
      <c r="X73" s="56">
        <f>D73-SUM(H73,J73,L73,N73,P73,R73,T73,V73)</f>
        <v/>
      </c>
      <c r="Y73" s="57">
        <f>12*COUNT(G73,I73,K73,M73,O73,Q73,U73,W73,S73)</f>
        <v/>
      </c>
      <c r="Z73" s="40">
        <f>IF(AND('0₦'!T76&lt;&gt;0,'0₦'!T76&lt;&gt;""),9,0) + 0</f>
        <v/>
      </c>
      <c r="AA73" s="445">
        <f>'0₦'!BI76 + 0</f>
        <v/>
      </c>
      <c r="AB73" s="446">
        <f>'0₦'!BE76</f>
        <v/>
      </c>
      <c r="AC73" s="450">
        <f>'0₦'!BC76 + 0</f>
        <v/>
      </c>
      <c r="AD73" s="42">
        <f>'0₦'!BD76</f>
        <v/>
      </c>
      <c r="AE73" s="42">
        <f>'0₦'!AX76</f>
        <v/>
      </c>
      <c r="AF73" s="446">
        <f>hcbi!AA77+hcbi!Y77</f>
        <v/>
      </c>
      <c r="AG73" s="42">
        <f>'0₦'!AW76</f>
        <v/>
      </c>
      <c r="AH73" s="450">
        <f>0</f>
        <v/>
      </c>
      <c r="AK73" s="44" t="n">
        <v>674</v>
      </c>
      <c r="AL73" s="450" t="n">
        <v>429</v>
      </c>
    </row>
    <row r="74" ht="17.1" customHeight="1" s="37">
      <c r="B74" s="546">
        <f>B73+1</f>
        <v/>
      </c>
      <c r="C74" s="450" t="inlineStr">
        <is>
          <t>sf21</t>
        </is>
      </c>
      <c r="D74" s="257">
        <f>SUM(Y74:AH74)</f>
        <v/>
      </c>
      <c r="E74" s="54">
        <f>'0₦'!AF77</f>
        <v/>
      </c>
      <c r="F74" s="41">
        <f>'0₦'!AG77</f>
        <v/>
      </c>
      <c r="H74" s="410">
        <f>D74</f>
        <v/>
      </c>
      <c r="J74" s="42">
        <f>D74-H74</f>
        <v/>
      </c>
      <c r="L74" s="42">
        <f>D74-SUM(H74,J74)</f>
        <v/>
      </c>
      <c r="N74" s="42">
        <f>D74-SUM(H74,J74,L74,)</f>
        <v/>
      </c>
      <c r="P74" s="42">
        <f>D74-SUM(H74,J74,L74,N74)</f>
        <v/>
      </c>
      <c r="R74" s="42">
        <f>D74-SUM(H74,J74,L74,N74,P74)</f>
        <v/>
      </c>
      <c r="T74" s="42">
        <f>D74-SUM(H74,J74,L74,N74,P74,R74)</f>
        <v/>
      </c>
      <c r="V74" s="42">
        <f>D74-SUM(H74,J74,L74,N74,P74,R74,T74)</f>
        <v/>
      </c>
      <c r="X74" s="56">
        <f>D74-SUM(H74,J74,L74,N74,P74,R74,T74,V74)</f>
        <v/>
      </c>
      <c r="Y74" s="57">
        <f>12*COUNT(G74,I74,K74,M74,O74,Q74,U74,W74,S74)</f>
        <v/>
      </c>
      <c r="Z74" s="40">
        <f>IF(AND('0₦'!T77&lt;&gt;0,'0₦'!T77&lt;&gt;""),9,0) + 0</f>
        <v/>
      </c>
      <c r="AA74" s="445">
        <f>'0₦'!BI77 + 0</f>
        <v/>
      </c>
      <c r="AB74" s="446">
        <f>'0₦'!BE77</f>
        <v/>
      </c>
      <c r="AC74" s="450">
        <f>'0₦'!BC77 + 0</f>
        <v/>
      </c>
      <c r="AD74" s="42">
        <f>'0₦'!BD77</f>
        <v/>
      </c>
      <c r="AE74" s="42">
        <f>'0₦'!AX77</f>
        <v/>
      </c>
      <c r="AF74" s="446">
        <f>hcbi!AA78+hcbi!Y78</f>
        <v/>
      </c>
      <c r="AG74" s="42">
        <f>'0₦'!AW77</f>
        <v/>
      </c>
      <c r="AH74" s="450">
        <f>0</f>
        <v/>
      </c>
      <c r="AI74" s="445" t="n"/>
      <c r="AJ74" s="445" t="n"/>
      <c r="AK74" s="44" t="n">
        <v>837</v>
      </c>
      <c r="AL74" s="450" t="n">
        <v>429</v>
      </c>
    </row>
    <row r="75" ht="17.1" customHeight="1" s="37">
      <c r="B75" s="546">
        <f>B74+1</f>
        <v/>
      </c>
      <c r="C75" s="450" t="inlineStr">
        <is>
          <t>sf21</t>
        </is>
      </c>
      <c r="D75" s="257">
        <f>SUM(Y75:AH75)</f>
        <v/>
      </c>
      <c r="E75" s="54">
        <f>'0₦'!AF78</f>
        <v/>
      </c>
      <c r="F75" s="41">
        <f>'0₦'!AG78</f>
        <v/>
      </c>
      <c r="H75" s="410">
        <f>D75</f>
        <v/>
      </c>
      <c r="J75" s="42">
        <f>D75-H75</f>
        <v/>
      </c>
      <c r="L75" s="42">
        <f>D75-SUM(H75,J75)</f>
        <v/>
      </c>
      <c r="N75" s="42">
        <f>D75-SUM(H75,J75,L75,)</f>
        <v/>
      </c>
      <c r="P75" s="42">
        <f>D75-SUM(H75,J75,L75,N75)</f>
        <v/>
      </c>
      <c r="R75" s="42">
        <f>D75-SUM(H75,J75,L75,N75,P75)</f>
        <v/>
      </c>
      <c r="T75" s="42">
        <f>D75-SUM(H75,J75,L75,N75,P75,R75)</f>
        <v/>
      </c>
      <c r="V75" s="42">
        <f>D75-SUM(H75,J75,L75,N75,P75,R75,T75)</f>
        <v/>
      </c>
      <c r="X75" s="56">
        <f>D75-SUM(H75,J75,L75,N75,P75,R75,T75,V75)</f>
        <v/>
      </c>
      <c r="Y75" s="57">
        <f>12*COUNT(G75,I75,K75,M75,O75,Q75,U75,W75,S75)</f>
        <v/>
      </c>
      <c r="Z75" s="40">
        <f>IF(AND('0₦'!T78&lt;&gt;0,'0₦'!T78&lt;&gt;""),9,0) + 0</f>
        <v/>
      </c>
      <c r="AA75" s="445">
        <f>'0₦'!BI78 + 0</f>
        <v/>
      </c>
      <c r="AB75" s="446">
        <f>'0₦'!BE78</f>
        <v/>
      </c>
      <c r="AC75" s="450">
        <f>'0₦'!BC78 + 0</f>
        <v/>
      </c>
      <c r="AD75" s="42">
        <f>'0₦'!BD78</f>
        <v/>
      </c>
      <c r="AE75" s="42">
        <f>'0₦'!AX78</f>
        <v/>
      </c>
      <c r="AF75" s="446">
        <f>hcbi!AA79+hcbi!Y79</f>
        <v/>
      </c>
      <c r="AG75" s="42">
        <f>'0₦'!AW78</f>
        <v/>
      </c>
      <c r="AH75" s="450">
        <f>0</f>
        <v/>
      </c>
      <c r="AK75" s="44" t="n">
        <v>920</v>
      </c>
      <c r="AL75" s="450" t="n">
        <v>429</v>
      </c>
    </row>
    <row r="76" ht="17.1" customHeight="1" s="37">
      <c r="B76" s="546">
        <f>B75+1</f>
        <v/>
      </c>
      <c r="C76" s="450" t="inlineStr">
        <is>
          <t>sf21</t>
        </is>
      </c>
      <c r="D76" s="257">
        <f>SUM(Y76:AH76)</f>
        <v/>
      </c>
      <c r="E76" s="54">
        <f>'0₦'!AF79</f>
        <v/>
      </c>
      <c r="F76" s="41">
        <f>'0₦'!AG79</f>
        <v/>
      </c>
      <c r="H76" s="410">
        <f>D76</f>
        <v/>
      </c>
      <c r="J76" s="42">
        <f>D76-H76</f>
        <v/>
      </c>
      <c r="L76" s="42">
        <f>D76-SUM(H76,J76)</f>
        <v/>
      </c>
      <c r="N76" s="42">
        <f>D76-SUM(H76,J76,L76,)</f>
        <v/>
      </c>
      <c r="P76" s="42">
        <f>D76-SUM(H76,J76,L76,N76)</f>
        <v/>
      </c>
      <c r="R76" s="42">
        <f>D76-SUM(H76,J76,L76,N76,P76)</f>
        <v/>
      </c>
      <c r="T76" s="42">
        <f>D76-SUM(H76,J76,L76,N76,P76,R76)</f>
        <v/>
      </c>
      <c r="V76" s="42">
        <f>D76-SUM(H76,J76,L76,N76,P76,R76,T76)</f>
        <v/>
      </c>
      <c r="X76" s="56">
        <f>D76-SUM(H76,J76,L76,N76,P76,R76,T76,V76)</f>
        <v/>
      </c>
      <c r="Y76" s="57">
        <f>12*COUNT(G76,I76,K76,M76,O76,Q76,U76,W76,S76)</f>
        <v/>
      </c>
      <c r="Z76" s="40">
        <f>IF(AND('0₦'!T79&lt;&gt;0,'0₦'!T79&lt;&gt;""),9,0) + 0</f>
        <v/>
      </c>
      <c r="AA76" s="445">
        <f>'0₦'!BI79 + 0</f>
        <v/>
      </c>
      <c r="AB76" s="446">
        <f>'0₦'!BE79</f>
        <v/>
      </c>
      <c r="AC76" s="450">
        <f>'0₦'!BC79 + 0</f>
        <v/>
      </c>
      <c r="AD76" s="42">
        <f>'0₦'!BD79</f>
        <v/>
      </c>
      <c r="AE76" s="42">
        <f>'0₦'!AX79</f>
        <v/>
      </c>
      <c r="AF76" s="446">
        <f>hcbi!AA80+hcbi!Y80+20</f>
        <v/>
      </c>
      <c r="AG76" s="42">
        <f>'0₦'!AW79</f>
        <v/>
      </c>
      <c r="AH76" s="450">
        <f>0</f>
        <v/>
      </c>
      <c r="AI76" s="445" t="n"/>
      <c r="AJ76" s="445" t="n"/>
      <c r="AK76" s="44" t="n">
        <v>619</v>
      </c>
      <c r="AL76" s="450" t="n">
        <v>429</v>
      </c>
    </row>
    <row r="77" ht="17.1" customHeight="1" s="37">
      <c r="B77" s="546">
        <f>B76+1</f>
        <v/>
      </c>
      <c r="C77" s="450" t="inlineStr">
        <is>
          <t>sf21</t>
        </is>
      </c>
      <c r="D77" s="257">
        <f>SUM(Y77:AH77)</f>
        <v/>
      </c>
      <c r="E77" s="54">
        <f>'0₦'!AF80</f>
        <v/>
      </c>
      <c r="F77" s="41">
        <f>'0₦'!AG80</f>
        <v/>
      </c>
      <c r="H77" s="410">
        <f>D77</f>
        <v/>
      </c>
      <c r="J77" s="42">
        <f>D77-H77</f>
        <v/>
      </c>
      <c r="L77" s="42">
        <f>D77-SUM(H77,J77)</f>
        <v/>
      </c>
      <c r="N77" s="42">
        <f>D77-SUM(H77,J77,L77,)</f>
        <v/>
      </c>
      <c r="P77" s="42">
        <f>D77-SUM(H77,J77,L77,N77)</f>
        <v/>
      </c>
      <c r="R77" s="42">
        <f>D77-SUM(H77,J77,L77,N77,P77)</f>
        <v/>
      </c>
      <c r="T77" s="42">
        <f>D77-SUM(H77,J77,L77,N77,P77,R77)</f>
        <v/>
      </c>
      <c r="V77" s="42">
        <f>D77-SUM(H77,J77,L77,N77,P77,R77,T77)</f>
        <v/>
      </c>
      <c r="X77" s="56">
        <f>D77-SUM(H77,J77,L77,N77,P77,R77,T77,V77)</f>
        <v/>
      </c>
      <c r="Y77" s="57">
        <f>12*COUNT(G77,I77,K77,M77,O77,Q77,U77,W77,S77)</f>
        <v/>
      </c>
      <c r="Z77" s="40">
        <f>IF(AND('0₦'!T80&lt;&gt;0,'0₦'!T80&lt;&gt;""),9,0) + 0</f>
        <v/>
      </c>
      <c r="AA77" s="445">
        <f>'0₦'!BI80 + 0</f>
        <v/>
      </c>
      <c r="AB77" s="446">
        <f>'0₦'!BE80</f>
        <v/>
      </c>
      <c r="AC77" s="450">
        <f>'0₦'!BC80 + 0</f>
        <v/>
      </c>
      <c r="AD77" s="42">
        <f>'0₦'!BD80</f>
        <v/>
      </c>
      <c r="AE77" s="42">
        <f>'0₦'!AX80</f>
        <v/>
      </c>
      <c r="AF77" s="446">
        <f>hcbi!AA81+hcbi!Y81</f>
        <v/>
      </c>
      <c r="AG77" s="42">
        <f>'0₦'!AW80</f>
        <v/>
      </c>
      <c r="AH77" s="450">
        <f>0</f>
        <v/>
      </c>
      <c r="AK77" s="44" t="n">
        <v>697</v>
      </c>
      <c r="AL77" s="450" t="n">
        <v>429</v>
      </c>
    </row>
    <row r="78" ht="17.1" customHeight="1" s="37">
      <c r="A78" s="547" t="n"/>
      <c r="B78" s="546">
        <f>B77+1</f>
        <v/>
      </c>
      <c r="C78" s="450" t="inlineStr">
        <is>
          <t>sf21</t>
        </is>
      </c>
      <c r="D78" s="257">
        <f>SUM(Y78:AH78)</f>
        <v/>
      </c>
      <c r="E78" s="54">
        <f>'0₦'!AF81</f>
        <v/>
      </c>
      <c r="F78" s="41">
        <f>'0₦'!AG81</f>
        <v/>
      </c>
      <c r="H78" s="410">
        <f>D78</f>
        <v/>
      </c>
      <c r="J78" s="42">
        <f>D78-H78</f>
        <v/>
      </c>
      <c r="L78" s="42">
        <f>D78-SUM(H78,J78)</f>
        <v/>
      </c>
      <c r="N78" s="42">
        <f>D78-SUM(H78,J78,L78,)</f>
        <v/>
      </c>
      <c r="P78" s="42">
        <f>D78-SUM(H78,J78,L78,N78)</f>
        <v/>
      </c>
      <c r="R78" s="42">
        <f>D78-SUM(H78,J78,L78,N78,P78)</f>
        <v/>
      </c>
      <c r="T78" s="42">
        <f>D78-SUM(H78,J78,L78,N78,P78,R78)</f>
        <v/>
      </c>
      <c r="V78" s="42">
        <f>D78-SUM(H78,J78,L78,N78,P78,R78,T78)</f>
        <v/>
      </c>
      <c r="X78" s="56">
        <f>D78-SUM(H78,J78,L78,N78,P78,R78,T78,V78)</f>
        <v/>
      </c>
      <c r="Y78" s="57">
        <f>12*COUNT(G78,I78,K78,M78,O78,Q78,U78,W78,S78)</f>
        <v/>
      </c>
      <c r="Z78" s="40">
        <f>IF(AND('0₦'!T81&lt;&gt;0,'0₦'!T81&lt;&gt;""),9,0) + 0</f>
        <v/>
      </c>
      <c r="AA78" s="445">
        <f>'0₦'!BI81 + 0</f>
        <v/>
      </c>
      <c r="AB78" s="446">
        <f>'0₦'!BE81</f>
        <v/>
      </c>
      <c r="AC78" s="450">
        <f>'0₦'!BC81 + 0</f>
        <v/>
      </c>
      <c r="AD78" s="42">
        <f>'0₦'!BD81</f>
        <v/>
      </c>
      <c r="AE78" s="42">
        <f>'0₦'!AX81</f>
        <v/>
      </c>
      <c r="AF78" s="446">
        <f>hcbi!AA82+hcbi!Y82</f>
        <v/>
      </c>
      <c r="AG78" s="42">
        <f>'0₦'!AW81</f>
        <v/>
      </c>
      <c r="AH78" s="450">
        <f>0</f>
        <v/>
      </c>
      <c r="AI78" s="445" t="n"/>
      <c r="AJ78" s="445" t="n"/>
      <c r="AK78" s="44" t="n">
        <v>755</v>
      </c>
      <c r="AL78" s="450" t="n">
        <v>263</v>
      </c>
      <c r="AN78" s="93" t="n"/>
    </row>
    <row r="79" ht="17.1" customHeight="1" s="37">
      <c r="A79" s="441">
        <f>A72+0.1</f>
        <v/>
      </c>
      <c r="B79" s="546">
        <f>B78+1</f>
        <v/>
      </c>
      <c r="C79" s="450" t="inlineStr">
        <is>
          <t>sf21</t>
        </is>
      </c>
      <c r="D79" s="257">
        <f>SUM(Y79:AH79)</f>
        <v/>
      </c>
      <c r="E79" s="54">
        <f>'0₦'!AF82</f>
        <v/>
      </c>
      <c r="F79" s="41">
        <f>'0₦'!AG82</f>
        <v/>
      </c>
      <c r="H79" s="410">
        <f>D79</f>
        <v/>
      </c>
      <c r="J79" s="42">
        <f>D79-H79</f>
        <v/>
      </c>
      <c r="L79" s="42">
        <f>D79-SUM(H79,J79)</f>
        <v/>
      </c>
      <c r="N79" s="42">
        <f>D79-SUM(H79,J79,L79,)</f>
        <v/>
      </c>
      <c r="P79" s="42">
        <f>D79-SUM(H79,J79,L79,N79)</f>
        <v/>
      </c>
      <c r="R79" s="42">
        <f>D79-SUM(H79,J79,L79,N79,P79)</f>
        <v/>
      </c>
      <c r="T79" s="42">
        <f>D79-SUM(H79,J79,L79,N79,P79,R79)</f>
        <v/>
      </c>
      <c r="V79" s="42">
        <f>D79-SUM(H79,J79,L79,N79,P79,R79,T79)</f>
        <v/>
      </c>
      <c r="X79" s="56">
        <f>D79-SUM(H79,J79,L79,N79,P79,R79,T79,V79)</f>
        <v/>
      </c>
      <c r="Y79" s="57">
        <f>12*COUNT(G79,I79,K79,M79,O79,Q79,U79,W79,S79)</f>
        <v/>
      </c>
      <c r="Z79" s="40">
        <f>IF(AND('0₦'!T82&lt;&gt;0,'0₦'!T82&lt;&gt;""),9,0) + 0</f>
        <v/>
      </c>
      <c r="AA79" s="445">
        <f>'0₦'!BI82 + 0</f>
        <v/>
      </c>
      <c r="AB79" s="446">
        <f>'0₦'!BE82</f>
        <v/>
      </c>
      <c r="AC79" s="450">
        <f>'0₦'!BC82 + 0</f>
        <v/>
      </c>
      <c r="AD79" s="42">
        <f>'0₦'!BD82</f>
        <v/>
      </c>
      <c r="AE79" s="42">
        <f>'0₦'!AX82</f>
        <v/>
      </c>
      <c r="AF79" s="446">
        <f>hcbi!AA83+hcbi!Y83</f>
        <v/>
      </c>
      <c r="AG79" s="42">
        <f>'0₦'!AW82</f>
        <v/>
      </c>
      <c r="AH79" s="450">
        <f>0</f>
        <v/>
      </c>
      <c r="AK79" s="61" t="n">
        <v>569</v>
      </c>
      <c r="AL79" s="450" t="n">
        <v>98</v>
      </c>
    </row>
    <row r="80" ht="17.1" customHeight="1" s="37">
      <c r="B80" s="546">
        <f>B79+1</f>
        <v/>
      </c>
      <c r="C80" s="450" t="inlineStr">
        <is>
          <t>sf21</t>
        </is>
      </c>
      <c r="D80" s="257">
        <f>SUM(Y80:AH80)</f>
        <v/>
      </c>
      <c r="E80" s="54">
        <f>'0₦'!AF83</f>
        <v/>
      </c>
      <c r="F80" s="41">
        <f>'0₦'!AG83</f>
        <v/>
      </c>
      <c r="H80" s="410">
        <f>D80</f>
        <v/>
      </c>
      <c r="J80" s="42">
        <f>D80-H80</f>
        <v/>
      </c>
      <c r="L80" s="42">
        <f>D80-SUM(H80,J80)</f>
        <v/>
      </c>
      <c r="N80" s="42">
        <f>D80-SUM(H80,J80,L80,)</f>
        <v/>
      </c>
      <c r="P80" s="42">
        <f>D80-SUM(H80,J80,L80,N80)</f>
        <v/>
      </c>
      <c r="R80" s="42">
        <f>D80-SUM(H80,J80,L80,N80,P80)</f>
        <v/>
      </c>
      <c r="T80" s="42">
        <f>D80-SUM(H80,J80,L80,N80,P80,R80)</f>
        <v/>
      </c>
      <c r="V80" s="42">
        <f>D80-SUM(H80,J80,L80,N80,P80,R80,T80)</f>
        <v/>
      </c>
      <c r="X80" s="56">
        <f>D80-SUM(H80,J80,L80,N80,P80,R80,T80,V80)</f>
        <v/>
      </c>
      <c r="Y80" s="57">
        <f>12*COUNT(G80,I80,K80,M80,O80,Q80,U80,W80,S80)</f>
        <v/>
      </c>
      <c r="Z80" s="40">
        <f>IF(AND('0₦'!T83&lt;&gt;0,'0₦'!T83&lt;&gt;""),9,0) + 0</f>
        <v/>
      </c>
      <c r="AA80" s="445">
        <f>'0₦'!BI83 + 0</f>
        <v/>
      </c>
      <c r="AB80" s="446">
        <f>'0₦'!BE83</f>
        <v/>
      </c>
      <c r="AC80" s="450">
        <f>'0₦'!BC83 + 0</f>
        <v/>
      </c>
      <c r="AD80" s="42">
        <f>'0₦'!BD83</f>
        <v/>
      </c>
      <c r="AE80" s="42">
        <f>'0₦'!AX83</f>
        <v/>
      </c>
      <c r="AF80" s="446">
        <f>hcbi!AA84+hcbi!Y84</f>
        <v/>
      </c>
      <c r="AG80" s="42">
        <f>'0₦'!AW83</f>
        <v/>
      </c>
      <c r="AH80" s="450">
        <f>0</f>
        <v/>
      </c>
      <c r="AI80" s="445" t="n"/>
      <c r="AJ80" s="445" t="n"/>
      <c r="AK80" s="44" t="n">
        <v>678</v>
      </c>
      <c r="AL80" s="450" t="n">
        <v>195</v>
      </c>
    </row>
    <row r="81" ht="17.1" customHeight="1" s="37">
      <c r="B81" s="546">
        <f>B80+1</f>
        <v/>
      </c>
      <c r="C81" s="450" t="inlineStr">
        <is>
          <t>sf21</t>
        </is>
      </c>
      <c r="D81" s="257">
        <f>SUM(Y81:AH81)</f>
        <v/>
      </c>
      <c r="E81" s="54">
        <f>'0₦'!AF84</f>
        <v/>
      </c>
      <c r="F81" s="41">
        <f>'0₦'!AG84</f>
        <v/>
      </c>
      <c r="H81" s="410">
        <f>D81</f>
        <v/>
      </c>
      <c r="J81" s="42">
        <f>D81-H81</f>
        <v/>
      </c>
      <c r="L81" s="42">
        <f>D81-SUM(H81,J81)</f>
        <v/>
      </c>
      <c r="N81" s="42">
        <f>D81-SUM(H81,J81,L81,)</f>
        <v/>
      </c>
      <c r="P81" s="42">
        <f>D81-SUM(H81,J81,L81,N81)</f>
        <v/>
      </c>
      <c r="R81" s="42">
        <f>D81-SUM(H81,J81,L81,N81,P81)</f>
        <v/>
      </c>
      <c r="T81" s="42">
        <f>D81-SUM(H81,J81,L81,N81,P81,R81)</f>
        <v/>
      </c>
      <c r="V81" s="42">
        <f>D81-SUM(H81,J81,L81,N81,P81,R81,T81)</f>
        <v/>
      </c>
      <c r="X81" s="56">
        <f>D81-SUM(H81,J81,L81,N81,P81,R81,T81,V81)</f>
        <v/>
      </c>
      <c r="Y81" s="57">
        <f>12*COUNT(G81,I81,K81,M81,O81,Q81,U81,W81,S81)</f>
        <v/>
      </c>
      <c r="Z81" s="40">
        <f>IF(AND('0₦'!T84&lt;&gt;0,'0₦'!T84&lt;&gt;""),9,0) + 0</f>
        <v/>
      </c>
      <c r="AA81" s="445">
        <f>'0₦'!BI84 + 0</f>
        <v/>
      </c>
      <c r="AB81" s="446">
        <f>'0₦'!BE84</f>
        <v/>
      </c>
      <c r="AC81" s="450">
        <f>'0₦'!BC84 + 0</f>
        <v/>
      </c>
      <c r="AD81" s="42">
        <f>'0₦'!BD84</f>
        <v/>
      </c>
      <c r="AE81" s="42">
        <f>'0₦'!AX84</f>
        <v/>
      </c>
      <c r="AF81" s="446">
        <f>hcbi!AA85+hcbi!Y85+10</f>
        <v/>
      </c>
      <c r="AG81" s="42">
        <f>'0₦'!AW84</f>
        <v/>
      </c>
      <c r="AH81" s="450">
        <f>0</f>
        <v/>
      </c>
      <c r="AK81" s="44" t="n">
        <v>770</v>
      </c>
      <c r="AL81" s="450" t="n">
        <v>166</v>
      </c>
    </row>
    <row r="82" ht="17.1" customHeight="1" s="37">
      <c r="B82" s="546">
        <f>B81+1</f>
        <v/>
      </c>
      <c r="C82" s="450" t="inlineStr">
        <is>
          <t>sf21</t>
        </is>
      </c>
      <c r="D82" s="257">
        <f>SUM(Y82:AH82)</f>
        <v/>
      </c>
      <c r="E82" s="54">
        <f>'0₦'!AF85</f>
        <v/>
      </c>
      <c r="F82" s="41">
        <f>'0₦'!AG85</f>
        <v/>
      </c>
      <c r="H82" s="410">
        <f>D82</f>
        <v/>
      </c>
      <c r="J82" s="42">
        <f>D82-H82</f>
        <v/>
      </c>
      <c r="L82" s="42">
        <f>D82-SUM(H82,J82)</f>
        <v/>
      </c>
      <c r="N82" s="42">
        <f>D82-SUM(H82,J82,L82,)</f>
        <v/>
      </c>
      <c r="P82" s="42">
        <f>D82-SUM(H82,J82,L82,N82)</f>
        <v/>
      </c>
      <c r="R82" s="42">
        <f>D82-SUM(H82,J82,L82,N82,P82)</f>
        <v/>
      </c>
      <c r="T82" s="42">
        <f>D82-SUM(H82,J82,L82,N82,P82,R82)</f>
        <v/>
      </c>
      <c r="V82" s="42">
        <f>D82-SUM(H82,J82,L82,N82,P82,R82,T82)</f>
        <v/>
      </c>
      <c r="X82" s="56">
        <f>D82-SUM(H82,J82,L82,N82,P82,R82,T82,V82)</f>
        <v/>
      </c>
      <c r="Y82" s="57">
        <f>12*COUNT(G82,I82,K82,M82,O82,Q82,U82,W82,S82)</f>
        <v/>
      </c>
      <c r="Z82" s="40">
        <f>IF(AND('0₦'!T85&lt;&gt;0,'0₦'!T85&lt;&gt;""),9,0) + 0</f>
        <v/>
      </c>
      <c r="AA82" s="445">
        <f>'0₦'!BI85 + 0</f>
        <v/>
      </c>
      <c r="AB82" s="446">
        <f>'0₦'!BE85</f>
        <v/>
      </c>
      <c r="AC82" s="450">
        <f>'0₦'!BC85 + 0</f>
        <v/>
      </c>
      <c r="AD82" s="42">
        <f>'0₦'!BD85</f>
        <v/>
      </c>
      <c r="AE82" s="42">
        <f>'0₦'!AX85</f>
        <v/>
      </c>
      <c r="AF82" s="446">
        <f>hcbi!AA86+hcbi!Y86</f>
        <v/>
      </c>
      <c r="AG82" s="42">
        <f>'0₦'!AW85</f>
        <v/>
      </c>
      <c r="AH82" s="450">
        <f>0</f>
        <v/>
      </c>
      <c r="AI82" s="445" t="n"/>
      <c r="AJ82" s="445" t="n"/>
      <c r="AK82" s="450" t="n">
        <v>751</v>
      </c>
      <c r="AL82" s="450" t="n">
        <v>215</v>
      </c>
    </row>
    <row r="83" ht="17.1" customHeight="1" s="37">
      <c r="B83" s="546">
        <f>B82+1</f>
        <v/>
      </c>
      <c r="C83" s="450" t="inlineStr">
        <is>
          <t>sf21</t>
        </is>
      </c>
      <c r="D83" s="257">
        <f>SUM(Y83:AH83)</f>
        <v/>
      </c>
      <c r="E83" s="54">
        <f>'0₦'!AF86</f>
        <v/>
      </c>
      <c r="F83" s="41">
        <f>'0₦'!AG86</f>
        <v/>
      </c>
      <c r="H83" s="410">
        <f>D83</f>
        <v/>
      </c>
      <c r="J83" s="42">
        <f>D83-H83</f>
        <v/>
      </c>
      <c r="L83" s="42">
        <f>D83-SUM(H83,J83)</f>
        <v/>
      </c>
      <c r="N83" s="42">
        <f>D83-SUM(H83,J83,L83,)</f>
        <v/>
      </c>
      <c r="P83" s="42">
        <f>D83-SUM(H83,J83,L83,N83)</f>
        <v/>
      </c>
      <c r="R83" s="42">
        <f>D83-SUM(H83,J83,L83,N83,P83)</f>
        <v/>
      </c>
      <c r="T83" s="42">
        <f>D83-SUM(H83,J83,L83,N83,P83,R83)</f>
        <v/>
      </c>
      <c r="V83" s="42">
        <f>D83-SUM(H83,J83,L83,N83,P83,R83,T83)</f>
        <v/>
      </c>
      <c r="X83" s="56">
        <f>D83-SUM(H83,J83,L83,N83,P83,R83,T83,V83)</f>
        <v/>
      </c>
      <c r="Y83" s="57">
        <f>12*COUNT(G83,I83,K83,M83,O83,Q83,U83,W83,S83)</f>
        <v/>
      </c>
      <c r="Z83" s="40">
        <f>IF(AND('0₦'!T86&lt;&gt;0,'0₦'!T86&lt;&gt;""),9,0) + 0</f>
        <v/>
      </c>
      <c r="AA83" s="445">
        <f>'0₦'!BI86 + 0</f>
        <v/>
      </c>
      <c r="AB83" s="446">
        <f>'0₦'!BE86</f>
        <v/>
      </c>
      <c r="AC83" s="450">
        <f>'0₦'!BC86 + 0</f>
        <v/>
      </c>
      <c r="AD83" s="42">
        <f>'0₦'!BD86</f>
        <v/>
      </c>
      <c r="AE83" s="42">
        <f>'0₦'!AX86</f>
        <v/>
      </c>
      <c r="AF83" s="446">
        <f>hcbi!AA87+hcbi!Y87</f>
        <v/>
      </c>
      <c r="AG83" s="42">
        <f>'0₦'!AW86</f>
        <v/>
      </c>
      <c r="AH83" s="450">
        <f>0</f>
        <v/>
      </c>
      <c r="AK83" s="61" t="n">
        <v>746</v>
      </c>
      <c r="AL83" s="450" t="n">
        <v>462</v>
      </c>
    </row>
    <row r="84" ht="17.1" customHeight="1" s="37">
      <c r="B84" s="546">
        <f>B83+1</f>
        <v/>
      </c>
      <c r="C84" s="450" t="inlineStr">
        <is>
          <t>sf21</t>
        </is>
      </c>
      <c r="D84" s="257">
        <f>SUM(Y84:AH84)</f>
        <v/>
      </c>
      <c r="E84" s="54">
        <f>'0₦'!AF87</f>
        <v/>
      </c>
      <c r="F84" s="41">
        <f>'0₦'!AG87</f>
        <v/>
      </c>
      <c r="H84" s="410">
        <f>D84</f>
        <v/>
      </c>
      <c r="J84" s="42">
        <f>D84-H84</f>
        <v/>
      </c>
      <c r="L84" s="42">
        <f>D84-SUM(H84,J84)</f>
        <v/>
      </c>
      <c r="N84" s="42">
        <f>D84-SUM(H84,J84,L84,)</f>
        <v/>
      </c>
      <c r="P84" s="42">
        <f>D84-SUM(H84,J84,L84,N84)</f>
        <v/>
      </c>
      <c r="R84" s="42">
        <f>D84-SUM(H84,J84,L84,N84,P84)</f>
        <v/>
      </c>
      <c r="T84" s="42">
        <f>D84-SUM(H84,J84,L84,N84,P84,R84)</f>
        <v/>
      </c>
      <c r="V84" s="42">
        <f>D84-SUM(H84,J84,L84,N84,P84,R84,T84)</f>
        <v/>
      </c>
      <c r="X84" s="56">
        <f>D84-SUM(H84,J84,L84,N84,P84,R84,T84,V84)</f>
        <v/>
      </c>
      <c r="Y84" s="57">
        <f>12*COUNT(G84,I84,K84,M84,O84,Q84,U84,W84,S84)</f>
        <v/>
      </c>
      <c r="Z84" s="40">
        <f>IF(AND('0₦'!T87&lt;&gt;0,'0₦'!T87&lt;&gt;""),9,0) + 0</f>
        <v/>
      </c>
      <c r="AA84" s="445">
        <f>'0₦'!BI87 + 0</f>
        <v/>
      </c>
      <c r="AB84" s="446">
        <f>'0₦'!BE87</f>
        <v/>
      </c>
      <c r="AC84" s="450">
        <f>'0₦'!BC87 + 0</f>
        <v/>
      </c>
      <c r="AD84" s="42">
        <f>'0₦'!BD87</f>
        <v/>
      </c>
      <c r="AE84" s="42">
        <f>'0₦'!AX87</f>
        <v/>
      </c>
      <c r="AF84" s="446">
        <f>hcbi!AA88+hcbi!Y88</f>
        <v/>
      </c>
      <c r="AG84" s="42">
        <f>'0₦'!AW87</f>
        <v/>
      </c>
      <c r="AH84" s="450">
        <f>0</f>
        <v/>
      </c>
      <c r="AI84" s="445" t="n"/>
      <c r="AJ84" s="445" t="n"/>
      <c r="AK84" s="44" t="n">
        <v>745</v>
      </c>
      <c r="AL84" s="450" t="n">
        <v>162</v>
      </c>
    </row>
    <row r="85" ht="17.1" customHeight="1" s="37">
      <c r="A85" s="547" t="n"/>
      <c r="B85" s="546">
        <f>B84+1</f>
        <v/>
      </c>
      <c r="C85" s="450" t="inlineStr">
        <is>
          <t>sf21</t>
        </is>
      </c>
      <c r="D85" s="257">
        <f>SUM(Y85:AH85)</f>
        <v/>
      </c>
      <c r="E85" s="54">
        <f>'0₦'!AF88</f>
        <v/>
      </c>
      <c r="F85" s="41">
        <f>'0₦'!AG88</f>
        <v/>
      </c>
      <c r="H85" s="410">
        <f>D85</f>
        <v/>
      </c>
      <c r="J85" s="42">
        <f>D85-H85</f>
        <v/>
      </c>
      <c r="L85" s="42">
        <f>D85-SUM(H85,J85)</f>
        <v/>
      </c>
      <c r="N85" s="42">
        <f>D85-SUM(H85,J85,L85,)</f>
        <v/>
      </c>
      <c r="P85" s="42">
        <f>D85-SUM(H85,J85,L85,N85)</f>
        <v/>
      </c>
      <c r="R85" s="42">
        <f>D85-SUM(H85,J85,L85,N85,P85)</f>
        <v/>
      </c>
      <c r="T85" s="42">
        <f>D85-SUM(H85,J85,L85,N85,P85,R85)</f>
        <v/>
      </c>
      <c r="V85" s="42">
        <f>D85-SUM(H85,J85,L85,N85,P85,R85,T85)</f>
        <v/>
      </c>
      <c r="X85" s="56">
        <f>D85-SUM(H85,J85,L85,N85,P85,R85,T85,V85)</f>
        <v/>
      </c>
      <c r="Y85" s="57">
        <f>12*COUNT(G85,I85,K85,M85,O85,Q85,U85,W85,S85)</f>
        <v/>
      </c>
      <c r="Z85" s="40">
        <f>IF(AND('0₦'!T88&lt;&gt;0,'0₦'!T88&lt;&gt;""),9,0) + 0</f>
        <v/>
      </c>
      <c r="AA85" s="445">
        <f>'0₦'!BI88 + 0</f>
        <v/>
      </c>
      <c r="AB85" s="446">
        <f>'0₦'!BE88</f>
        <v/>
      </c>
      <c r="AC85" s="450">
        <f>'0₦'!BC88 + 0</f>
        <v/>
      </c>
      <c r="AD85" s="42">
        <f>'0₦'!BD88</f>
        <v/>
      </c>
      <c r="AE85" s="42">
        <f>'0₦'!AX88</f>
        <v/>
      </c>
      <c r="AF85" s="446">
        <f>hcbi!AA89+hcbi!Y89+10+20</f>
        <v/>
      </c>
      <c r="AG85" s="42">
        <f>'0₦'!AW88</f>
        <v/>
      </c>
      <c r="AH85" s="450">
        <f>0</f>
        <v/>
      </c>
      <c r="AK85" s="44" t="n">
        <v>664</v>
      </c>
      <c r="AL85" s="450" t="n">
        <v>11</v>
      </c>
    </row>
    <row r="86" ht="17.1" customHeight="1" s="37">
      <c r="A86" s="441">
        <f>A79+0.1</f>
        <v/>
      </c>
      <c r="B86" s="546">
        <f>B85+1</f>
        <v/>
      </c>
      <c r="C86" s="450" t="inlineStr">
        <is>
          <t>sf21</t>
        </is>
      </c>
      <c r="D86" s="257">
        <f>SUM(Y86:AH86)</f>
        <v/>
      </c>
      <c r="E86" s="54">
        <f>'0₦'!AF89</f>
        <v/>
      </c>
      <c r="F86" s="41">
        <f>'0₦'!AG89</f>
        <v/>
      </c>
      <c r="H86" s="410">
        <f>D86</f>
        <v/>
      </c>
      <c r="J86" s="42">
        <f>D86-H86</f>
        <v/>
      </c>
      <c r="L86" s="42">
        <f>D86-SUM(H86,J86)</f>
        <v/>
      </c>
      <c r="N86" s="42">
        <f>D86-SUM(H86,J86,L86,)</f>
        <v/>
      </c>
      <c r="P86" s="42">
        <f>D86-SUM(H86,J86,L86,N86)</f>
        <v/>
      </c>
      <c r="R86" s="42">
        <f>D86-SUM(H86,J86,L86,N86,P86)</f>
        <v/>
      </c>
      <c r="T86" s="42">
        <f>D86-SUM(H86,J86,L86,N86,P86,R86)</f>
        <v/>
      </c>
      <c r="V86" s="42">
        <f>D86-SUM(H86,J86,L86,N86,P86,R86,T86)</f>
        <v/>
      </c>
      <c r="X86" s="56">
        <f>D86-SUM(H86,J86,L86,N86,P86,R86,T86,V86)</f>
        <v/>
      </c>
      <c r="Y86" s="57">
        <f>12*COUNT(G86,I86,K86,M86,O86,Q86,U86,W86,S86)</f>
        <v/>
      </c>
      <c r="Z86" s="40">
        <f>IF(AND('0₦'!T89&lt;&gt;0,'0₦'!T89&lt;&gt;""),9,0) + 0</f>
        <v/>
      </c>
      <c r="AA86" s="445">
        <f>'0₦'!BI89 + 0</f>
        <v/>
      </c>
      <c r="AB86" s="446">
        <f>'0₦'!BE89</f>
        <v/>
      </c>
      <c r="AC86" s="450">
        <f>'0₦'!BC89 + 0</f>
        <v/>
      </c>
      <c r="AD86" s="42">
        <f>'0₦'!BD89</f>
        <v/>
      </c>
      <c r="AE86" s="42">
        <f>'0₦'!AX89</f>
        <v/>
      </c>
      <c r="AF86" s="446">
        <f>hcbi!AA90+hcbi!Y90</f>
        <v/>
      </c>
      <c r="AG86" s="42">
        <f>'0₦'!AW89</f>
        <v/>
      </c>
      <c r="AH86" s="450">
        <f>0</f>
        <v/>
      </c>
      <c r="AI86" s="445" t="n"/>
      <c r="AJ86" s="445" t="n"/>
      <c r="AK86" s="61" t="n">
        <v>629</v>
      </c>
      <c r="AL86" s="450" t="n">
        <v>192</v>
      </c>
    </row>
    <row r="87" ht="17.1" customHeight="1" s="37">
      <c r="B87" s="546">
        <f>B86+1</f>
        <v/>
      </c>
      <c r="C87" s="450" t="inlineStr">
        <is>
          <t>sf21</t>
        </is>
      </c>
      <c r="D87" s="257">
        <f>SUM(Y87:AH87)</f>
        <v/>
      </c>
      <c r="E87" s="54">
        <f>'0₦'!AF90</f>
        <v/>
      </c>
      <c r="F87" s="41">
        <f>'0₦'!AG90</f>
        <v/>
      </c>
      <c r="H87" s="410">
        <f>D87</f>
        <v/>
      </c>
      <c r="J87" s="42">
        <f>D87-H87</f>
        <v/>
      </c>
      <c r="L87" s="42">
        <f>D87-SUM(H87,J87)</f>
        <v/>
      </c>
      <c r="N87" s="42">
        <f>D87-SUM(H87,J87,L87,)</f>
        <v/>
      </c>
      <c r="P87" s="42">
        <f>D87-SUM(H87,J87,L87,N87)</f>
        <v/>
      </c>
      <c r="R87" s="42">
        <f>D87-SUM(H87,J87,L87,N87,P87)</f>
        <v/>
      </c>
      <c r="T87" s="42">
        <f>D87-SUM(H87,J87,L87,N87,P87,R87)</f>
        <v/>
      </c>
      <c r="V87" s="42">
        <f>D87-SUM(H87,J87,L87,N87,P87,R87,T87)</f>
        <v/>
      </c>
      <c r="X87" s="56">
        <f>D87-SUM(H87,J87,L87,N87,P87,R87,T87,V87)</f>
        <v/>
      </c>
      <c r="Y87" s="57">
        <f>12*COUNT(G87,I87,K87,M87,O87,Q87,U87,W87,S87)</f>
        <v/>
      </c>
      <c r="Z87" s="40">
        <f>IF(AND('0₦'!T90&lt;&gt;0,'0₦'!T90&lt;&gt;""),9,0) + 0</f>
        <v/>
      </c>
      <c r="AA87" s="445">
        <f>'0₦'!BI90 + 0</f>
        <v/>
      </c>
      <c r="AB87" s="446">
        <f>'0₦'!BE90</f>
        <v/>
      </c>
      <c r="AC87" s="450">
        <f>'0₦'!BC90 + 0</f>
        <v/>
      </c>
      <c r="AD87" s="42">
        <f>'0₦'!BD90</f>
        <v/>
      </c>
      <c r="AE87" s="42">
        <f>'0₦'!AX90</f>
        <v/>
      </c>
      <c r="AF87" s="446">
        <f>hcbi!AA91+hcbi!Y91</f>
        <v/>
      </c>
      <c r="AG87" s="42">
        <f>'0₦'!AW90</f>
        <v/>
      </c>
      <c r="AH87" s="450">
        <f>0</f>
        <v/>
      </c>
      <c r="AK87" s="44" t="n">
        <v>855</v>
      </c>
      <c r="AL87" s="450" t="n">
        <v>153</v>
      </c>
    </row>
    <row r="88" ht="17.1" customHeight="1" s="37">
      <c r="B88" s="546">
        <f>B87+1</f>
        <v/>
      </c>
      <c r="C88" s="450" t="inlineStr">
        <is>
          <t>sf21</t>
        </is>
      </c>
      <c r="D88" s="257">
        <f>SUM(Y88:AH88)</f>
        <v/>
      </c>
      <c r="E88" s="54">
        <f>'0₦'!AF91</f>
        <v/>
      </c>
      <c r="F88" s="41">
        <f>'0₦'!AG91</f>
        <v/>
      </c>
      <c r="H88" s="410">
        <f>D88</f>
        <v/>
      </c>
      <c r="J88" s="42">
        <f>D88-H88</f>
        <v/>
      </c>
      <c r="L88" s="42">
        <f>D88-SUM(H88,J88)</f>
        <v/>
      </c>
      <c r="N88" s="42">
        <f>D88-SUM(H88,J88,L88,)</f>
        <v/>
      </c>
      <c r="P88" s="42">
        <f>D88-SUM(H88,J88,L88,N88)</f>
        <v/>
      </c>
      <c r="R88" s="42">
        <f>D88-SUM(H88,J88,L88,N88,P88)</f>
        <v/>
      </c>
      <c r="T88" s="42">
        <f>D88-SUM(H88,J88,L88,N88,P88,R88)</f>
        <v/>
      </c>
      <c r="V88" s="42">
        <f>D88-SUM(H88,J88,L88,N88,P88,R88,T88)</f>
        <v/>
      </c>
      <c r="X88" s="56">
        <f>D88-SUM(H88,J88,L88,N88,P88,R88,T88,V88)</f>
        <v/>
      </c>
      <c r="Y88" s="57">
        <f>12*COUNT(G88,I88,K88,M88,O88,Q88,U88,W88,S88)</f>
        <v/>
      </c>
      <c r="Z88" s="40">
        <f>IF(AND('0₦'!T91&lt;&gt;0,'0₦'!T91&lt;&gt;""),9,0) + 0</f>
        <v/>
      </c>
      <c r="AA88" s="445">
        <f>'0₦'!BI91 + 0</f>
        <v/>
      </c>
      <c r="AB88" s="446">
        <f>'0₦'!BE91</f>
        <v/>
      </c>
      <c r="AC88" s="450">
        <f>'0₦'!BC91 + 0</f>
        <v/>
      </c>
      <c r="AD88" s="42">
        <f>'0₦'!BD91</f>
        <v/>
      </c>
      <c r="AE88" s="42">
        <f>'0₦'!AX91</f>
        <v/>
      </c>
      <c r="AF88" s="446">
        <f>hcbi!AA92+hcbi!Y92</f>
        <v/>
      </c>
      <c r="AG88" s="42">
        <f>'0₦'!AW91</f>
        <v/>
      </c>
      <c r="AH88" s="450">
        <f>0</f>
        <v/>
      </c>
      <c r="AI88" s="445" t="n"/>
      <c r="AJ88" s="445" t="n"/>
      <c r="AK88" s="44" t="n">
        <v>529</v>
      </c>
      <c r="AL88" s="450" t="n">
        <v>143</v>
      </c>
    </row>
    <row r="89" ht="17.1" customHeight="1" s="37">
      <c r="B89" s="546">
        <f>B88+1</f>
        <v/>
      </c>
      <c r="C89" s="450" t="inlineStr">
        <is>
          <t>sf21</t>
        </is>
      </c>
      <c r="D89" s="257">
        <f>SUM(Y89:AH89)</f>
        <v/>
      </c>
      <c r="E89" s="54">
        <f>'0₦'!AF92</f>
        <v/>
      </c>
      <c r="F89" s="41">
        <f>'0₦'!AG92</f>
        <v/>
      </c>
      <c r="H89" s="410">
        <f>D89</f>
        <v/>
      </c>
      <c r="J89" s="42">
        <f>D89-H89</f>
        <v/>
      </c>
      <c r="L89" s="42">
        <f>D89-SUM(H89,J89)</f>
        <v/>
      </c>
      <c r="N89" s="42">
        <f>D89-SUM(H89,J89,L89,)</f>
        <v/>
      </c>
      <c r="P89" s="42">
        <f>D89-SUM(H89,J89,L89,N89)</f>
        <v/>
      </c>
      <c r="R89" s="42">
        <f>D89-SUM(H89,J89,L89,N89,P89)</f>
        <v/>
      </c>
      <c r="T89" s="42">
        <f>D89-SUM(H89,J89,L89,N89,P89,R89)</f>
        <v/>
      </c>
      <c r="V89" s="42">
        <f>D89-SUM(H89,J89,L89,N89,P89,R89,T89)</f>
        <v/>
      </c>
      <c r="X89" s="56">
        <f>D89-SUM(H89,J89,L89,N89,P89,R89,T89,V89)</f>
        <v/>
      </c>
      <c r="Y89" s="57">
        <f>12*COUNT(G89,I89,K89,M89,O89,Q89,U89,W89,S89)</f>
        <v/>
      </c>
      <c r="Z89" s="40">
        <f>IF(AND('0₦'!T92&lt;&gt;0,'0₦'!T92&lt;&gt;""),9,0) + 0</f>
        <v/>
      </c>
      <c r="AA89" s="445">
        <f>'0₦'!BI92 + 0</f>
        <v/>
      </c>
      <c r="AB89" s="446">
        <f>'0₦'!BE92</f>
        <v/>
      </c>
      <c r="AC89" s="450">
        <f>'0₦'!BC92 + 0</f>
        <v/>
      </c>
      <c r="AD89" s="42">
        <f>'0₦'!BD92</f>
        <v/>
      </c>
      <c r="AE89" s="42">
        <f>'0₦'!AX92</f>
        <v/>
      </c>
      <c r="AF89" s="446">
        <f>hcbi!AA93+hcbi!Y93</f>
        <v/>
      </c>
      <c r="AG89" s="42">
        <f>'0₦'!AW92</f>
        <v/>
      </c>
      <c r="AH89" s="450">
        <f>0</f>
        <v/>
      </c>
      <c r="AK89" s="44" t="n">
        <v>728</v>
      </c>
      <c r="AL89" s="450" t="n">
        <v>133</v>
      </c>
    </row>
    <row r="90" ht="17.1" customHeight="1" s="37">
      <c r="B90" s="546">
        <f>B89+1</f>
        <v/>
      </c>
      <c r="C90" s="450" t="inlineStr">
        <is>
          <t>sf21</t>
        </is>
      </c>
      <c r="D90" s="257">
        <f>SUM(Y90:AH90)</f>
        <v/>
      </c>
      <c r="E90" s="54">
        <f>'0₦'!AF93</f>
        <v/>
      </c>
      <c r="F90" s="41">
        <f>'0₦'!AG93</f>
        <v/>
      </c>
      <c r="H90" s="410">
        <f>D90</f>
        <v/>
      </c>
      <c r="J90" s="42">
        <f>D90-H90</f>
        <v/>
      </c>
      <c r="L90" s="42">
        <f>D90-SUM(H90,J90)</f>
        <v/>
      </c>
      <c r="N90" s="42">
        <f>D90-SUM(H90,J90,L90,)</f>
        <v/>
      </c>
      <c r="P90" s="42">
        <f>D90-SUM(H90,J90,L90,N90)</f>
        <v/>
      </c>
      <c r="R90" s="42">
        <f>D90-SUM(H90,J90,L90,N90,P90)</f>
        <v/>
      </c>
      <c r="T90" s="42">
        <f>D90-SUM(H90,J90,L90,N90,P90,R90)</f>
        <v/>
      </c>
      <c r="V90" s="42">
        <f>D90-SUM(H90,J90,L90,N90,P90,R90,T90)</f>
        <v/>
      </c>
      <c r="X90" s="56">
        <f>D90-SUM(H90,J90,L90,N90,P90,R90,T90,V90)</f>
        <v/>
      </c>
      <c r="Y90" s="57">
        <f>12*COUNT(G90,I90,K90,M90,O90,Q90,U90,W90,S90)</f>
        <v/>
      </c>
      <c r="Z90" s="40">
        <f>IF(AND('0₦'!T93&lt;&gt;0,'0₦'!T93&lt;&gt;""),9,0) + 0</f>
        <v/>
      </c>
      <c r="AA90" s="445">
        <f>'0₦'!BI93 + 0</f>
        <v/>
      </c>
      <c r="AB90" s="446">
        <f>'0₦'!BE93</f>
        <v/>
      </c>
      <c r="AC90" s="450">
        <f>'0₦'!BC93 + 0</f>
        <v/>
      </c>
      <c r="AD90" s="42">
        <f>'0₦'!BD93</f>
        <v/>
      </c>
      <c r="AE90" s="42">
        <f>'0₦'!AX93</f>
        <v/>
      </c>
      <c r="AF90" s="446">
        <f>hcbi!AA94+hcbi!Y94</f>
        <v/>
      </c>
      <c r="AG90" s="42">
        <f>'0₦'!AW93</f>
        <v/>
      </c>
      <c r="AH90" s="450">
        <f>0</f>
        <v/>
      </c>
      <c r="AI90" s="445" t="n"/>
      <c r="AJ90" s="445" t="n"/>
      <c r="AK90" s="44" t="n">
        <v>724</v>
      </c>
      <c r="AL90" s="450" t="n">
        <v>123</v>
      </c>
    </row>
    <row r="91" ht="17.1" customHeight="1" s="37">
      <c r="B91" s="546">
        <f>B90+1</f>
        <v/>
      </c>
      <c r="C91" s="450" t="inlineStr">
        <is>
          <t>sf21</t>
        </is>
      </c>
      <c r="D91" s="257">
        <f>SUM(Y91:AH91)</f>
        <v/>
      </c>
      <c r="E91" s="54">
        <f>'0₦'!AF94</f>
        <v/>
      </c>
      <c r="F91" s="41">
        <f>'0₦'!AG94</f>
        <v/>
      </c>
      <c r="H91" s="410">
        <f>D91</f>
        <v/>
      </c>
      <c r="J91" s="42">
        <f>D91-H91</f>
        <v/>
      </c>
      <c r="L91" s="42">
        <f>D91-SUM(H91,J91)</f>
        <v/>
      </c>
      <c r="N91" s="42">
        <f>D91-SUM(H91,J91,L91,)</f>
        <v/>
      </c>
      <c r="P91" s="42">
        <f>D91-SUM(H91,J91,L91,N91)</f>
        <v/>
      </c>
      <c r="R91" s="42">
        <f>D91-SUM(H91,J91,L91,N91,P91)</f>
        <v/>
      </c>
      <c r="T91" s="42">
        <f>D91-SUM(H91,J91,L91,N91,P91,R91)</f>
        <v/>
      </c>
      <c r="V91" s="42">
        <f>D91-SUM(H91,J91,L91,N91,P91,R91,T91)</f>
        <v/>
      </c>
      <c r="X91" s="56">
        <f>D91-SUM(H91,J91,L91,N91,P91,R91,T91,V91)</f>
        <v/>
      </c>
      <c r="Y91" s="57">
        <f>12*COUNT(G91,I91,K91,M91,O91,Q91,U91,W91,S91)</f>
        <v/>
      </c>
      <c r="Z91" s="40">
        <f>IF(AND('0₦'!T94&lt;&gt;0,'0₦'!T94&lt;&gt;""),9,0) + 0</f>
        <v/>
      </c>
      <c r="AA91" s="445">
        <f>'0₦'!BI94 + 0</f>
        <v/>
      </c>
      <c r="AB91" s="446">
        <f>'0₦'!BE94</f>
        <v/>
      </c>
      <c r="AC91" s="450">
        <f>'0₦'!BC94 + 0</f>
        <v/>
      </c>
      <c r="AD91" s="42">
        <f>'0₦'!BD94</f>
        <v/>
      </c>
      <c r="AE91" s="42">
        <f>'0₦'!AX94</f>
        <v/>
      </c>
      <c r="AF91" s="446">
        <f>hcbi!AA95+hcbi!Y95</f>
        <v/>
      </c>
      <c r="AG91" s="42">
        <f>'0₦'!AW94</f>
        <v/>
      </c>
      <c r="AH91" s="450">
        <f>0</f>
        <v/>
      </c>
      <c r="AK91" s="44" t="n">
        <v>596</v>
      </c>
      <c r="AL91" s="450" t="n">
        <v>112</v>
      </c>
    </row>
    <row r="92" ht="17.1" customHeight="1" s="37">
      <c r="A92" s="547" t="n"/>
      <c r="B92" s="546">
        <f>B91+1</f>
        <v/>
      </c>
      <c r="C92" s="450" t="inlineStr">
        <is>
          <t>sf21</t>
        </is>
      </c>
      <c r="D92" s="257">
        <f>SUM(Y92:AH92)</f>
        <v/>
      </c>
      <c r="E92" s="54">
        <f>'0₦'!AF95</f>
        <v/>
      </c>
      <c r="F92" s="41">
        <f>'0₦'!AG95</f>
        <v/>
      </c>
      <c r="H92" s="410">
        <f>D92</f>
        <v/>
      </c>
      <c r="J92" s="42">
        <f>D92-H92</f>
        <v/>
      </c>
      <c r="L92" s="42">
        <f>D92-SUM(H92,J92)</f>
        <v/>
      </c>
      <c r="N92" s="42">
        <f>D92-SUM(H92,J92,L92,)</f>
        <v/>
      </c>
      <c r="P92" s="42">
        <f>D92-SUM(H92,J92,L92,N92)</f>
        <v/>
      </c>
      <c r="R92" s="42">
        <f>D92-SUM(H92,J92,L92,N92,P92)</f>
        <v/>
      </c>
      <c r="T92" s="42">
        <f>D92-SUM(H92,J92,L92,N92,P92,R92)</f>
        <v/>
      </c>
      <c r="V92" s="42">
        <f>D92-SUM(H92,J92,L92,N92,P92,R92,T92)</f>
        <v/>
      </c>
      <c r="X92" s="56">
        <f>D92-SUM(H92,J92,L92,N92,P92,R92,T92,V92)</f>
        <v/>
      </c>
      <c r="Y92" s="57">
        <f>12*COUNT(G92,I92,K92,M92,O92,Q92,U92,W92,S92)</f>
        <v/>
      </c>
      <c r="Z92" s="40">
        <f>IF(AND('0₦'!T95&lt;&gt;0,'0₦'!T95&lt;&gt;""),9,0) + 0</f>
        <v/>
      </c>
      <c r="AA92" s="445">
        <f>'0₦'!BI95 + 0</f>
        <v/>
      </c>
      <c r="AB92" s="446">
        <f>'0₦'!BE95</f>
        <v/>
      </c>
      <c r="AC92" s="450">
        <f>'0₦'!BC95 + 0</f>
        <v/>
      </c>
      <c r="AD92" s="42">
        <f>'0₦'!BD95</f>
        <v/>
      </c>
      <c r="AE92" s="42">
        <f>'0₦'!AX95</f>
        <v/>
      </c>
      <c r="AF92" s="446">
        <f>hcbi!AA96+hcbi!Y96</f>
        <v/>
      </c>
      <c r="AG92" s="42">
        <f>'0₦'!AW95</f>
        <v/>
      </c>
      <c r="AH92" s="450">
        <f>0</f>
        <v/>
      </c>
      <c r="AI92" s="445" t="n"/>
      <c r="AJ92" s="445" t="n"/>
      <c r="AK92" s="44" t="n">
        <v>723</v>
      </c>
      <c r="AL92" s="450" t="n">
        <v>153</v>
      </c>
    </row>
    <row r="93" ht="17.1" customHeight="1" s="37">
      <c r="A93" s="441">
        <f>A58+1</f>
        <v/>
      </c>
      <c r="B93" s="546">
        <f>B92+1</f>
        <v/>
      </c>
      <c r="C93" s="450" t="inlineStr">
        <is>
          <t>sf21</t>
        </is>
      </c>
      <c r="D93" s="257">
        <f>SUM(Y93:AH93)</f>
        <v/>
      </c>
      <c r="E93" s="54">
        <f>'0₦'!AF96</f>
        <v/>
      </c>
      <c r="F93" s="41">
        <f>'0₦'!AG96</f>
        <v/>
      </c>
      <c r="H93" s="410">
        <f>D93</f>
        <v/>
      </c>
      <c r="J93" s="42">
        <f>D93-H93</f>
        <v/>
      </c>
      <c r="L93" s="42">
        <f>D93-SUM(H93,J93)</f>
        <v/>
      </c>
      <c r="N93" s="42">
        <f>D93-SUM(H93,J93,L93,)</f>
        <v/>
      </c>
      <c r="P93" s="42">
        <f>D93-SUM(H93,J93,L93,N93)</f>
        <v/>
      </c>
      <c r="R93" s="42">
        <f>D93-SUM(H93,J93,L93,N93,P93)</f>
        <v/>
      </c>
      <c r="T93" s="42">
        <f>D93-SUM(H93,J93,L93,N93,P93,R93)</f>
        <v/>
      </c>
      <c r="V93" s="42">
        <f>D93-SUM(H93,J93,L93,N93,P93,R93,T93)</f>
        <v/>
      </c>
      <c r="X93" s="56">
        <f>D93-SUM(H93,J93,L93,N93,P93,R93,T93,V93)</f>
        <v/>
      </c>
      <c r="Y93" s="57">
        <f>12*COUNT(G93,I93,K93,M93,O93,Q93,U93,W93,S93)</f>
        <v/>
      </c>
      <c r="Z93" s="40">
        <f>IF(AND('0₦'!T96&lt;&gt;0,'0₦'!T96&lt;&gt;""),9,0) + 0</f>
        <v/>
      </c>
      <c r="AA93" s="445">
        <f>'0₦'!BI96 + 0</f>
        <v/>
      </c>
      <c r="AB93" s="446">
        <f>'0₦'!BE96</f>
        <v/>
      </c>
      <c r="AC93" s="450">
        <f>'0₦'!BC96 + 0</f>
        <v/>
      </c>
      <c r="AD93" s="42">
        <f>'0₦'!BD96</f>
        <v/>
      </c>
      <c r="AE93" s="42">
        <f>'0₦'!AX96</f>
        <v/>
      </c>
      <c r="AF93" s="446">
        <f>hcbi!AA97+hcbi!Y97</f>
        <v/>
      </c>
      <c r="AG93" s="42">
        <f>'0₦'!AW96</f>
        <v/>
      </c>
      <c r="AH93" s="450">
        <f>0</f>
        <v/>
      </c>
      <c r="AK93" s="44" t="n">
        <v>667</v>
      </c>
      <c r="AL93" s="450" t="n">
        <v>320</v>
      </c>
    </row>
    <row r="94" ht="17.1" customHeight="1" s="37">
      <c r="B94" s="546">
        <f>B93+1</f>
        <v/>
      </c>
      <c r="C94" s="450" t="inlineStr">
        <is>
          <t>sf21</t>
        </is>
      </c>
      <c r="D94" s="257">
        <f>SUM(Y94:AH94)</f>
        <v/>
      </c>
      <c r="E94" s="54">
        <f>'0₦'!AF97</f>
        <v/>
      </c>
      <c r="F94" s="41">
        <f>'0₦'!AG97</f>
        <v/>
      </c>
      <c r="H94" s="410">
        <f>D94</f>
        <v/>
      </c>
      <c r="J94" s="42">
        <f>D94-H94</f>
        <v/>
      </c>
      <c r="L94" s="42">
        <f>D94-SUM(H94,J94)</f>
        <v/>
      </c>
      <c r="N94" s="42">
        <f>D94-SUM(H94,J94,L94,)</f>
        <v/>
      </c>
      <c r="P94" s="42">
        <f>D94-SUM(H94,J94,L94,N94)</f>
        <v/>
      </c>
      <c r="R94" s="42">
        <f>D94-SUM(H94,J94,L94,N94,P94)</f>
        <v/>
      </c>
      <c r="T94" s="42">
        <f>D94-SUM(H94,J94,L94,N94,P94,R94)</f>
        <v/>
      </c>
      <c r="V94" s="42">
        <f>D94-SUM(H94,J94,L94,N94,P94,R94,T94)</f>
        <v/>
      </c>
      <c r="X94" s="56">
        <f>D94-SUM(H94,J94,L94,N94,P94,R94,T94,V94)</f>
        <v/>
      </c>
      <c r="Y94" s="57">
        <f>12*COUNT(G94,I94,K94,M94,O94,Q94,U94,W94,S94)</f>
        <v/>
      </c>
      <c r="Z94" s="40">
        <f>IF(AND('0₦'!T97&lt;&gt;0,'0₦'!T97&lt;&gt;""),9,0) + 0</f>
        <v/>
      </c>
      <c r="AA94" s="445">
        <f>'0₦'!BI97 + 0</f>
        <v/>
      </c>
      <c r="AB94" s="446">
        <f>'0₦'!BE97</f>
        <v/>
      </c>
      <c r="AC94" s="450">
        <f>'0₦'!BC97 + 0</f>
        <v/>
      </c>
      <c r="AD94" s="42">
        <f>'0₦'!BD97</f>
        <v/>
      </c>
      <c r="AE94" s="42">
        <f>'0₦'!AX97</f>
        <v/>
      </c>
      <c r="AF94" s="446">
        <f>hcbi!AA98+hcbi!Y98</f>
        <v/>
      </c>
      <c r="AG94" s="42">
        <f>'0₦'!AW97</f>
        <v/>
      </c>
      <c r="AH94" s="450">
        <f>0</f>
        <v/>
      </c>
      <c r="AI94" s="445" t="n"/>
      <c r="AJ94" s="445" t="n"/>
      <c r="AK94" s="44" t="n">
        <v>571</v>
      </c>
      <c r="AL94" s="450" t="n">
        <v>100</v>
      </c>
    </row>
    <row r="95" ht="17.1" customHeight="1" s="37">
      <c r="B95" s="546">
        <f>B94+1</f>
        <v/>
      </c>
      <c r="C95" s="450" t="inlineStr">
        <is>
          <t>sf21</t>
        </is>
      </c>
      <c r="D95" s="257">
        <f>SUM(Y95:AH95)</f>
        <v/>
      </c>
      <c r="E95" s="54">
        <f>'0₦'!AF98</f>
        <v/>
      </c>
      <c r="F95" s="41">
        <f>'0₦'!AG98</f>
        <v/>
      </c>
      <c r="H95" s="410">
        <f>D95</f>
        <v/>
      </c>
      <c r="J95" s="42">
        <f>D95-H95</f>
        <v/>
      </c>
      <c r="L95" s="42">
        <f>D95-SUM(H95,J95)</f>
        <v/>
      </c>
      <c r="N95" s="42">
        <f>D95-SUM(H95,J95,L95,)</f>
        <v/>
      </c>
      <c r="P95" s="42">
        <f>D95-SUM(H95,J95,L95,N95)</f>
        <v/>
      </c>
      <c r="R95" s="42">
        <f>D95-SUM(H95,J95,L95,N95,P95)</f>
        <v/>
      </c>
      <c r="T95" s="42">
        <f>D95-SUM(H95,J95,L95,N95,P95,R95)</f>
        <v/>
      </c>
      <c r="V95" s="42">
        <f>D95-SUM(H95,J95,L95,N95,P95,R95,T95)</f>
        <v/>
      </c>
      <c r="X95" s="56">
        <f>D95-SUM(H95,J95,L95,N95,P95,R95,T95,V95)</f>
        <v/>
      </c>
      <c r="Y95" s="57">
        <f>12*COUNT(G95,I95,K95,M95,O95,Q95,U95,W95,S95)</f>
        <v/>
      </c>
      <c r="Z95" s="40">
        <f>IF(AND('0₦'!T98&lt;&gt;0,'0₦'!T98&lt;&gt;""),9,0) + 0</f>
        <v/>
      </c>
      <c r="AA95" s="445">
        <f>'0₦'!BI98 + 0</f>
        <v/>
      </c>
      <c r="AB95" s="446">
        <f>'0₦'!BE98</f>
        <v/>
      </c>
      <c r="AC95" s="450">
        <f>'0₦'!BC98 + 0</f>
        <v/>
      </c>
      <c r="AD95" s="42">
        <f>'0₦'!BD98</f>
        <v/>
      </c>
      <c r="AE95" s="42">
        <f>'0₦'!AX98</f>
        <v/>
      </c>
      <c r="AF95" s="446">
        <f>hcbi!AA99+hcbi!Y99</f>
        <v/>
      </c>
      <c r="AG95" s="42">
        <f>'0₦'!AW98</f>
        <v/>
      </c>
      <c r="AH95" s="450">
        <f>0</f>
        <v/>
      </c>
      <c r="AK95" s="44" t="n">
        <v>722</v>
      </c>
      <c r="AL95" s="450" t="n">
        <v>100</v>
      </c>
    </row>
    <row r="96" ht="17.1" customHeight="1" s="37">
      <c r="B96" s="546">
        <f>B95+1</f>
        <v/>
      </c>
      <c r="C96" s="450" t="inlineStr">
        <is>
          <t>sf21</t>
        </is>
      </c>
      <c r="D96" s="257">
        <f>SUM(Y96:AH96)</f>
        <v/>
      </c>
      <c r="E96" s="54">
        <f>'0₦'!AF99</f>
        <v/>
      </c>
      <c r="F96" s="41">
        <f>'0₦'!AG99</f>
        <v/>
      </c>
      <c r="H96" s="410">
        <f>D96</f>
        <v/>
      </c>
      <c r="J96" s="42">
        <f>D96-H96</f>
        <v/>
      </c>
      <c r="L96" s="42">
        <f>D96-SUM(H96,J96)</f>
        <v/>
      </c>
      <c r="N96" s="42">
        <f>D96-SUM(H96,J96,L96,)</f>
        <v/>
      </c>
      <c r="P96" s="42">
        <f>D96-SUM(H96,J96,L96,N96)</f>
        <v/>
      </c>
      <c r="R96" s="42">
        <f>D96-SUM(H96,J96,L96,N96,P96)</f>
        <v/>
      </c>
      <c r="T96" s="42">
        <f>D96-SUM(H96,J96,L96,N96,P96,R96)</f>
        <v/>
      </c>
      <c r="V96" s="42">
        <f>D96-SUM(H96,J96,L96,N96,P96,R96,T96)</f>
        <v/>
      </c>
      <c r="X96" s="56">
        <f>D96-SUM(H96,J96,L96,N96,P96,R96,T96,V96)</f>
        <v/>
      </c>
      <c r="Y96" s="57">
        <f>12*COUNT(G96,I96,K96,M96,O96,Q96,U96,W96,S96)</f>
        <v/>
      </c>
      <c r="Z96" s="40">
        <f>IF(AND('0₦'!T99&lt;&gt;0,'0₦'!T99&lt;&gt;""),9,0) + 0</f>
        <v/>
      </c>
      <c r="AA96" s="445">
        <f>'0₦'!BI99 + 0</f>
        <v/>
      </c>
      <c r="AB96" s="446">
        <f>'0₦'!BE99</f>
        <v/>
      </c>
      <c r="AC96" s="450">
        <f>'0₦'!BC99 + 0</f>
        <v/>
      </c>
      <c r="AD96" s="42">
        <f>'0₦'!BD99</f>
        <v/>
      </c>
      <c r="AE96" s="42">
        <f>'0₦'!AX99</f>
        <v/>
      </c>
      <c r="AF96" s="446">
        <f>hcbi!AA100+hcbi!Y100</f>
        <v/>
      </c>
      <c r="AG96" s="42">
        <f>'0₦'!AW99</f>
        <v/>
      </c>
      <c r="AH96" s="450">
        <f>0</f>
        <v/>
      </c>
      <c r="AI96" s="445" t="n"/>
      <c r="AJ96" s="445" t="n"/>
      <c r="AK96" s="44" t="n">
        <v>633</v>
      </c>
      <c r="AL96" s="450" t="n">
        <v>100</v>
      </c>
    </row>
    <row r="97" ht="17.1" customHeight="1" s="37">
      <c r="B97" s="546">
        <f>B96+1</f>
        <v/>
      </c>
      <c r="C97" s="450" t="inlineStr">
        <is>
          <t>sf21</t>
        </is>
      </c>
      <c r="D97" s="257">
        <f>SUM(Y97:AH97)</f>
        <v/>
      </c>
      <c r="E97" s="54">
        <f>'0₦'!AF100</f>
        <v/>
      </c>
      <c r="F97" s="41">
        <f>'0₦'!AG100</f>
        <v/>
      </c>
      <c r="H97" s="410">
        <f>D97</f>
        <v/>
      </c>
      <c r="J97" s="42">
        <f>D97-H97</f>
        <v/>
      </c>
      <c r="L97" s="42">
        <f>D97-SUM(H97,J97)</f>
        <v/>
      </c>
      <c r="N97" s="42">
        <f>D97-SUM(H97,J97,L97,)</f>
        <v/>
      </c>
      <c r="P97" s="42">
        <f>D97-SUM(H97,J97,L97,N97)</f>
        <v/>
      </c>
      <c r="R97" s="42">
        <f>D97-SUM(H97,J97,L97,N97,P97)</f>
        <v/>
      </c>
      <c r="T97" s="42">
        <f>D97-SUM(H97,J97,L97,N97,P97,R97)</f>
        <v/>
      </c>
      <c r="V97" s="42">
        <f>D97-SUM(H97,J97,L97,N97,P97,R97,T97)</f>
        <v/>
      </c>
      <c r="X97" s="56">
        <f>D97-SUM(H97,J97,L97,N97,P97,R97,T97,V97)</f>
        <v/>
      </c>
      <c r="Y97" s="57">
        <f>12*COUNT(G97,I97,K97,M97,O97,Q97,U97,W97,S97)</f>
        <v/>
      </c>
      <c r="Z97" s="40">
        <f>IF(AND('0₦'!T100&lt;&gt;0,'0₦'!T100&lt;&gt;""),9,0) + 0</f>
        <v/>
      </c>
      <c r="AA97" s="445">
        <f>'0₦'!BI100 + 0</f>
        <v/>
      </c>
      <c r="AB97" s="446">
        <f>'0₦'!BE100</f>
        <v/>
      </c>
      <c r="AC97" s="450">
        <f>'0₦'!BC100 + 0</f>
        <v/>
      </c>
      <c r="AD97" s="42">
        <f>'0₦'!BD100</f>
        <v/>
      </c>
      <c r="AE97" s="42">
        <f>'0₦'!AX100</f>
        <v/>
      </c>
      <c r="AF97" s="446">
        <f>hcbi!AA101+hcbi!Y101</f>
        <v/>
      </c>
      <c r="AG97" s="42">
        <f>'0₦'!AW100</f>
        <v/>
      </c>
      <c r="AH97" s="450">
        <f>0</f>
        <v/>
      </c>
      <c r="AK97" s="61" t="n">
        <v>777</v>
      </c>
      <c r="AL97" s="450" t="n">
        <v>196</v>
      </c>
    </row>
    <row r="98" ht="17.1" customHeight="1" s="37">
      <c r="B98" s="546">
        <f>B97+1</f>
        <v/>
      </c>
      <c r="C98" s="450" t="inlineStr">
        <is>
          <t>sf21</t>
        </is>
      </c>
      <c r="D98" s="257">
        <f>SUM(Y98:AH98)</f>
        <v/>
      </c>
      <c r="E98" s="54">
        <f>'0₦'!AF101</f>
        <v/>
      </c>
      <c r="F98" s="41">
        <f>'0₦'!AG101</f>
        <v/>
      </c>
      <c r="H98" s="410">
        <f>D98</f>
        <v/>
      </c>
      <c r="J98" s="42">
        <f>D98-H98</f>
        <v/>
      </c>
      <c r="L98" s="42">
        <f>D98-SUM(H98,J98)</f>
        <v/>
      </c>
      <c r="N98" s="42">
        <f>D98-SUM(H98,J98,L98,)</f>
        <v/>
      </c>
      <c r="P98" s="42">
        <f>D98-SUM(H98,J98,L98,N98)</f>
        <v/>
      </c>
      <c r="R98" s="42">
        <f>D98-SUM(H98,J98,L98,N98,P98)</f>
        <v/>
      </c>
      <c r="T98" s="42">
        <f>D98-SUM(H98,J98,L98,N98,P98,R98)</f>
        <v/>
      </c>
      <c r="V98" s="42">
        <f>D98-SUM(H98,J98,L98,N98,P98,R98,T98)</f>
        <v/>
      </c>
      <c r="X98" s="56">
        <f>D98-SUM(H98,J98,L98,N98,P98,R98,T98,V98)</f>
        <v/>
      </c>
      <c r="Y98" s="57">
        <f>12*COUNT(G98,I98,K98,M98,O98,Q98,U98,W98,S98)</f>
        <v/>
      </c>
      <c r="Z98" s="40">
        <f>IF(AND('0₦'!T101&lt;&gt;0,'0₦'!T101&lt;&gt;""),9,0) + 0</f>
        <v/>
      </c>
      <c r="AA98" s="445">
        <f>'0₦'!BI101 + 0</f>
        <v/>
      </c>
      <c r="AB98" s="446">
        <f>'0₦'!BE101</f>
        <v/>
      </c>
      <c r="AC98" s="450">
        <f>'0₦'!BC101 + 0</f>
        <v/>
      </c>
      <c r="AD98" s="42">
        <f>'0₦'!BD101</f>
        <v/>
      </c>
      <c r="AE98" s="42">
        <f>'0₦'!AX101</f>
        <v/>
      </c>
      <c r="AF98" s="446">
        <f>hcbi!AA102+hcbi!Y102</f>
        <v/>
      </c>
      <c r="AG98" s="42">
        <f>'0₦'!AW101</f>
        <v/>
      </c>
      <c r="AH98" s="450">
        <f>0</f>
        <v/>
      </c>
      <c r="AI98" s="445" t="n"/>
      <c r="AJ98" s="445" t="n"/>
      <c r="AK98" s="44" t="n">
        <v>735</v>
      </c>
      <c r="AL98" s="450" t="n">
        <v>825</v>
      </c>
    </row>
    <row r="99" ht="17.1" customHeight="1" s="37">
      <c r="A99" s="547" t="n"/>
      <c r="B99" s="546">
        <f>B98+1</f>
        <v/>
      </c>
      <c r="C99" s="450" t="inlineStr">
        <is>
          <t>sf21</t>
        </is>
      </c>
      <c r="D99" s="257">
        <f>SUM(Y99:AH99)</f>
        <v/>
      </c>
      <c r="E99" s="54">
        <f>'0₦'!AF102</f>
        <v/>
      </c>
      <c r="F99" s="41">
        <f>'0₦'!AG102</f>
        <v/>
      </c>
      <c r="H99" s="410">
        <f>D99</f>
        <v/>
      </c>
      <c r="J99" s="42">
        <f>D99-H99</f>
        <v/>
      </c>
      <c r="L99" s="42">
        <f>D99-SUM(H99,J99)</f>
        <v/>
      </c>
      <c r="N99" s="42">
        <f>D99-SUM(H99,J99,L99,)</f>
        <v/>
      </c>
      <c r="P99" s="42">
        <f>D99-SUM(H99,J99,L99,N99)</f>
        <v/>
      </c>
      <c r="R99" s="42">
        <f>D99-SUM(H99,J99,L99,N99,P99)</f>
        <v/>
      </c>
      <c r="T99" s="42">
        <f>D99-SUM(H99,J99,L99,N99,P99,R99)</f>
        <v/>
      </c>
      <c r="V99" s="42">
        <f>D99-SUM(H99,J99,L99,N99,P99,R99,T99)</f>
        <v/>
      </c>
      <c r="X99" s="56">
        <f>D99-SUM(H99,J99,L99,N99,P99,R99,T99,V99)</f>
        <v/>
      </c>
      <c r="Y99" s="57">
        <f>12*COUNT(G99,I99,K99,M99,O99,Q99,U99,W99,S99)</f>
        <v/>
      </c>
      <c r="Z99" s="40">
        <f>IF(AND('0₦'!T102&lt;&gt;0,'0₦'!T102&lt;&gt;""),9,0) + 0</f>
        <v/>
      </c>
      <c r="AA99" s="445">
        <f>'0₦'!BI102 + 0</f>
        <v/>
      </c>
      <c r="AB99" s="446">
        <f>'0₦'!BE102</f>
        <v/>
      </c>
      <c r="AC99" s="450">
        <f>'0₦'!BC102 + 0</f>
        <v/>
      </c>
      <c r="AD99" s="42">
        <f>'0₦'!BD102</f>
        <v/>
      </c>
      <c r="AE99" s="42">
        <f>'0₦'!AX102</f>
        <v/>
      </c>
      <c r="AF99" s="446">
        <f>hcbi!AA103+hcbi!Y103+20+5</f>
        <v/>
      </c>
      <c r="AG99" s="42">
        <f>'0₦'!AW102</f>
        <v/>
      </c>
      <c r="AH99" s="450">
        <f>0</f>
        <v/>
      </c>
      <c r="AK99" s="61" t="n">
        <v>733</v>
      </c>
      <c r="AL99" s="450" t="n">
        <v>319</v>
      </c>
    </row>
    <row r="100" ht="17.1" customHeight="1" s="37">
      <c r="A100" s="441">
        <f>A93+0.1</f>
        <v/>
      </c>
      <c r="B100" s="546">
        <f>B99+1</f>
        <v/>
      </c>
      <c r="C100" s="450" t="inlineStr">
        <is>
          <t>sf21</t>
        </is>
      </c>
      <c r="D100" s="257">
        <f>SUM(Y100:AH100)</f>
        <v/>
      </c>
      <c r="E100" s="54">
        <f>'0₦'!AF103</f>
        <v/>
      </c>
      <c r="F100" s="41">
        <f>'0₦'!AG103</f>
        <v/>
      </c>
      <c r="H100" s="410">
        <f>D100</f>
        <v/>
      </c>
      <c r="J100" s="42">
        <f>D100-H100</f>
        <v/>
      </c>
      <c r="L100" s="42">
        <f>D100-SUM(H100,J100)</f>
        <v/>
      </c>
      <c r="N100" s="42">
        <f>D100-SUM(H100,J100,L100,)</f>
        <v/>
      </c>
      <c r="P100" s="42">
        <f>D100-SUM(H100,J100,L100,N100)</f>
        <v/>
      </c>
      <c r="R100" s="42">
        <f>D100-SUM(H100,J100,L100,N100,P100)</f>
        <v/>
      </c>
      <c r="T100" s="42">
        <f>D100-SUM(H100,J100,L100,N100,P100,R100)</f>
        <v/>
      </c>
      <c r="V100" s="42">
        <f>D100-SUM(H100,J100,L100,N100,P100,R100,T100)</f>
        <v/>
      </c>
      <c r="X100" s="56">
        <f>D100-SUM(H100,J100,L100,N100,P100,R100,T100,V100)</f>
        <v/>
      </c>
      <c r="Y100" s="57">
        <f>12*COUNT(G100,I100,K100,M100,O100,Q100,U100,W100,S100)</f>
        <v/>
      </c>
      <c r="Z100" s="40">
        <f>IF(AND('0₦'!T103&lt;&gt;0,'0₦'!T103&lt;&gt;""),9,0) + 0</f>
        <v/>
      </c>
      <c r="AA100" s="445">
        <f>'0₦'!BI103 + 0</f>
        <v/>
      </c>
      <c r="AB100" s="446">
        <f>'0₦'!BE103</f>
        <v/>
      </c>
      <c r="AC100" s="450">
        <f>'0₦'!BC103 + 0</f>
        <v/>
      </c>
      <c r="AD100" s="42">
        <f>'0₦'!BD103</f>
        <v/>
      </c>
      <c r="AE100" s="42">
        <f>'0₦'!AX103</f>
        <v/>
      </c>
      <c r="AF100" s="446">
        <f>hcbi!AA104+hcbi!Y104</f>
        <v/>
      </c>
      <c r="AG100" s="42">
        <f>'0₦'!AW103</f>
        <v/>
      </c>
      <c r="AH100" s="450">
        <f>0</f>
        <v/>
      </c>
      <c r="AI100" s="445" t="n"/>
      <c r="AJ100" s="445" t="n"/>
      <c r="AK100" s="44" t="n">
        <v>757</v>
      </c>
      <c r="AL100" s="450" t="n">
        <v>358</v>
      </c>
    </row>
    <row r="101" ht="17.1" customHeight="1" s="37">
      <c r="B101" s="546">
        <f>B100+1</f>
        <v/>
      </c>
      <c r="C101" s="450" t="inlineStr">
        <is>
          <t>sf21</t>
        </is>
      </c>
      <c r="D101" s="257">
        <f>SUM(Y101:AH101)</f>
        <v/>
      </c>
      <c r="E101" s="54">
        <f>'0₦'!AF104</f>
        <v/>
      </c>
      <c r="F101" s="41">
        <f>'0₦'!AG104</f>
        <v/>
      </c>
      <c r="H101" s="410">
        <f>D101</f>
        <v/>
      </c>
      <c r="J101" s="42">
        <f>D101-H101</f>
        <v/>
      </c>
      <c r="L101" s="42">
        <f>D101-SUM(H101,J101)</f>
        <v/>
      </c>
      <c r="N101" s="42">
        <f>D101-SUM(H101,J101,L101,)</f>
        <v/>
      </c>
      <c r="P101" s="42">
        <f>D101-SUM(H101,J101,L101,N101)</f>
        <v/>
      </c>
      <c r="R101" s="42">
        <f>D101-SUM(H101,J101,L101,N101,P101)</f>
        <v/>
      </c>
      <c r="T101" s="42">
        <f>D101-SUM(H101,J101,L101,N101,P101,R101)</f>
        <v/>
      </c>
      <c r="V101" s="42">
        <f>D101-SUM(H101,J101,L101,N101,P101,R101,T101)</f>
        <v/>
      </c>
      <c r="X101" s="56">
        <f>D101-SUM(H101,J101,L101,N101,P101,R101,T101,V101)</f>
        <v/>
      </c>
      <c r="Y101" s="57">
        <f>12*COUNT(G101,I101,K101,M101,O101,Q101,U101,W101,S101)</f>
        <v/>
      </c>
      <c r="Z101" s="40">
        <f>IF(AND('0₦'!T104&lt;&gt;0,'0₦'!T104&lt;&gt;""),9,0) + 0</f>
        <v/>
      </c>
      <c r="AA101" s="445">
        <f>'0₦'!BI104 + 0</f>
        <v/>
      </c>
      <c r="AB101" s="446">
        <f>'0₦'!BE104</f>
        <v/>
      </c>
      <c r="AC101" s="450">
        <f>'0₦'!BC104 + 0</f>
        <v/>
      </c>
      <c r="AD101" s="42">
        <f>'0₦'!BD104</f>
        <v/>
      </c>
      <c r="AE101" s="42">
        <f>'0₦'!AX104</f>
        <v/>
      </c>
      <c r="AF101" s="446">
        <f>hcbi!AA105+hcbi!Y105 + 5</f>
        <v/>
      </c>
      <c r="AG101" s="42">
        <f>'0₦'!AW104</f>
        <v/>
      </c>
      <c r="AH101" s="450">
        <f>0</f>
        <v/>
      </c>
      <c r="AK101" s="44" t="n">
        <v>855</v>
      </c>
      <c r="AL101" s="450" t="n">
        <v>263</v>
      </c>
    </row>
    <row r="102" ht="17.1" customHeight="1" s="37">
      <c r="B102" s="546">
        <f>B101+1</f>
        <v/>
      </c>
      <c r="C102" s="450" t="inlineStr">
        <is>
          <t>sf21</t>
        </is>
      </c>
      <c r="D102" s="257">
        <f>SUM(Y102:AH102)</f>
        <v/>
      </c>
      <c r="E102" s="54">
        <f>'0₦'!AF105</f>
        <v/>
      </c>
      <c r="F102" s="41">
        <f>'0₦'!AG105</f>
        <v/>
      </c>
      <c r="H102" s="410">
        <f>D102</f>
        <v/>
      </c>
      <c r="J102" s="42">
        <f>D102-H102</f>
        <v/>
      </c>
      <c r="L102" s="42">
        <f>D102-SUM(H102,J102)</f>
        <v/>
      </c>
      <c r="N102" s="42">
        <f>D102-SUM(H102,J102,L102,)</f>
        <v/>
      </c>
      <c r="P102" s="42">
        <f>D102-SUM(H102,J102,L102,N102)</f>
        <v/>
      </c>
      <c r="R102" s="42">
        <f>D102-SUM(H102,J102,L102,N102,P102)</f>
        <v/>
      </c>
      <c r="T102" s="42">
        <f>D102-SUM(H102,J102,L102,N102,P102,R102)</f>
        <v/>
      </c>
      <c r="V102" s="42">
        <f>D102-SUM(H102,J102,L102,N102,P102,R102,T102)</f>
        <v/>
      </c>
      <c r="X102" s="56">
        <f>D102-SUM(H102,J102,L102,N102,P102,R102,T102,V102)</f>
        <v/>
      </c>
      <c r="Y102" s="57">
        <f>12*COUNT(G102,I102,K102,M102,O102,Q102,U102,W102,S102)</f>
        <v/>
      </c>
      <c r="Z102" s="40">
        <f>IF(AND('0₦'!T105&lt;&gt;0,'0₦'!T105&lt;&gt;""),9,0) + 0</f>
        <v/>
      </c>
      <c r="AA102" s="445">
        <f>'0₦'!BI105 + 0</f>
        <v/>
      </c>
      <c r="AB102" s="446">
        <f>'0₦'!BE105</f>
        <v/>
      </c>
      <c r="AC102" s="450">
        <f>'0₦'!BC105 + 0</f>
        <v/>
      </c>
      <c r="AD102" s="42">
        <f>'0₦'!BD105</f>
        <v/>
      </c>
      <c r="AE102" s="42">
        <f>'0₦'!AX105</f>
        <v/>
      </c>
      <c r="AF102" s="446">
        <f>hcbi!AA106+hcbi!Y106</f>
        <v/>
      </c>
      <c r="AG102" s="42">
        <f>'0₦'!AW105</f>
        <v/>
      </c>
      <c r="AH102" s="450">
        <f>0</f>
        <v/>
      </c>
      <c r="AI102" s="445" t="n"/>
      <c r="AJ102" s="445" t="n"/>
      <c r="AK102" s="44" t="n">
        <v>726</v>
      </c>
      <c r="AL102" s="450" t="n">
        <v>1</v>
      </c>
    </row>
    <row r="103" ht="17.1" customHeight="1" s="37">
      <c r="B103" s="546">
        <f>B102+1</f>
        <v/>
      </c>
      <c r="C103" s="450" t="inlineStr">
        <is>
          <t>sf21</t>
        </is>
      </c>
      <c r="D103" s="257">
        <f>SUM(Y103:AH103)</f>
        <v/>
      </c>
      <c r="E103" s="54">
        <f>'0₦'!AF106</f>
        <v/>
      </c>
      <c r="F103" s="41">
        <f>'0₦'!AG106</f>
        <v/>
      </c>
      <c r="H103" s="410">
        <f>D103</f>
        <v/>
      </c>
      <c r="J103" s="42">
        <f>D103-H103</f>
        <v/>
      </c>
      <c r="L103" s="42">
        <f>D103-SUM(H103,J103)</f>
        <v/>
      </c>
      <c r="N103" s="42">
        <f>D103-SUM(H103,J103,L103,)</f>
        <v/>
      </c>
      <c r="P103" s="42">
        <f>D103-SUM(H103,J103,L103,N103)</f>
        <v/>
      </c>
      <c r="R103" s="42">
        <f>D103-SUM(H103,J103,L103,N103,P103)</f>
        <v/>
      </c>
      <c r="T103" s="42">
        <f>D103-SUM(H103,J103,L103,N103,P103,R103)</f>
        <v/>
      </c>
      <c r="V103" s="42">
        <f>D103-SUM(H103,J103,L103,N103,P103,R103,T103)</f>
        <v/>
      </c>
      <c r="X103" s="56">
        <f>D103-SUM(H103,J103,L103,N103,P103,R103,T103,V103)</f>
        <v/>
      </c>
      <c r="Y103" s="57">
        <f>12*COUNT(G103,I103,K103,M103,O103,Q103,U103,W103,S103)</f>
        <v/>
      </c>
      <c r="Z103" s="40">
        <f>IF(AND('0₦'!T106&lt;&gt;0,'0₦'!T106&lt;&gt;""),9,0) + 0</f>
        <v/>
      </c>
      <c r="AA103" s="445">
        <f>'0₦'!BI106 + 0</f>
        <v/>
      </c>
      <c r="AB103" s="446">
        <f>'0₦'!BE106</f>
        <v/>
      </c>
      <c r="AC103" s="450">
        <f>'0₦'!BC106 + 0</f>
        <v/>
      </c>
      <c r="AD103" s="42">
        <f>'0₦'!BD106</f>
        <v/>
      </c>
      <c r="AE103" s="42">
        <f>'0₦'!AX106</f>
        <v/>
      </c>
      <c r="AF103" s="446">
        <f>hcbi!AA107+hcbi!Y107</f>
        <v/>
      </c>
      <c r="AG103" s="42">
        <f>'0₦'!AW106</f>
        <v/>
      </c>
      <c r="AH103" s="450">
        <f>0</f>
        <v/>
      </c>
      <c r="AK103" s="44" t="n">
        <v>690</v>
      </c>
      <c r="AL103" s="450" t="n">
        <v>345</v>
      </c>
    </row>
    <row r="104" ht="17.1" customHeight="1" s="37">
      <c r="B104" s="546">
        <f>B103+1</f>
        <v/>
      </c>
      <c r="C104" s="450" t="inlineStr">
        <is>
          <t>sf21</t>
        </is>
      </c>
      <c r="D104" s="257">
        <f>SUM(Y104:AH104)</f>
        <v/>
      </c>
      <c r="E104" s="54">
        <f>'0₦'!AF107</f>
        <v/>
      </c>
      <c r="F104" s="41">
        <f>'0₦'!AG107</f>
        <v/>
      </c>
      <c r="H104" s="410">
        <f>D104</f>
        <v/>
      </c>
      <c r="J104" s="42">
        <f>D104-H104</f>
        <v/>
      </c>
      <c r="L104" s="42">
        <f>D104-SUM(H104,J104)</f>
        <v/>
      </c>
      <c r="N104" s="42">
        <f>D104-SUM(H104,J104,L104,)</f>
        <v/>
      </c>
      <c r="P104" s="42">
        <f>D104-SUM(H104,J104,L104,N104)</f>
        <v/>
      </c>
      <c r="R104" s="42">
        <f>D104-SUM(H104,J104,L104,N104,P104)</f>
        <v/>
      </c>
      <c r="T104" s="42">
        <f>D104-SUM(H104,J104,L104,N104,P104,R104)</f>
        <v/>
      </c>
      <c r="V104" s="42">
        <f>D104-SUM(H104,J104,L104,N104,P104,R104,T104)</f>
        <v/>
      </c>
      <c r="X104" s="56">
        <f>D104-SUM(H104,J104,L104,N104,P104,R104,T104,V104)</f>
        <v/>
      </c>
      <c r="Y104" s="57">
        <f>12*COUNT(G104,I104,K104,M104,O104,Q104,U104,W104,S104)</f>
        <v/>
      </c>
      <c r="Z104" s="40">
        <f>IF(AND('0₦'!T107&lt;&gt;0,'0₦'!T107&lt;&gt;""),9,0) + 0</f>
        <v/>
      </c>
      <c r="AA104" s="445">
        <f>'0₦'!BI107 + 0</f>
        <v/>
      </c>
      <c r="AB104" s="446">
        <f>'0₦'!BE107</f>
        <v/>
      </c>
      <c r="AC104" s="450">
        <f>'0₦'!BC107 + 0</f>
        <v/>
      </c>
      <c r="AD104" s="42">
        <f>'0₦'!BD107</f>
        <v/>
      </c>
      <c r="AE104" s="42">
        <f>'0₦'!AX107</f>
        <v/>
      </c>
      <c r="AF104" s="446">
        <f>hcbi!AA108+hcbi!Y108</f>
        <v/>
      </c>
      <c r="AG104" s="42">
        <f>'0₦'!AW107</f>
        <v/>
      </c>
      <c r="AH104" s="450">
        <f>0</f>
        <v/>
      </c>
      <c r="AI104" s="445" t="n"/>
      <c r="AJ104" s="445" t="n"/>
      <c r="AK104" s="44" t="n">
        <v>694</v>
      </c>
      <c r="AL104" s="450" t="n">
        <v>376</v>
      </c>
      <c r="AN104" s="93" t="n"/>
    </row>
    <row r="105" ht="17.1" customHeight="1" s="37">
      <c r="B105" s="546">
        <f>B104+1</f>
        <v/>
      </c>
      <c r="C105" s="450" t="inlineStr">
        <is>
          <t>sf21</t>
        </is>
      </c>
      <c r="D105" s="257">
        <f>SUM(Y105:AH105)</f>
        <v/>
      </c>
      <c r="E105" s="54">
        <f>'0₦'!AF108</f>
        <v/>
      </c>
      <c r="F105" s="41">
        <f>'0₦'!AG108</f>
        <v/>
      </c>
      <c r="H105" s="410">
        <f>D105</f>
        <v/>
      </c>
      <c r="J105" s="42">
        <f>D105-H105</f>
        <v/>
      </c>
      <c r="L105" s="42">
        <f>D105-SUM(H105,J105)</f>
        <v/>
      </c>
      <c r="N105" s="42">
        <f>D105-SUM(H105,J105,L105,)</f>
        <v/>
      </c>
      <c r="P105" s="42">
        <f>D105-SUM(H105,J105,L105,N105)</f>
        <v/>
      </c>
      <c r="R105" s="42">
        <f>D105-SUM(H105,J105,L105,N105,P105)</f>
        <v/>
      </c>
      <c r="T105" s="42">
        <f>D105-SUM(H105,J105,L105,N105,P105,R105)</f>
        <v/>
      </c>
      <c r="V105" s="42">
        <f>D105-SUM(H105,J105,L105,N105,P105,R105,T105)</f>
        <v/>
      </c>
      <c r="X105" s="56">
        <f>D105-SUM(H105,J105,L105,N105,P105,R105,T105,V105)</f>
        <v/>
      </c>
      <c r="Y105" s="57">
        <f>12*COUNT(G105,I105,K105,M105,O105,Q105,U105,W105,S105)</f>
        <v/>
      </c>
      <c r="Z105" s="40">
        <f>IF(AND('0₦'!T108&lt;&gt;0,'0₦'!T108&lt;&gt;""),9,0) + 0</f>
        <v/>
      </c>
      <c r="AA105" s="445">
        <f>'0₦'!BI108 + 0</f>
        <v/>
      </c>
      <c r="AB105" s="446">
        <f>'0₦'!BE108</f>
        <v/>
      </c>
      <c r="AC105" s="450">
        <f>'0₦'!BC108 + 0</f>
        <v/>
      </c>
      <c r="AD105" s="42">
        <f>'0₦'!BD108</f>
        <v/>
      </c>
      <c r="AE105" s="42">
        <f>'0₦'!AX108</f>
        <v/>
      </c>
      <c r="AF105" s="446">
        <f>hcbi!AA109+hcbi!Y109</f>
        <v/>
      </c>
      <c r="AG105" s="42">
        <f>'0₦'!AW108</f>
        <v/>
      </c>
      <c r="AH105" s="450">
        <f>0</f>
        <v/>
      </c>
      <c r="AK105" s="44" t="n">
        <v>570</v>
      </c>
      <c r="AL105" s="450" t="n">
        <v>1</v>
      </c>
    </row>
    <row r="106" ht="17.1" customHeight="1" s="37">
      <c r="A106" s="547" t="n"/>
      <c r="B106" s="546">
        <f>B105+1</f>
        <v/>
      </c>
      <c r="C106" s="450" t="inlineStr">
        <is>
          <t>sf21</t>
        </is>
      </c>
      <c r="D106" s="257">
        <f>SUM(Y106:AH106)</f>
        <v/>
      </c>
      <c r="E106" s="54">
        <f>'0₦'!AF109</f>
        <v/>
      </c>
      <c r="F106" s="41">
        <f>'0₦'!AG109</f>
        <v/>
      </c>
      <c r="H106" s="410">
        <f>D106</f>
        <v/>
      </c>
      <c r="J106" s="42">
        <f>D106-H106</f>
        <v/>
      </c>
      <c r="L106" s="42">
        <f>D106-SUM(H106,J106)</f>
        <v/>
      </c>
      <c r="N106" s="42">
        <f>D106-SUM(H106,J106,L106,)</f>
        <v/>
      </c>
      <c r="P106" s="42">
        <f>D106-SUM(H106,J106,L106,N106)</f>
        <v/>
      </c>
      <c r="R106" s="42">
        <f>D106-SUM(H106,J106,L106,N106,P106)</f>
        <v/>
      </c>
      <c r="T106" s="42">
        <f>D106-SUM(H106,J106,L106,N106,P106,R106)</f>
        <v/>
      </c>
      <c r="V106" s="42">
        <f>D106-SUM(H106,J106,L106,N106,P106,R106,T106)</f>
        <v/>
      </c>
      <c r="X106" s="56">
        <f>D106-SUM(H106,J106,L106,N106,P106,R106,T106,V106)</f>
        <v/>
      </c>
      <c r="Y106" s="57">
        <f>12*COUNT(G106,I106,K106,M106,O106,Q106,U106,W106,S106)</f>
        <v/>
      </c>
      <c r="Z106" s="40">
        <f>IF(AND('0₦'!T109&lt;&gt;0,'0₦'!T109&lt;&gt;""),9,0) + 0</f>
        <v/>
      </c>
      <c r="AA106" s="445">
        <f>'0₦'!BI109 + 0</f>
        <v/>
      </c>
      <c r="AB106" s="446">
        <f>'0₦'!BE109</f>
        <v/>
      </c>
      <c r="AC106" s="450">
        <f>'0₦'!BC109 + 0</f>
        <v/>
      </c>
      <c r="AD106" s="42">
        <f>'0₦'!BD109</f>
        <v/>
      </c>
      <c r="AE106" s="42">
        <f>'0₦'!AX109</f>
        <v/>
      </c>
      <c r="AF106" s="446">
        <f>hcbi!AA110+hcbi!Y110</f>
        <v/>
      </c>
      <c r="AG106" s="42">
        <f>'0₦'!AW109</f>
        <v/>
      </c>
      <c r="AH106" s="450">
        <f>0</f>
        <v/>
      </c>
      <c r="AI106" s="445" t="n"/>
      <c r="AJ106" s="445" t="n"/>
      <c r="AK106" s="44" t="n">
        <v>295</v>
      </c>
      <c r="AL106" s="450" t="n">
        <v>1</v>
      </c>
    </row>
    <row r="107" ht="17.1" customHeight="1" s="37">
      <c r="A107" s="441">
        <f>A100+0.1</f>
        <v/>
      </c>
      <c r="B107" s="546">
        <f>B106+1</f>
        <v/>
      </c>
      <c r="C107" s="450" t="inlineStr">
        <is>
          <t>sf21</t>
        </is>
      </c>
      <c r="D107" s="257">
        <f>SUM(Y107:AH107)</f>
        <v/>
      </c>
      <c r="E107" s="54">
        <f>'0₦'!AF110</f>
        <v/>
      </c>
      <c r="F107" s="41">
        <f>'0₦'!AG110</f>
        <v/>
      </c>
      <c r="H107" s="410">
        <f>D107</f>
        <v/>
      </c>
      <c r="J107" s="42">
        <f>D107-H107</f>
        <v/>
      </c>
      <c r="L107" s="42">
        <f>D107-SUM(H107,J107)</f>
        <v/>
      </c>
      <c r="N107" s="42">
        <f>D107-SUM(H107,J107,L107,)</f>
        <v/>
      </c>
      <c r="P107" s="42">
        <f>D107-SUM(H107,J107,L107,N107)</f>
        <v/>
      </c>
      <c r="R107" s="42">
        <f>D107-SUM(H107,J107,L107,N107,P107)</f>
        <v/>
      </c>
      <c r="T107" s="42">
        <f>D107-SUM(H107,J107,L107,N107,P107,R107)</f>
        <v/>
      </c>
      <c r="V107" s="42">
        <f>D107-SUM(H107,J107,L107,N107,P107,R107,T107)</f>
        <v/>
      </c>
      <c r="X107" s="56">
        <f>D107-SUM(H107,J107,L107,N107,P107,R107,T107,V107)</f>
        <v/>
      </c>
      <c r="Y107" s="57">
        <f>12*COUNT(G107,I107,K107,M107,O107,Q107,U107,W107,S107)</f>
        <v/>
      </c>
      <c r="Z107" s="40">
        <f>IF(AND('0₦'!T110&lt;&gt;0,'0₦'!T110&lt;&gt;""),9,0) + 0</f>
        <v/>
      </c>
      <c r="AA107" s="445">
        <f>'0₦'!BI110 + 0</f>
        <v/>
      </c>
      <c r="AB107" s="446">
        <f>'0₦'!BE110</f>
        <v/>
      </c>
      <c r="AC107" s="450">
        <f>'0₦'!BC110 + 0</f>
        <v/>
      </c>
      <c r="AD107" s="42">
        <f>'0₦'!BD110</f>
        <v/>
      </c>
      <c r="AE107" s="42">
        <f>'0₦'!AX110</f>
        <v/>
      </c>
      <c r="AF107" s="446">
        <f>hcbi!AA111+hcbi!Y111</f>
        <v/>
      </c>
      <c r="AG107" s="42">
        <f>'0₦'!AW110</f>
        <v/>
      </c>
      <c r="AH107" s="450">
        <f>0</f>
        <v/>
      </c>
      <c r="AK107" s="44" t="n">
        <v>758</v>
      </c>
      <c r="AL107" s="450" t="n">
        <v>76</v>
      </c>
    </row>
    <row r="108" ht="17.1" customHeight="1" s="37">
      <c r="B108" s="546">
        <f>B107+1</f>
        <v/>
      </c>
      <c r="C108" s="450" t="inlineStr">
        <is>
          <t>sf21</t>
        </is>
      </c>
      <c r="D108" s="257">
        <f>SUM(Y108:AH108)</f>
        <v/>
      </c>
      <c r="E108" s="54">
        <f>'0₦'!AF111</f>
        <v/>
      </c>
      <c r="F108" s="41">
        <f>'0₦'!AG111</f>
        <v/>
      </c>
      <c r="H108" s="410">
        <f>D108</f>
        <v/>
      </c>
      <c r="J108" s="42">
        <f>D108-H108</f>
        <v/>
      </c>
      <c r="L108" s="42">
        <f>D108-SUM(H108,J108)</f>
        <v/>
      </c>
      <c r="N108" s="42">
        <f>D108-SUM(H108,J108,L108,)</f>
        <v/>
      </c>
      <c r="P108" s="42">
        <f>D108-SUM(H108,J108,L108,N108)</f>
        <v/>
      </c>
      <c r="R108" s="42">
        <f>D108-SUM(H108,J108,L108,N108,P108)</f>
        <v/>
      </c>
      <c r="T108" s="42">
        <f>D108-SUM(H108,J108,L108,N108,P108,R108)</f>
        <v/>
      </c>
      <c r="V108" s="42">
        <f>D108-SUM(H108,J108,L108,N108,P108,R108,T108)</f>
        <v/>
      </c>
      <c r="X108" s="56">
        <f>D108-SUM(H108,J108,L108,N108,P108,R108,T108,V108)</f>
        <v/>
      </c>
      <c r="Y108" s="57">
        <f>12*COUNT(G108,I108,K108,M108,O108,Q108,U108,W108,S108)</f>
        <v/>
      </c>
      <c r="Z108" s="40">
        <f>IF(AND('0₦'!T111&lt;&gt;0,'0₦'!T111&lt;&gt;""),9,0) + 0</f>
        <v/>
      </c>
      <c r="AA108" s="445">
        <f>'0₦'!BI111 + 0</f>
        <v/>
      </c>
      <c r="AB108" s="446">
        <f>'0₦'!BE111</f>
        <v/>
      </c>
      <c r="AC108" s="450">
        <f>'0₦'!BC111 + 0</f>
        <v/>
      </c>
      <c r="AD108" s="42">
        <f>'0₦'!BD111</f>
        <v/>
      </c>
      <c r="AE108" s="42">
        <f>'0₦'!AX111</f>
        <v/>
      </c>
      <c r="AF108" s="446">
        <f>hcbi!AA112+hcbi!Y112</f>
        <v/>
      </c>
      <c r="AG108" s="42">
        <f>'0₦'!AW111</f>
        <v/>
      </c>
      <c r="AH108" s="450">
        <f>0</f>
        <v/>
      </c>
      <c r="AI108" s="445" t="n"/>
      <c r="AJ108" s="445" t="n"/>
      <c r="AK108" s="44" t="n">
        <v>780</v>
      </c>
      <c r="AL108" s="450" t="n">
        <v>315</v>
      </c>
    </row>
    <row r="109" ht="17.1" customHeight="1" s="37">
      <c r="B109" s="546">
        <f>B108+1</f>
        <v/>
      </c>
      <c r="C109" s="450" t="inlineStr">
        <is>
          <t>sf21</t>
        </is>
      </c>
      <c r="D109" s="257">
        <f>SUM(Y109:AH109)</f>
        <v/>
      </c>
      <c r="E109" s="54">
        <f>'0₦'!AF112</f>
        <v/>
      </c>
      <c r="F109" s="41">
        <f>'0₦'!AG112</f>
        <v/>
      </c>
      <c r="H109" s="410">
        <f>D109</f>
        <v/>
      </c>
      <c r="J109" s="42">
        <f>D109-H109</f>
        <v/>
      </c>
      <c r="L109" s="42">
        <f>D109-SUM(H109,J109)</f>
        <v/>
      </c>
      <c r="N109" s="42">
        <f>D109-SUM(H109,J109,L109,)</f>
        <v/>
      </c>
      <c r="P109" s="42">
        <f>D109-SUM(H109,J109,L109,N109)</f>
        <v/>
      </c>
      <c r="R109" s="42">
        <f>D109-SUM(H109,J109,L109,N109,P109)</f>
        <v/>
      </c>
      <c r="T109" s="42">
        <f>D109-SUM(H109,J109,L109,N109,P109,R109)</f>
        <v/>
      </c>
      <c r="V109" s="42">
        <f>D109-SUM(H109,J109,L109,N109,P109,R109,T109)</f>
        <v/>
      </c>
      <c r="X109" s="56">
        <f>D109-SUM(H109,J109,L109,N109,P109,R109,T109,V109)</f>
        <v/>
      </c>
      <c r="Y109" s="57">
        <f>12*COUNT(G109,I109,K109,M109,O109,Q109,U109,W109,S109)</f>
        <v/>
      </c>
      <c r="Z109" s="40">
        <f>IF(AND('0₦'!T112&lt;&gt;0,'0₦'!T112&lt;&gt;""),9,0) + 0</f>
        <v/>
      </c>
      <c r="AA109" s="445">
        <f>'0₦'!BI112 + 0</f>
        <v/>
      </c>
      <c r="AB109" s="446">
        <f>'0₦'!BE112</f>
        <v/>
      </c>
      <c r="AC109" s="450">
        <f>'0₦'!BC112 + 0</f>
        <v/>
      </c>
      <c r="AD109" s="42">
        <f>'0₦'!BD112</f>
        <v/>
      </c>
      <c r="AE109" s="42">
        <f>'0₦'!AX112</f>
        <v/>
      </c>
      <c r="AF109" s="446">
        <f>hcbi!AA113+hcbi!Y113</f>
        <v/>
      </c>
      <c r="AG109" s="42">
        <f>'0₦'!AW112</f>
        <v/>
      </c>
      <c r="AH109" s="450">
        <f>0</f>
        <v/>
      </c>
      <c r="AK109" s="44" t="n">
        <v>720</v>
      </c>
      <c r="AL109" s="450" t="n">
        <v>1</v>
      </c>
    </row>
    <row r="110" ht="17.1" customHeight="1" s="37">
      <c r="B110" s="546">
        <f>B109+1</f>
        <v/>
      </c>
      <c r="C110" s="450" t="inlineStr">
        <is>
          <t>sf21</t>
        </is>
      </c>
      <c r="D110" s="257">
        <f>SUM(Y110:AH110)</f>
        <v/>
      </c>
      <c r="E110" s="54">
        <f>'0₦'!AF113</f>
        <v/>
      </c>
      <c r="F110" s="41">
        <f>'0₦'!AG113</f>
        <v/>
      </c>
      <c r="H110" s="410">
        <f>D110</f>
        <v/>
      </c>
      <c r="J110" s="42">
        <f>D110-H110</f>
        <v/>
      </c>
      <c r="L110" s="42">
        <f>D110-SUM(H110,J110)</f>
        <v/>
      </c>
      <c r="N110" s="42">
        <f>D110-SUM(H110,J110,L110,)</f>
        <v/>
      </c>
      <c r="P110" s="42">
        <f>D110-SUM(H110,J110,L110,N110)</f>
        <v/>
      </c>
      <c r="R110" s="42">
        <f>D110-SUM(H110,J110,L110,N110,P110)</f>
        <v/>
      </c>
      <c r="T110" s="42">
        <f>D110-SUM(H110,J110,L110,N110,P110,R110)</f>
        <v/>
      </c>
      <c r="V110" s="42">
        <f>D110-SUM(H110,J110,L110,N110,P110,R110,T110)</f>
        <v/>
      </c>
      <c r="X110" s="56">
        <f>D110-SUM(H110,J110,L110,N110,P110,R110,T110,V110)</f>
        <v/>
      </c>
      <c r="Y110" s="57">
        <f>12*COUNT(G110,I110,K110,M110,O110,Q110,U110,W110,S110)</f>
        <v/>
      </c>
      <c r="Z110" s="40">
        <f>IF(AND('0₦'!T113&lt;&gt;0,'0₦'!T113&lt;&gt;""),9,0) + 0</f>
        <v/>
      </c>
      <c r="AA110" s="445">
        <f>'0₦'!BI113 + 0</f>
        <v/>
      </c>
      <c r="AB110" s="446">
        <f>'0₦'!BE113</f>
        <v/>
      </c>
      <c r="AC110" s="450">
        <f>'0₦'!BC113 + 0</f>
        <v/>
      </c>
      <c r="AD110" s="42">
        <f>'0₦'!BD113</f>
        <v/>
      </c>
      <c r="AE110" s="42">
        <f>'0₦'!AX113</f>
        <v/>
      </c>
      <c r="AF110" s="446">
        <f>hcbi!AA114+hcbi!Y114</f>
        <v/>
      </c>
      <c r="AG110" s="42">
        <f>'0₦'!AW113</f>
        <v/>
      </c>
      <c r="AH110" s="450">
        <f>0</f>
        <v/>
      </c>
      <c r="AI110" s="445" t="n"/>
      <c r="AJ110" s="445" t="n"/>
      <c r="AK110" s="450" t="n">
        <v>726</v>
      </c>
      <c r="AL110" s="450" t="n">
        <v>423</v>
      </c>
    </row>
    <row r="111" ht="17.1" customHeight="1" s="37">
      <c r="B111" s="546">
        <f>B110+1</f>
        <v/>
      </c>
      <c r="C111" s="450" t="inlineStr">
        <is>
          <t>sf21</t>
        </is>
      </c>
      <c r="D111" s="257">
        <f>SUM(Y111:AH111)</f>
        <v/>
      </c>
      <c r="E111" s="54">
        <f>'0₦'!AF114</f>
        <v/>
      </c>
      <c r="F111" s="41">
        <f>'0₦'!AG114</f>
        <v/>
      </c>
      <c r="H111" s="410">
        <f>D111</f>
        <v/>
      </c>
      <c r="J111" s="42">
        <f>D111-H111</f>
        <v/>
      </c>
      <c r="L111" s="42">
        <f>D111-SUM(H111,J111)</f>
        <v/>
      </c>
      <c r="N111" s="42">
        <f>D111-SUM(H111,J111,L111,)</f>
        <v/>
      </c>
      <c r="P111" s="42">
        <f>D111-SUM(H111,J111,L111,N111)</f>
        <v/>
      </c>
      <c r="R111" s="42">
        <f>D111-SUM(H111,J111,L111,N111,P111)</f>
        <v/>
      </c>
      <c r="T111" s="42">
        <f>D111-SUM(H111,J111,L111,N111,P111,R111)</f>
        <v/>
      </c>
      <c r="V111" s="42">
        <f>D111-SUM(H111,J111,L111,N111,P111,R111,T111)</f>
        <v/>
      </c>
      <c r="X111" s="56">
        <f>D111-SUM(H111,J111,L111,N111,P111,R111,T111,V111)</f>
        <v/>
      </c>
      <c r="Y111" s="57">
        <f>12*COUNT(G111,I111,K111,M111,O111,Q111,U111,W111,S111)</f>
        <v/>
      </c>
      <c r="Z111" s="40">
        <f>IF(AND('0₦'!T114&lt;&gt;0,'0₦'!T114&lt;&gt;""),9,0) + 0</f>
        <v/>
      </c>
      <c r="AA111" s="445">
        <f>'0₦'!BI114 + 0</f>
        <v/>
      </c>
      <c r="AB111" s="446">
        <f>'0₦'!BE114</f>
        <v/>
      </c>
      <c r="AC111" s="450">
        <f>'0₦'!BC114 + 0</f>
        <v/>
      </c>
      <c r="AD111" s="42">
        <f>'0₦'!BD114</f>
        <v/>
      </c>
      <c r="AE111" s="42">
        <f>'0₦'!AX114</f>
        <v/>
      </c>
      <c r="AF111" s="446">
        <f>hcbi!AA115+hcbi!Y115 + 10 + 20</f>
        <v/>
      </c>
      <c r="AG111" s="42">
        <f>'0₦'!AW114</f>
        <v/>
      </c>
      <c r="AH111" s="450">
        <f>0</f>
        <v/>
      </c>
      <c r="AK111" s="44" t="n">
        <v>763</v>
      </c>
      <c r="AL111" s="450" t="n">
        <v>311</v>
      </c>
    </row>
    <row r="112" ht="17.1" customHeight="1" s="37">
      <c r="B112" s="546">
        <f>B111+1</f>
        <v/>
      </c>
      <c r="C112" s="450" t="inlineStr">
        <is>
          <t>sf21</t>
        </is>
      </c>
      <c r="D112" s="257">
        <f>SUM(Y112:AH112)</f>
        <v/>
      </c>
      <c r="E112" s="54">
        <f>'0₦'!AF115</f>
        <v/>
      </c>
      <c r="F112" s="41">
        <f>'0₦'!AG115</f>
        <v/>
      </c>
      <c r="H112" s="410">
        <f>D112</f>
        <v/>
      </c>
      <c r="J112" s="42">
        <f>D112-H112</f>
        <v/>
      </c>
      <c r="L112" s="42">
        <f>D112-SUM(H112,J112)</f>
        <v/>
      </c>
      <c r="N112" s="42">
        <f>D112-SUM(H112,J112,L112,)</f>
        <v/>
      </c>
      <c r="P112" s="42">
        <f>D112-SUM(H112,J112,L112,N112)</f>
        <v/>
      </c>
      <c r="R112" s="42">
        <f>D112-SUM(H112,J112,L112,N112,P112)</f>
        <v/>
      </c>
      <c r="T112" s="42">
        <f>D112-SUM(H112,J112,L112,N112,P112,R112)</f>
        <v/>
      </c>
      <c r="V112" s="42">
        <f>D112-SUM(H112,J112,L112,N112,P112,R112,T112)</f>
        <v/>
      </c>
      <c r="X112" s="56">
        <f>D112-SUM(H112,J112,L112,N112,P112,R112,T112,V112)</f>
        <v/>
      </c>
      <c r="Y112" s="57">
        <f>12*COUNT(G112,I112,K112,M112,O112,Q112,U112,W112,S112)</f>
        <v/>
      </c>
      <c r="Z112" s="40">
        <f>IF(AND('0₦'!T115&lt;&gt;0,'0₦'!T115&lt;&gt;""),9,0) + 0</f>
        <v/>
      </c>
      <c r="AA112" s="445">
        <f>'0₦'!BI115 + 0</f>
        <v/>
      </c>
      <c r="AB112" s="446">
        <f>'0₦'!BE115</f>
        <v/>
      </c>
      <c r="AC112" s="450">
        <f>'0₦'!BC115 + 0</f>
        <v/>
      </c>
      <c r="AD112" s="42">
        <f>'0₦'!BD115</f>
        <v/>
      </c>
      <c r="AE112" s="42">
        <f>'0₦'!AX115</f>
        <v/>
      </c>
      <c r="AF112" s="446">
        <f>hcbi!AA116+hcbi!Y116</f>
        <v/>
      </c>
      <c r="AG112" s="42">
        <f>'0₦'!AW115</f>
        <v/>
      </c>
      <c r="AH112" s="450">
        <f>0</f>
        <v/>
      </c>
      <c r="AI112" s="449" t="n"/>
      <c r="AJ112" s="445" t="n"/>
      <c r="AK112" s="44" t="n">
        <v>667</v>
      </c>
      <c r="AL112" s="450" t="n">
        <v>347</v>
      </c>
    </row>
    <row r="113" ht="17.1" customHeight="1" s="37">
      <c r="A113" s="547" t="n"/>
      <c r="B113" s="546">
        <f>B112+1</f>
        <v/>
      </c>
      <c r="C113" s="450" t="inlineStr">
        <is>
          <t>sf21</t>
        </is>
      </c>
      <c r="D113" s="257">
        <f>SUM(Y113:AH113)</f>
        <v/>
      </c>
      <c r="E113" s="54">
        <f>'0₦'!AF116</f>
        <v/>
      </c>
      <c r="F113" s="41">
        <f>'0₦'!AG116</f>
        <v/>
      </c>
      <c r="H113" s="410">
        <f>D113</f>
        <v/>
      </c>
      <c r="J113" s="42">
        <f>D113-H113</f>
        <v/>
      </c>
      <c r="L113" s="42">
        <f>D113-SUM(H113,J113)</f>
        <v/>
      </c>
      <c r="N113" s="42">
        <f>D113-SUM(H113,J113,L113,)</f>
        <v/>
      </c>
      <c r="P113" s="42">
        <f>D113-SUM(H113,J113,L113,N113)</f>
        <v/>
      </c>
      <c r="R113" s="42">
        <f>D113-SUM(H113,J113,L113,N113,P113)</f>
        <v/>
      </c>
      <c r="T113" s="42">
        <f>D113-SUM(H113,J113,L113,N113,P113,R113)</f>
        <v/>
      </c>
      <c r="V113" s="42">
        <f>D113-SUM(H113,J113,L113,N113,P113,R113,T113)</f>
        <v/>
      </c>
      <c r="X113" s="56">
        <f>D113-SUM(H113,J113,L113,N113,P113,R113,T113,V113)</f>
        <v/>
      </c>
      <c r="Y113" s="57">
        <f>12*COUNT(G113,I113,K113,M113,O113,Q113,U113,W113,S113)</f>
        <v/>
      </c>
      <c r="Z113" s="40">
        <f>IF(AND('0₦'!T116&lt;&gt;0,'0₦'!T116&lt;&gt;""),9,0) + 0</f>
        <v/>
      </c>
      <c r="AA113" s="445">
        <f>'0₦'!BI116 + 0</f>
        <v/>
      </c>
      <c r="AB113" s="446">
        <f>'0₦'!BE116</f>
        <v/>
      </c>
      <c r="AC113" s="450">
        <f>'0₦'!BC116 + 0</f>
        <v/>
      </c>
      <c r="AD113" s="42">
        <f>'0₦'!BD116</f>
        <v/>
      </c>
      <c r="AE113" s="42">
        <f>'0₦'!AX116</f>
        <v/>
      </c>
      <c r="AF113" s="446">
        <f>hcbi!AA117+hcbi!Y117</f>
        <v/>
      </c>
      <c r="AG113" s="42">
        <f>'0₦'!AW116</f>
        <v/>
      </c>
      <c r="AH113" s="450">
        <f>0</f>
        <v/>
      </c>
      <c r="AI113" s="184" t="n"/>
      <c r="AK113" s="44" t="n">
        <v>689</v>
      </c>
      <c r="AL113" s="450" t="n">
        <v>275</v>
      </c>
    </row>
    <row r="114" ht="17.1" customHeight="1" s="37">
      <c r="A114" s="441">
        <f>A107+0.1</f>
        <v/>
      </c>
      <c r="B114" s="546">
        <f>B113+1</f>
        <v/>
      </c>
      <c r="C114" s="450" t="inlineStr">
        <is>
          <t>sf21</t>
        </is>
      </c>
      <c r="D114" s="257">
        <f>SUM(Y114:AH114)</f>
        <v/>
      </c>
      <c r="E114" s="54">
        <f>'0₦'!AF117</f>
        <v/>
      </c>
      <c r="F114" s="41">
        <f>'0₦'!AG117</f>
        <v/>
      </c>
      <c r="H114" s="410">
        <f>D114</f>
        <v/>
      </c>
      <c r="J114" s="42">
        <f>D114-H114</f>
        <v/>
      </c>
      <c r="L114" s="42">
        <f>D114-SUM(H114,J114)</f>
        <v/>
      </c>
      <c r="N114" s="42">
        <f>D114-SUM(H114,J114,L114,)</f>
        <v/>
      </c>
      <c r="P114" s="42">
        <f>D114-SUM(H114,J114,L114,N114)</f>
        <v/>
      </c>
      <c r="R114" s="42">
        <f>D114-SUM(H114,J114,L114,N114,P114)</f>
        <v/>
      </c>
      <c r="T114" s="42">
        <f>D114-SUM(H114,J114,L114,N114,P114,R114)</f>
        <v/>
      </c>
      <c r="V114" s="42">
        <f>D114-SUM(H114,J114,L114,N114,P114,R114,T114)</f>
        <v/>
      </c>
      <c r="X114" s="56">
        <f>D114-SUM(H114,J114,L114,N114,P114,R114,T114,V114)</f>
        <v/>
      </c>
      <c r="Y114" s="57">
        <f>12*COUNT(G114,I114,K114,M114,O114,Q114,U114,W114,S114)</f>
        <v/>
      </c>
      <c r="Z114" s="40">
        <f>IF(AND('0₦'!T117&lt;&gt;0,'0₦'!T117&lt;&gt;""),9,0) + 0</f>
        <v/>
      </c>
      <c r="AA114" s="445">
        <f>'0₦'!BI117 + 0</f>
        <v/>
      </c>
      <c r="AB114" s="446">
        <f>'0₦'!BE117</f>
        <v/>
      </c>
      <c r="AC114" s="450">
        <f>'0₦'!BC117 + 0</f>
        <v/>
      </c>
      <c r="AD114" s="42">
        <f>'0₦'!BD117</f>
        <v/>
      </c>
      <c r="AE114" s="42">
        <f>'0₦'!AX117</f>
        <v/>
      </c>
      <c r="AF114" s="446">
        <f>hcbi!AA118+hcbi!Y118</f>
        <v/>
      </c>
      <c r="AG114" s="42">
        <f>'0₦'!AW117</f>
        <v/>
      </c>
      <c r="AH114" s="450">
        <f>0</f>
        <v/>
      </c>
      <c r="AI114" s="445" t="n"/>
      <c r="AJ114" s="445" t="n"/>
      <c r="AK114" s="44" t="n">
        <v>750</v>
      </c>
      <c r="AL114" s="450" t="n">
        <v>229</v>
      </c>
    </row>
    <row r="115" ht="17.1" customHeight="1" s="37">
      <c r="B115" s="546">
        <f>B114+1</f>
        <v/>
      </c>
      <c r="C115" s="450" t="inlineStr">
        <is>
          <t>sf21</t>
        </is>
      </c>
      <c r="D115" s="257">
        <f>SUM(Y115:AH115)</f>
        <v/>
      </c>
      <c r="E115" s="54">
        <f>'0₦'!AF118</f>
        <v/>
      </c>
      <c r="F115" s="41">
        <f>'0₦'!AG118</f>
        <v/>
      </c>
      <c r="H115" s="410">
        <f>D115</f>
        <v/>
      </c>
      <c r="J115" s="42">
        <f>D115-H115</f>
        <v/>
      </c>
      <c r="L115" s="42">
        <f>D115-SUM(H115,J115)</f>
        <v/>
      </c>
      <c r="N115" s="42">
        <f>D115-SUM(H115,J115,L115,)</f>
        <v/>
      </c>
      <c r="P115" s="42">
        <f>D115-SUM(H115,J115,L115,N115)</f>
        <v/>
      </c>
      <c r="R115" s="42">
        <f>D115-SUM(H115,J115,L115,N115,P115)</f>
        <v/>
      </c>
      <c r="T115" s="42">
        <f>D115-SUM(H115,J115,L115,N115,P115,R115)</f>
        <v/>
      </c>
      <c r="V115" s="42">
        <f>D115-SUM(H115,J115,L115,N115,P115,R115,T115)</f>
        <v/>
      </c>
      <c r="X115" s="56">
        <f>D115-SUM(H115,J115,L115,N115,P115,R115,T115,V115)</f>
        <v/>
      </c>
      <c r="Y115" s="57">
        <f>12*COUNT(G115,I115,K115,M115,O115,Q115,U115,W115,S115)</f>
        <v/>
      </c>
      <c r="Z115" s="40">
        <f>IF(AND('0₦'!T118&lt;&gt;0,'0₦'!T118&lt;&gt;""),9,0) + 0</f>
        <v/>
      </c>
      <c r="AA115" s="445">
        <f>'0₦'!BI118 + 0</f>
        <v/>
      </c>
      <c r="AB115" s="446">
        <f>'0₦'!BE118</f>
        <v/>
      </c>
      <c r="AC115" s="450">
        <f>'0₦'!BC118 + 0</f>
        <v/>
      </c>
      <c r="AD115" s="42">
        <f>'0₦'!BD118</f>
        <v/>
      </c>
      <c r="AE115" s="42">
        <f>'0₦'!AX118</f>
        <v/>
      </c>
      <c r="AF115" s="446">
        <f>hcbi!AA119+hcbi!Y119</f>
        <v/>
      </c>
      <c r="AG115" s="42">
        <f>'0₦'!AW118</f>
        <v/>
      </c>
      <c r="AH115" s="450">
        <f>0</f>
        <v/>
      </c>
      <c r="AK115" s="44" t="n">
        <v>768</v>
      </c>
      <c r="AL115" s="450" t="n">
        <v>307</v>
      </c>
    </row>
    <row r="116" ht="17.1" customHeight="1" s="37">
      <c r="B116" s="546">
        <f>B115+1</f>
        <v/>
      </c>
      <c r="C116" s="450" t="inlineStr">
        <is>
          <t>sf21</t>
        </is>
      </c>
      <c r="D116" s="257">
        <f>SUM(Y116:AH116)</f>
        <v/>
      </c>
      <c r="E116" s="54">
        <f>'0₦'!AF119</f>
        <v/>
      </c>
      <c r="F116" s="41">
        <f>'0₦'!AG119</f>
        <v/>
      </c>
      <c r="H116" s="410">
        <f>D116</f>
        <v/>
      </c>
      <c r="J116" s="42">
        <f>D116-H116</f>
        <v/>
      </c>
      <c r="L116" s="42">
        <f>D116-SUM(H116,J116)</f>
        <v/>
      </c>
      <c r="N116" s="42">
        <f>D116-SUM(H116,J116,L116,)</f>
        <v/>
      </c>
      <c r="P116" s="42">
        <f>D116-SUM(H116,J116,L116,N116)</f>
        <v/>
      </c>
      <c r="R116" s="42">
        <f>D116-SUM(H116,J116,L116,N116,P116)</f>
        <v/>
      </c>
      <c r="T116" s="42">
        <f>D116-SUM(H116,J116,L116,N116,P116,R116)</f>
        <v/>
      </c>
      <c r="V116" s="42">
        <f>D116-SUM(H116,J116,L116,N116,P116,R116,T116)</f>
        <v/>
      </c>
      <c r="X116" s="56">
        <f>D116-SUM(H116,J116,L116,N116,P116,R116,T116,V116)</f>
        <v/>
      </c>
      <c r="Y116" s="57">
        <f>12*COUNT(G116,I116,K116,M116,O116,Q116,U116,W116,S116)</f>
        <v/>
      </c>
      <c r="Z116" s="40">
        <f>IF(AND('0₦'!T119&lt;&gt;0,'0₦'!T119&lt;&gt;""),9,0) + 0</f>
        <v/>
      </c>
      <c r="AA116" s="445">
        <f>'0₦'!BI119 + 0</f>
        <v/>
      </c>
      <c r="AB116" s="446">
        <f>'0₦'!BE119</f>
        <v/>
      </c>
      <c r="AC116" s="450">
        <f>'0₦'!BC119 + 0</f>
        <v/>
      </c>
      <c r="AD116" s="42">
        <f>'0₦'!BD119</f>
        <v/>
      </c>
      <c r="AE116" s="42">
        <f>'0₦'!AX119</f>
        <v/>
      </c>
      <c r="AF116" s="446">
        <f>hcbi!AA120+hcbi!Y120</f>
        <v/>
      </c>
      <c r="AG116" s="42">
        <f>'0₦'!AW119</f>
        <v/>
      </c>
      <c r="AH116" s="450">
        <f>0</f>
        <v/>
      </c>
      <c r="AI116" s="445" t="n"/>
      <c r="AJ116" s="445" t="n"/>
      <c r="AK116" s="44" t="n">
        <v>614</v>
      </c>
      <c r="AL116" s="450" t="n">
        <v>457</v>
      </c>
    </row>
    <row r="117" ht="17.1" customHeight="1" s="37">
      <c r="B117" s="546">
        <f>B116+1</f>
        <v/>
      </c>
      <c r="C117" s="450" t="inlineStr">
        <is>
          <t>sf21</t>
        </is>
      </c>
      <c r="D117" s="257">
        <f>SUM(Y117:AH117)</f>
        <v/>
      </c>
      <c r="E117" s="54">
        <f>'0₦'!AF120</f>
        <v/>
      </c>
      <c r="F117" s="41">
        <f>'0₦'!AG120</f>
        <v/>
      </c>
      <c r="H117" s="410">
        <f>D117</f>
        <v/>
      </c>
      <c r="J117" s="42">
        <f>D117-H117</f>
        <v/>
      </c>
      <c r="L117" s="42">
        <f>D117-SUM(H117,J117)</f>
        <v/>
      </c>
      <c r="N117" s="42">
        <f>D117-SUM(H117,J117,L117,)</f>
        <v/>
      </c>
      <c r="P117" s="42">
        <f>D117-SUM(H117,J117,L117,N117)</f>
        <v/>
      </c>
      <c r="R117" s="42">
        <f>D117-SUM(H117,J117,L117,N117,P117)</f>
        <v/>
      </c>
      <c r="T117" s="42">
        <f>D117-SUM(H117,J117,L117,N117,P117,R117)</f>
        <v/>
      </c>
      <c r="V117" s="42">
        <f>D117-SUM(H117,J117,L117,N117,P117,R117,T117)</f>
        <v/>
      </c>
      <c r="X117" s="56">
        <f>D117-SUM(H117,J117,L117,N117,P117,R117,T117,V117)</f>
        <v/>
      </c>
      <c r="Y117" s="57">
        <f>12*COUNT(G117,I117,K117,M117,O117,Q117,U117,W117,S117)</f>
        <v/>
      </c>
      <c r="Z117" s="40">
        <f>IF(AND('0₦'!T120&lt;&gt;0,'0₦'!T120&lt;&gt;""),9,0) + 0</f>
        <v/>
      </c>
      <c r="AA117" s="445">
        <f>'0₦'!BI120 + 0</f>
        <v/>
      </c>
      <c r="AB117" s="446">
        <f>'0₦'!BE120</f>
        <v/>
      </c>
      <c r="AC117" s="450">
        <f>'0₦'!BC120 + 0</f>
        <v/>
      </c>
      <c r="AD117" s="42">
        <f>'0₦'!BD120</f>
        <v/>
      </c>
      <c r="AE117" s="42">
        <f>'0₦'!AX120</f>
        <v/>
      </c>
      <c r="AF117" s="446">
        <f>hcbi!AA121+hcbi!Y121</f>
        <v/>
      </c>
      <c r="AG117" s="42">
        <f>'0₦'!AW120</f>
        <v/>
      </c>
      <c r="AH117" s="450">
        <f>0</f>
        <v/>
      </c>
      <c r="AK117" s="44" t="n">
        <v>852</v>
      </c>
      <c r="AL117" s="450" t="n">
        <v>277</v>
      </c>
    </row>
    <row r="118" ht="17.1" customHeight="1" s="37">
      <c r="B118" s="546">
        <f>B117+1</f>
        <v/>
      </c>
      <c r="C118" s="450" t="inlineStr">
        <is>
          <t>sf21</t>
        </is>
      </c>
      <c r="D118" s="257">
        <f>SUM(Y118:AH118)</f>
        <v/>
      </c>
      <c r="E118" s="54">
        <f>'0₦'!AF121</f>
        <v/>
      </c>
      <c r="F118" s="41">
        <f>'0₦'!AG121</f>
        <v/>
      </c>
      <c r="H118" s="410">
        <f>D118</f>
        <v/>
      </c>
      <c r="J118" s="42">
        <f>D118-H118</f>
        <v/>
      </c>
      <c r="L118" s="42">
        <f>D118-SUM(H118,J118)</f>
        <v/>
      </c>
      <c r="N118" s="42">
        <f>D118-SUM(H118,J118,L118,)</f>
        <v/>
      </c>
      <c r="P118" s="42">
        <f>D118-SUM(H118,J118,L118,N118)</f>
        <v/>
      </c>
      <c r="R118" s="42">
        <f>D118-SUM(H118,J118,L118,N118,P118)</f>
        <v/>
      </c>
      <c r="T118" s="42">
        <f>D118-SUM(H118,J118,L118,N118,P118,R118)</f>
        <v/>
      </c>
      <c r="V118" s="42">
        <f>D118-SUM(H118,J118,L118,N118,P118,R118,T118)</f>
        <v/>
      </c>
      <c r="X118" s="56">
        <f>D118-SUM(H118,J118,L118,N118,P118,R118,T118,V118)</f>
        <v/>
      </c>
      <c r="Y118" s="57">
        <f>12*COUNT(G118,I118,K118,M118,O118,Q118,U118,W118,S118)</f>
        <v/>
      </c>
      <c r="Z118" s="40">
        <f>IF(AND('0₦'!T121&lt;&gt;0,'0₦'!T121&lt;&gt;""),9,0) + 0</f>
        <v/>
      </c>
      <c r="AA118" s="445">
        <f>'0₦'!BI121 + 0</f>
        <v/>
      </c>
      <c r="AB118" s="446">
        <f>'0₦'!BE121</f>
        <v/>
      </c>
      <c r="AC118" s="450">
        <f>'0₦'!BC121 + 0</f>
        <v/>
      </c>
      <c r="AD118" s="42">
        <f>'0₦'!BD121</f>
        <v/>
      </c>
      <c r="AE118" s="42">
        <f>'0₦'!AX121</f>
        <v/>
      </c>
      <c r="AF118" s="446">
        <f>hcbi!AA122+hcbi!Y122+20+10</f>
        <v/>
      </c>
      <c r="AG118" s="42">
        <f>'0₦'!AW121</f>
        <v/>
      </c>
      <c r="AH118" s="450">
        <f>0</f>
        <v/>
      </c>
      <c r="AI118" s="445" t="n"/>
      <c r="AJ118" s="445" t="n"/>
      <c r="AK118" s="44" t="n">
        <v>701</v>
      </c>
      <c r="AL118" s="450" t="n">
        <v>1</v>
      </c>
    </row>
    <row r="119" ht="17.1" customHeight="1" s="37">
      <c r="B119" s="546">
        <f>B118+1</f>
        <v/>
      </c>
      <c r="C119" s="450" t="inlineStr">
        <is>
          <t>sf21</t>
        </is>
      </c>
      <c r="D119" s="257">
        <f>SUM(Y119:AH119)</f>
        <v/>
      </c>
      <c r="E119" s="54">
        <f>'0₦'!AF122</f>
        <v/>
      </c>
      <c r="F119" s="41">
        <f>'0₦'!AG122</f>
        <v/>
      </c>
      <c r="H119" s="410">
        <f>D119</f>
        <v/>
      </c>
      <c r="J119" s="42">
        <f>D119-H119</f>
        <v/>
      </c>
      <c r="L119" s="42">
        <f>D119-SUM(H119,J119)</f>
        <v/>
      </c>
      <c r="N119" s="42">
        <f>D119-SUM(H119,J119,L119,)</f>
        <v/>
      </c>
      <c r="P119" s="42">
        <f>D119-SUM(H119,J119,L119,N119)</f>
        <v/>
      </c>
      <c r="R119" s="42">
        <f>D119-SUM(H119,J119,L119,N119,P119)</f>
        <v/>
      </c>
      <c r="T119" s="42">
        <f>D119-SUM(H119,J119,L119,N119,P119,R119)</f>
        <v/>
      </c>
      <c r="V119" s="42">
        <f>D119-SUM(H119,J119,L119,N119,P119,R119,T119)</f>
        <v/>
      </c>
      <c r="X119" s="56">
        <f>D119-SUM(H119,J119,L119,N119,P119,R119,T119,V119)</f>
        <v/>
      </c>
      <c r="Y119" s="57">
        <f>12*COUNT(G119,I119,K119,M119,O119,Q119,U119,W119,S119)</f>
        <v/>
      </c>
      <c r="Z119" s="40">
        <f>IF(AND('0₦'!T122&lt;&gt;0,'0₦'!T122&lt;&gt;""),9,0) + 0</f>
        <v/>
      </c>
      <c r="AA119" s="445">
        <f>'0₦'!BI122 + 0</f>
        <v/>
      </c>
      <c r="AB119" s="446">
        <f>'0₦'!BE122</f>
        <v/>
      </c>
      <c r="AC119" s="450">
        <f>'0₦'!BC122 + 0</f>
        <v/>
      </c>
      <c r="AD119" s="42">
        <f>'0₦'!BD122</f>
        <v/>
      </c>
      <c r="AE119" s="42">
        <f>'0₦'!AX122</f>
        <v/>
      </c>
      <c r="AF119" s="446">
        <f>hcbi!AA123+hcbi!Y123</f>
        <v/>
      </c>
      <c r="AG119" s="42">
        <f>'0₦'!AW122</f>
        <v/>
      </c>
      <c r="AH119" s="450">
        <f>0</f>
        <v/>
      </c>
      <c r="AK119" s="44" t="n">
        <v>445</v>
      </c>
      <c r="AL119" s="450" t="n">
        <v>328</v>
      </c>
    </row>
    <row r="120" ht="17.1" customHeight="1" s="37">
      <c r="A120" s="547" t="n"/>
      <c r="B120" s="546">
        <f>B119+1</f>
        <v/>
      </c>
      <c r="C120" s="450" t="inlineStr">
        <is>
          <t>sf21</t>
        </is>
      </c>
      <c r="D120" s="257">
        <f>SUM(Y120:AH120)</f>
        <v/>
      </c>
      <c r="E120" s="54">
        <f>'0₦'!AF123</f>
        <v/>
      </c>
      <c r="F120" s="41">
        <f>'0₦'!AG123</f>
        <v/>
      </c>
      <c r="H120" s="410">
        <f>D120</f>
        <v/>
      </c>
      <c r="J120" s="42">
        <f>D120-H120</f>
        <v/>
      </c>
      <c r="L120" s="42">
        <f>D120-SUM(H120,J120)</f>
        <v/>
      </c>
      <c r="N120" s="42">
        <f>D120-SUM(H120,J120,L120,)</f>
        <v/>
      </c>
      <c r="P120" s="42">
        <f>D120-SUM(H120,J120,L120,N120)</f>
        <v/>
      </c>
      <c r="R120" s="42">
        <f>D120-SUM(H120,J120,L120,N120,P120)</f>
        <v/>
      </c>
      <c r="T120" s="42">
        <f>D120-SUM(H120,J120,L120,N120,P120,R120)</f>
        <v/>
      </c>
      <c r="V120" s="42">
        <f>D120-SUM(H120,J120,L120,N120,P120,R120,T120)</f>
        <v/>
      </c>
      <c r="X120" s="56">
        <f>D120-SUM(H120,J120,L120,N120,P120,R120,T120,V120)</f>
        <v/>
      </c>
      <c r="Y120" s="57">
        <f>12*COUNT(G120,I120,K120,M120,O120,Q120,U120,W120,S120)</f>
        <v/>
      </c>
      <c r="Z120" s="40">
        <f>IF(AND('0₦'!T123&lt;&gt;0,'0₦'!T123&lt;&gt;""),9,0) + 0</f>
        <v/>
      </c>
      <c r="AA120" s="445">
        <f>'0₦'!BI123 + 0</f>
        <v/>
      </c>
      <c r="AB120" s="446">
        <f>'0₦'!BE123</f>
        <v/>
      </c>
      <c r="AC120" s="450">
        <f>'0₦'!BC123 + 0</f>
        <v/>
      </c>
      <c r="AD120" s="42">
        <f>'0₦'!BD123</f>
        <v/>
      </c>
      <c r="AE120" s="42">
        <f>'0₦'!AX123</f>
        <v/>
      </c>
      <c r="AF120" s="446">
        <f>hcbi!AA124+hcbi!Y124</f>
        <v/>
      </c>
      <c r="AG120" s="42">
        <f>'0₦'!AW123</f>
        <v/>
      </c>
      <c r="AH120" s="450">
        <f>0</f>
        <v/>
      </c>
      <c r="AI120" s="445" t="n"/>
      <c r="AJ120" s="445" t="n"/>
      <c r="AK120" s="44" t="n">
        <v>774</v>
      </c>
      <c r="AL120" s="450" t="n">
        <v>1</v>
      </c>
    </row>
    <row r="121" ht="17.1" customHeight="1" s="37">
      <c r="A121" s="441">
        <f>A93+1</f>
        <v/>
      </c>
      <c r="B121" s="546">
        <f>B120+1</f>
        <v/>
      </c>
      <c r="C121" s="450" t="inlineStr">
        <is>
          <t>sf21</t>
        </is>
      </c>
      <c r="D121" s="257">
        <f>SUM(Y121:AH121)</f>
        <v/>
      </c>
      <c r="E121" s="54">
        <f>'0₦'!AF124</f>
        <v/>
      </c>
      <c r="F121" s="41">
        <f>'0₦'!AG124</f>
        <v/>
      </c>
      <c r="H121" s="410">
        <f>D121</f>
        <v/>
      </c>
      <c r="J121" s="42">
        <f>D121-H121</f>
        <v/>
      </c>
      <c r="L121" s="42">
        <f>D121-SUM(H121,J121)</f>
        <v/>
      </c>
      <c r="N121" s="42">
        <f>D121-SUM(H121,J121,L121,)</f>
        <v/>
      </c>
      <c r="P121" s="42">
        <f>D121-SUM(H121,J121,L121,N121)</f>
        <v/>
      </c>
      <c r="R121" s="42">
        <f>D121-SUM(H121,J121,L121,N121,P121)</f>
        <v/>
      </c>
      <c r="T121" s="42">
        <f>D121-SUM(H121,J121,L121,N121,P121,R121)</f>
        <v/>
      </c>
      <c r="V121" s="42">
        <f>D121-SUM(H121,J121,L121,N121,P121,R121,T121)</f>
        <v/>
      </c>
      <c r="X121" s="56">
        <f>D121-SUM(H121,J121,L121,N121,P121,R121,T121,V121)</f>
        <v/>
      </c>
      <c r="Y121" s="57">
        <f>12*COUNT(G121,I121,K121,M121,O121,Q121,U121,W121,S121)</f>
        <v/>
      </c>
      <c r="Z121" s="40">
        <f>IF(AND('0₦'!T124&lt;&gt;0,'0₦'!T124&lt;&gt;""),9,0) + 0</f>
        <v/>
      </c>
      <c r="AA121" s="445">
        <f>'0₦'!BI124 + 0</f>
        <v/>
      </c>
      <c r="AB121" s="446">
        <f>'0₦'!BE124</f>
        <v/>
      </c>
      <c r="AC121" s="450">
        <f>'0₦'!BC124 + 0</f>
        <v/>
      </c>
      <c r="AD121" s="42">
        <f>'0₦'!BD124</f>
        <v/>
      </c>
      <c r="AE121" s="42">
        <f>'0₦'!AX124</f>
        <v/>
      </c>
      <c r="AF121" s="446">
        <f>hcbi!AA125+hcbi!Y125</f>
        <v/>
      </c>
      <c r="AG121" s="42">
        <f>'0₦'!AW124</f>
        <v/>
      </c>
      <c r="AH121" s="450">
        <f>0</f>
        <v/>
      </c>
      <c r="AK121" s="61" t="n">
        <v>857</v>
      </c>
      <c r="AL121" s="450" t="n">
        <v>1</v>
      </c>
    </row>
    <row r="122" ht="17.1" customHeight="1" s="37">
      <c r="B122" s="546">
        <f>B121+1</f>
        <v/>
      </c>
      <c r="C122" s="450" t="inlineStr">
        <is>
          <t>sf21</t>
        </is>
      </c>
      <c r="D122" s="257">
        <f>SUM(Y122:AH122)</f>
        <v/>
      </c>
      <c r="E122" s="54">
        <f>'0₦'!AF125</f>
        <v/>
      </c>
      <c r="F122" s="41">
        <f>'0₦'!AG125</f>
        <v/>
      </c>
      <c r="H122" s="410">
        <f>D122</f>
        <v/>
      </c>
      <c r="J122" s="42">
        <f>D122-H122</f>
        <v/>
      </c>
      <c r="L122" s="42">
        <f>D122-SUM(H122,J122)</f>
        <v/>
      </c>
      <c r="N122" s="42">
        <f>D122-SUM(H122,J122,L122,)</f>
        <v/>
      </c>
      <c r="P122" s="42">
        <f>D122-SUM(H122,J122,L122,N122)</f>
        <v/>
      </c>
      <c r="R122" s="42">
        <f>D122-SUM(H122,J122,L122,N122,P122)</f>
        <v/>
      </c>
      <c r="T122" s="42">
        <f>D122-SUM(H122,J122,L122,N122,P122,R122)</f>
        <v/>
      </c>
      <c r="V122" s="42">
        <f>D122-SUM(H122,J122,L122,N122,P122,R122,T122)</f>
        <v/>
      </c>
      <c r="X122" s="56">
        <f>D122-SUM(H122,J122,L122,N122,P122,R122,T122,V122)</f>
        <v/>
      </c>
      <c r="Y122" s="57">
        <f>12*COUNT(G122,I122,K122,M122,O122,Q122,U122,W122,S122)</f>
        <v/>
      </c>
      <c r="Z122" s="40">
        <f>IF(AND('0₦'!T125&lt;&gt;0,'0₦'!T125&lt;&gt;""),9,0) + 0</f>
        <v/>
      </c>
      <c r="AA122" s="445">
        <f>'0₦'!BI125 + 0</f>
        <v/>
      </c>
      <c r="AB122" s="446">
        <f>'0₦'!BE125</f>
        <v/>
      </c>
      <c r="AC122" s="450">
        <f>'0₦'!BC125 + 0</f>
        <v/>
      </c>
      <c r="AD122" s="42">
        <f>'0₦'!BD125</f>
        <v/>
      </c>
      <c r="AE122" s="42">
        <f>'0₦'!AX125</f>
        <v/>
      </c>
      <c r="AF122" s="446">
        <f>hcbi!AA126+hcbi!Y126</f>
        <v/>
      </c>
      <c r="AG122" s="42">
        <f>'0₦'!AW125</f>
        <v/>
      </c>
      <c r="AH122" s="450">
        <f>0</f>
        <v/>
      </c>
      <c r="AI122" s="445" t="n"/>
      <c r="AJ122" s="445" t="n"/>
      <c r="AK122" s="44" t="n">
        <v>755</v>
      </c>
      <c r="AL122" s="450" t="n">
        <v>1</v>
      </c>
    </row>
    <row r="123" ht="17.1" customHeight="1" s="37">
      <c r="B123" s="546">
        <f>B122+1</f>
        <v/>
      </c>
      <c r="C123" s="450" t="inlineStr">
        <is>
          <t>sf21</t>
        </is>
      </c>
      <c r="D123" s="257">
        <f>SUM(Y123:AH123)</f>
        <v/>
      </c>
      <c r="E123" s="54">
        <f>'0₦'!AF126</f>
        <v/>
      </c>
      <c r="F123" s="41">
        <f>'0₦'!AG126</f>
        <v/>
      </c>
      <c r="H123" s="410">
        <f>D123</f>
        <v/>
      </c>
      <c r="J123" s="42">
        <f>D123-H123</f>
        <v/>
      </c>
      <c r="L123" s="42">
        <f>D123-SUM(H123,J123)</f>
        <v/>
      </c>
      <c r="N123" s="42">
        <f>D123-SUM(H123,J123,L123,)</f>
        <v/>
      </c>
      <c r="P123" s="42">
        <f>D123-SUM(H123,J123,L123,N123)</f>
        <v/>
      </c>
      <c r="R123" s="42">
        <f>D123-SUM(H123,J123,L123,N123,P123)</f>
        <v/>
      </c>
      <c r="T123" s="42">
        <f>D123-SUM(H123,J123,L123,N123,P123,R123)</f>
        <v/>
      </c>
      <c r="V123" s="42">
        <f>D123-SUM(H123,J123,L123,N123,P123,R123,T123)</f>
        <v/>
      </c>
      <c r="X123" s="56">
        <f>D123-SUM(H123,J123,L123,N123,P123,R123,T123,V123)</f>
        <v/>
      </c>
      <c r="Y123" s="57">
        <f>12*COUNT(G123,I123,K123,M123,O123,Q123,U123,W123,S123)</f>
        <v/>
      </c>
      <c r="Z123" s="40">
        <f>IF(AND('0₦'!T126&lt;&gt;0,'0₦'!T126&lt;&gt;""),9,0) + 0</f>
        <v/>
      </c>
      <c r="AA123" s="445">
        <f>'0₦'!BI126 + 0</f>
        <v/>
      </c>
      <c r="AB123" s="446">
        <f>'0₦'!BE126</f>
        <v/>
      </c>
      <c r="AC123" s="450">
        <f>'0₦'!BC126 + 0</f>
        <v/>
      </c>
      <c r="AD123" s="42">
        <f>'0₦'!BD126</f>
        <v/>
      </c>
      <c r="AE123" s="42">
        <f>'0₦'!AX126</f>
        <v/>
      </c>
      <c r="AF123" s="446">
        <f>hcbi!AA127+hcbi!Y127</f>
        <v/>
      </c>
      <c r="AG123" s="42">
        <f>'0₦'!AW126</f>
        <v/>
      </c>
      <c r="AH123" s="450">
        <f>0</f>
        <v/>
      </c>
      <c r="AK123" s="44" t="n">
        <v>737</v>
      </c>
      <c r="AL123" s="450" t="n">
        <v>1</v>
      </c>
    </row>
    <row r="124" ht="17.1" customHeight="1" s="37">
      <c r="B124" s="546">
        <f>B123+1</f>
        <v/>
      </c>
      <c r="C124" s="450" t="inlineStr">
        <is>
          <t>sf21</t>
        </is>
      </c>
      <c r="D124" s="257">
        <f>SUM(Y124:AH124)</f>
        <v/>
      </c>
      <c r="E124" s="54">
        <f>'0₦'!AF127</f>
        <v/>
      </c>
      <c r="F124" s="41">
        <f>'0₦'!AG127</f>
        <v/>
      </c>
      <c r="H124" s="410">
        <f>D124</f>
        <v/>
      </c>
      <c r="J124" s="42">
        <f>D124-H124</f>
        <v/>
      </c>
      <c r="L124" s="42">
        <f>D124-SUM(H124,J124)</f>
        <v/>
      </c>
      <c r="N124" s="42">
        <f>D124-SUM(H124,J124,L124,)</f>
        <v/>
      </c>
      <c r="P124" s="42">
        <f>D124-SUM(H124,J124,L124,N124)</f>
        <v/>
      </c>
      <c r="R124" s="42">
        <f>D124-SUM(H124,J124,L124,N124,P124)</f>
        <v/>
      </c>
      <c r="T124" s="42">
        <f>D124-SUM(H124,J124,L124,N124,P124,R124)</f>
        <v/>
      </c>
      <c r="V124" s="42">
        <f>D124-SUM(H124,J124,L124,N124,P124,R124,T124)</f>
        <v/>
      </c>
      <c r="X124" s="56">
        <f>D124-SUM(H124,J124,L124,N124,P124,R124,T124,V124)</f>
        <v/>
      </c>
      <c r="Y124" s="57">
        <f>12*COUNT(G124,I124,K124,M124,O124,Q124,U124,W124,S124)</f>
        <v/>
      </c>
      <c r="Z124" s="40">
        <f>IF(AND('0₦'!T127&lt;&gt;0,'0₦'!T127&lt;&gt;""),9,0) + 0</f>
        <v/>
      </c>
      <c r="AA124" s="445">
        <f>'0₦'!BI127 + 0</f>
        <v/>
      </c>
      <c r="AB124" s="446">
        <f>'0₦'!BE127</f>
        <v/>
      </c>
      <c r="AC124" s="450">
        <f>'0₦'!BC127 + 0</f>
        <v/>
      </c>
      <c r="AD124" s="42">
        <f>'0₦'!BD127</f>
        <v/>
      </c>
      <c r="AE124" s="42">
        <f>'0₦'!AX127</f>
        <v/>
      </c>
      <c r="AF124" s="446">
        <f>hcbi!AA128+hcbi!Y128</f>
        <v/>
      </c>
      <c r="AG124" s="42">
        <f>'0₦'!AW127</f>
        <v/>
      </c>
      <c r="AH124" s="450">
        <f>0</f>
        <v/>
      </c>
      <c r="AI124" s="445" t="n"/>
      <c r="AJ124" s="449" t="n"/>
      <c r="AK124" s="44" t="n">
        <v>605</v>
      </c>
      <c r="AL124" s="450" t="n">
        <v>1</v>
      </c>
    </row>
    <row r="125" ht="17.1" customHeight="1" s="37">
      <c r="B125" s="546">
        <f>B124+1</f>
        <v/>
      </c>
      <c r="C125" s="450" t="inlineStr">
        <is>
          <t>sf21</t>
        </is>
      </c>
      <c r="D125" s="257">
        <f>SUM(Y125:AH125)</f>
        <v/>
      </c>
      <c r="E125" s="54">
        <f>'0₦'!AF128</f>
        <v/>
      </c>
      <c r="F125" s="41">
        <f>'0₦'!AG128</f>
        <v/>
      </c>
      <c r="H125" s="410">
        <f>D125</f>
        <v/>
      </c>
      <c r="J125" s="42">
        <f>D125-H125</f>
        <v/>
      </c>
      <c r="L125" s="42">
        <f>D125-SUM(H125,J125)</f>
        <v/>
      </c>
      <c r="N125" s="42">
        <f>D125-SUM(H125,J125,L125,)</f>
        <v/>
      </c>
      <c r="P125" s="42">
        <f>D125-SUM(H125,J125,L125,N125)</f>
        <v/>
      </c>
      <c r="R125" s="42">
        <f>D125-SUM(H125,J125,L125,N125,P125)</f>
        <v/>
      </c>
      <c r="T125" s="42">
        <f>D125-SUM(H125,J125,L125,N125,P125,R125)</f>
        <v/>
      </c>
      <c r="V125" s="42">
        <f>D125-SUM(H125,J125,L125,N125,P125,R125,T125)</f>
        <v/>
      </c>
      <c r="X125" s="56">
        <f>D125-SUM(H125,J125,L125,N125,P125,R125,T125,V125)</f>
        <v/>
      </c>
      <c r="Y125" s="57">
        <f>12*COUNT(G125,I125,K125,M125,O125,Q125,U125,W125,S125)</f>
        <v/>
      </c>
      <c r="Z125" s="40">
        <f>IF(AND('0₦'!T128&lt;&gt;0,'0₦'!T128&lt;&gt;""),9,0) + 0</f>
        <v/>
      </c>
      <c r="AA125" s="445">
        <f>'0₦'!BI128 + 0</f>
        <v/>
      </c>
      <c r="AB125" s="446">
        <f>'0₦'!BE128</f>
        <v/>
      </c>
      <c r="AC125" s="450">
        <f>'0₦'!BC128 + 0</f>
        <v/>
      </c>
      <c r="AD125" s="42">
        <f>'0₦'!BD128</f>
        <v/>
      </c>
      <c r="AE125" s="42">
        <f>'0₦'!AX128</f>
        <v/>
      </c>
      <c r="AF125" s="446">
        <f>hcbi!AA129+hcbi!Y129</f>
        <v/>
      </c>
      <c r="AG125" s="42">
        <f>'0₦'!AW128</f>
        <v/>
      </c>
      <c r="AH125" s="450">
        <f>0</f>
        <v/>
      </c>
      <c r="AJ125" s="184" t="n"/>
      <c r="AK125" s="44" t="n">
        <v>624</v>
      </c>
      <c r="AL125" s="450" t="n">
        <v>1</v>
      </c>
    </row>
    <row r="126" ht="17.1" customHeight="1" s="37">
      <c r="B126" s="546">
        <f>B125+1</f>
        <v/>
      </c>
      <c r="C126" s="450" t="inlineStr">
        <is>
          <t>sf21</t>
        </is>
      </c>
      <c r="D126" s="257">
        <f>SUM(Y126:AH126)</f>
        <v/>
      </c>
      <c r="E126" s="54">
        <f>'0₦'!AF129</f>
        <v/>
      </c>
      <c r="F126" s="41">
        <f>'0₦'!AG129</f>
        <v/>
      </c>
      <c r="H126" s="410">
        <f>D126</f>
        <v/>
      </c>
      <c r="J126" s="42">
        <f>D126-H126</f>
        <v/>
      </c>
      <c r="L126" s="42">
        <f>D126-SUM(H126,J126)</f>
        <v/>
      </c>
      <c r="N126" s="42">
        <f>D126-SUM(H126,J126,L126,)</f>
        <v/>
      </c>
      <c r="P126" s="42">
        <f>D126-SUM(H126,J126,L126,N126)</f>
        <v/>
      </c>
      <c r="R126" s="42">
        <f>D126-SUM(H126,J126,L126,N126,P126)</f>
        <v/>
      </c>
      <c r="T126" s="42">
        <f>D126-SUM(H126,J126,L126,N126,P126,R126)</f>
        <v/>
      </c>
      <c r="V126" s="42">
        <f>D126-SUM(H126,J126,L126,N126,P126,R126,T126)</f>
        <v/>
      </c>
      <c r="X126" s="56">
        <f>D126-SUM(H126,J126,L126,N126,P126,R126,T126,V126)</f>
        <v/>
      </c>
      <c r="Y126" s="57">
        <f>12*COUNT(G126,I126,K126,M126,O126,Q126,U126,W126,S126)</f>
        <v/>
      </c>
      <c r="Z126" s="40">
        <f>IF(AND('0₦'!T129&lt;&gt;0,'0₦'!T129&lt;&gt;""),9,0) + 0</f>
        <v/>
      </c>
      <c r="AA126" s="445">
        <f>'0₦'!BI129 + 0</f>
        <v/>
      </c>
      <c r="AB126" s="446">
        <f>'0₦'!BE129</f>
        <v/>
      </c>
      <c r="AC126" s="450">
        <f>'0₦'!BC129 + 0</f>
        <v/>
      </c>
      <c r="AD126" s="42">
        <f>'0₦'!BD129</f>
        <v/>
      </c>
      <c r="AE126" s="42">
        <f>'0₦'!AX129</f>
        <v/>
      </c>
      <c r="AF126" s="446">
        <f>hcbi!AA130+hcbi!Y130</f>
        <v/>
      </c>
      <c r="AG126" s="42">
        <f>'0₦'!AW129</f>
        <v/>
      </c>
      <c r="AH126" s="450">
        <f>0</f>
        <v/>
      </c>
      <c r="AI126" s="445" t="n"/>
      <c r="AJ126" s="445" t="n"/>
      <c r="AK126" s="44" t="n">
        <v>609</v>
      </c>
      <c r="AL126" s="450" t="n">
        <v>1</v>
      </c>
    </row>
    <row r="127" ht="17.1" customHeight="1" s="37">
      <c r="A127" s="547" t="n"/>
      <c r="B127" s="546">
        <f>B126+1</f>
        <v/>
      </c>
      <c r="C127" s="450" t="inlineStr">
        <is>
          <t>sf21</t>
        </is>
      </c>
      <c r="D127" s="257">
        <f>SUM(Y127:AH127)</f>
        <v/>
      </c>
      <c r="E127" s="54">
        <f>'0₦'!AF130</f>
        <v/>
      </c>
      <c r="F127" s="41">
        <f>'0₦'!AG130</f>
        <v/>
      </c>
      <c r="H127" s="410">
        <f>D127</f>
        <v/>
      </c>
      <c r="J127" s="42">
        <f>D127-H127</f>
        <v/>
      </c>
      <c r="L127" s="42">
        <f>D127-SUM(H127,J127)</f>
        <v/>
      </c>
      <c r="N127" s="42">
        <f>D127-SUM(H127,J127,L127,)</f>
        <v/>
      </c>
      <c r="P127" s="42">
        <f>D127-SUM(H127,J127,L127,N127)</f>
        <v/>
      </c>
      <c r="R127" s="42">
        <f>D127-SUM(H127,J127,L127,N127,P127)</f>
        <v/>
      </c>
      <c r="T127" s="42">
        <f>D127-SUM(H127,J127,L127,N127,P127,R127)</f>
        <v/>
      </c>
      <c r="V127" s="42">
        <f>D127-SUM(H127,J127,L127,N127,P127,R127,T127)</f>
        <v/>
      </c>
      <c r="X127" s="56">
        <f>D127-SUM(H127,J127,L127,N127,P127,R127,T127,V127)</f>
        <v/>
      </c>
      <c r="Y127" s="57">
        <f>12*COUNT(G127,I127,K127,M127,O127,Q127,U127,W127,S127)</f>
        <v/>
      </c>
      <c r="Z127" s="40">
        <f>IF(AND('0₦'!T130&lt;&gt;0,'0₦'!T130&lt;&gt;""),9,0) + 0</f>
        <v/>
      </c>
      <c r="AA127" s="445">
        <f>'0₦'!BI130 + 0</f>
        <v/>
      </c>
      <c r="AB127" s="446">
        <f>'0₦'!BE130</f>
        <v/>
      </c>
      <c r="AC127" s="450">
        <f>'0₦'!BC130 + 0</f>
        <v/>
      </c>
      <c r="AD127" s="42">
        <f>'0₦'!BD130</f>
        <v/>
      </c>
      <c r="AE127" s="42">
        <f>'0₦'!AX130</f>
        <v/>
      </c>
      <c r="AF127" s="446">
        <f>hcbi!AA131+hcbi!Y131</f>
        <v/>
      </c>
      <c r="AG127" s="42">
        <f>'0₦'!AW130</f>
        <v/>
      </c>
      <c r="AH127" s="450">
        <f>0</f>
        <v/>
      </c>
      <c r="AK127" s="44" t="n">
        <v>515</v>
      </c>
      <c r="AL127" s="450" t="n">
        <v>158</v>
      </c>
    </row>
    <row r="128" ht="17.1" customHeight="1" s="37">
      <c r="A128" s="441">
        <f>A121+0.1</f>
        <v/>
      </c>
      <c r="B128" s="546">
        <f>B127+1</f>
        <v/>
      </c>
      <c r="C128" s="450" t="inlineStr">
        <is>
          <t>sf21</t>
        </is>
      </c>
      <c r="D128" s="257">
        <f>SUM(Y128:AH128)</f>
        <v/>
      </c>
      <c r="E128" s="54">
        <f>'0₦'!AF131</f>
        <v/>
      </c>
      <c r="F128" s="41">
        <f>'0₦'!AG131</f>
        <v/>
      </c>
      <c r="H128" s="410">
        <f>D128</f>
        <v/>
      </c>
      <c r="J128" s="42">
        <f>D128-H128</f>
        <v/>
      </c>
      <c r="L128" s="42">
        <f>D128-SUM(H128,J128)</f>
        <v/>
      </c>
      <c r="N128" s="42">
        <f>D128-SUM(H128,J128,L128,)</f>
        <v/>
      </c>
      <c r="P128" s="42">
        <f>D128-SUM(H128,J128,L128,N128)</f>
        <v/>
      </c>
      <c r="R128" s="42">
        <f>D128-SUM(H128,J128,L128,N128,P128)</f>
        <v/>
      </c>
      <c r="T128" s="42">
        <f>D128-SUM(H128,J128,L128,N128,P128,R128)</f>
        <v/>
      </c>
      <c r="V128" s="42">
        <f>D128-SUM(H128,J128,L128,N128,P128,R128,T128)</f>
        <v/>
      </c>
      <c r="X128" s="56">
        <f>D128-SUM(H128,J128,L128,N128,P128,R128,T128,V128)</f>
        <v/>
      </c>
      <c r="Y128" s="57">
        <f>12*COUNT(G128,I128,K128,M128,O128,Q128,U128,W128,S128)</f>
        <v/>
      </c>
      <c r="Z128" s="40">
        <f>IF(AND('0₦'!T131&lt;&gt;0,'0₦'!T131&lt;&gt;""),9,0) + 0</f>
        <v/>
      </c>
      <c r="AA128" s="445">
        <f>'0₦'!BI131 + 0</f>
        <v/>
      </c>
      <c r="AB128" s="446">
        <f>'0₦'!BE131</f>
        <v/>
      </c>
      <c r="AC128" s="450">
        <f>'0₦'!BC131 + 0</f>
        <v/>
      </c>
      <c r="AD128" s="42">
        <f>'0₦'!BD131</f>
        <v/>
      </c>
      <c r="AE128" s="42">
        <f>'0₦'!AX131</f>
        <v/>
      </c>
      <c r="AF128" s="446">
        <f>hcbi!AA132+hcbi!Y132</f>
        <v/>
      </c>
      <c r="AG128" s="42">
        <f>'0₦'!AW131</f>
        <v/>
      </c>
      <c r="AH128" s="450">
        <f>0</f>
        <v/>
      </c>
      <c r="AI128" s="445" t="n"/>
      <c r="AJ128" s="445" t="n"/>
      <c r="AK128" s="44" t="n">
        <v>719</v>
      </c>
      <c r="AL128" s="450" t="n">
        <v>275</v>
      </c>
    </row>
    <row r="129" ht="17.1" customHeight="1" s="37">
      <c r="B129" s="546">
        <f>B128+1</f>
        <v/>
      </c>
      <c r="C129" s="450" t="inlineStr">
        <is>
          <t>sf21</t>
        </is>
      </c>
      <c r="D129" s="257">
        <f>SUM(Y129:AH129)</f>
        <v/>
      </c>
      <c r="E129" s="54">
        <f>'0₦'!AF132</f>
        <v/>
      </c>
      <c r="F129" s="41">
        <f>'0₦'!AG132</f>
        <v/>
      </c>
      <c r="H129" s="410">
        <f>D129</f>
        <v/>
      </c>
      <c r="J129" s="42">
        <f>D129-H129</f>
        <v/>
      </c>
      <c r="L129" s="42">
        <f>D129-SUM(H129,J129)</f>
        <v/>
      </c>
      <c r="N129" s="42">
        <f>D129-SUM(H129,J129,L129,)</f>
        <v/>
      </c>
      <c r="P129" s="42">
        <f>D129-SUM(H129,J129,L129,N129)</f>
        <v/>
      </c>
      <c r="R129" s="42">
        <f>D129-SUM(H129,J129,L129,N129,P129)</f>
        <v/>
      </c>
      <c r="T129" s="42">
        <f>D129-SUM(H129,J129,L129,N129,P129,R129)</f>
        <v/>
      </c>
      <c r="V129" s="42">
        <f>D129-SUM(H129,J129,L129,N129,P129,R129,T129)</f>
        <v/>
      </c>
      <c r="X129" s="56">
        <f>D129-SUM(H129,J129,L129,N129,P129,R129,T129,V129)</f>
        <v/>
      </c>
      <c r="Y129" s="57">
        <f>12*COUNT(G129,I129,K129,M129,O129,Q129,U129,W129,S129)</f>
        <v/>
      </c>
      <c r="Z129" s="40">
        <f>IF(AND('0₦'!T132&lt;&gt;0,'0₦'!T132&lt;&gt;""),9,0) + 0</f>
        <v/>
      </c>
      <c r="AA129" s="445">
        <f>'0₦'!BI132 + 0</f>
        <v/>
      </c>
      <c r="AB129" s="446">
        <f>'0₦'!BE132</f>
        <v/>
      </c>
      <c r="AC129" s="450">
        <f>'0₦'!BC132 + 0</f>
        <v/>
      </c>
      <c r="AD129" s="42">
        <f>'0₦'!BD132</f>
        <v/>
      </c>
      <c r="AE129" s="42">
        <f>'0₦'!AX132</f>
        <v/>
      </c>
      <c r="AF129" s="446">
        <f>hcbi!AA133+hcbi!Y133</f>
        <v/>
      </c>
      <c r="AG129" s="42">
        <f>'0₦'!AW132</f>
        <v/>
      </c>
      <c r="AH129" s="450">
        <f>0</f>
        <v/>
      </c>
      <c r="AK129" s="44" t="n">
        <v>697</v>
      </c>
      <c r="AL129" s="450" t="n">
        <v>301</v>
      </c>
    </row>
    <row r="130" ht="17.1" customHeight="1" s="37">
      <c r="B130" s="546">
        <f>B129+1</f>
        <v/>
      </c>
      <c r="C130" s="450" t="inlineStr">
        <is>
          <t>sf21</t>
        </is>
      </c>
      <c r="D130" s="257">
        <f>SUM(Y130:AH130)</f>
        <v/>
      </c>
      <c r="E130" s="54">
        <f>'0₦'!AF133</f>
        <v/>
      </c>
      <c r="F130" s="41">
        <f>'0₦'!AG133</f>
        <v/>
      </c>
      <c r="H130" s="410">
        <f>D130</f>
        <v/>
      </c>
      <c r="J130" s="42">
        <f>D130-H130</f>
        <v/>
      </c>
      <c r="L130" s="42">
        <f>D130-SUM(H130,J130)</f>
        <v/>
      </c>
      <c r="N130" s="42">
        <f>D130-SUM(H130,J130,L130,)</f>
        <v/>
      </c>
      <c r="P130" s="42">
        <f>D130-SUM(H130,J130,L130,N130)</f>
        <v/>
      </c>
      <c r="R130" s="42">
        <f>D130-SUM(H130,J130,L130,N130,P130)</f>
        <v/>
      </c>
      <c r="T130" s="42">
        <f>D130-SUM(H130,J130,L130,N130,P130,R130)</f>
        <v/>
      </c>
      <c r="V130" s="42">
        <f>D130-SUM(H130,J130,L130,N130,P130,R130,T130)</f>
        <v/>
      </c>
      <c r="X130" s="56">
        <f>D130-SUM(H130,J130,L130,N130,P130,R130,T130,V130)</f>
        <v/>
      </c>
      <c r="Y130" s="57">
        <f>12*COUNT(G130,I130,K130,M130,O130,Q130,U130,W130,S130)</f>
        <v/>
      </c>
      <c r="Z130" s="40">
        <f>IF(AND('0₦'!T133&lt;&gt;0,'0₦'!T133&lt;&gt;""),9,0) + 0</f>
        <v/>
      </c>
      <c r="AA130" s="445">
        <f>'0₦'!BI133 + 0</f>
        <v/>
      </c>
      <c r="AB130" s="446">
        <f>'0₦'!BE133</f>
        <v/>
      </c>
      <c r="AC130" s="450">
        <f>'0₦'!BC133 + 0</f>
        <v/>
      </c>
      <c r="AD130" s="42">
        <f>'0₦'!BD133</f>
        <v/>
      </c>
      <c r="AE130" s="42">
        <f>'0₦'!AX133</f>
        <v/>
      </c>
      <c r="AF130" s="446">
        <f>hcbi!AA134+hcbi!Y134</f>
        <v/>
      </c>
      <c r="AG130" s="42">
        <f>'0₦'!AW133</f>
        <v/>
      </c>
      <c r="AH130" s="450">
        <f>0</f>
        <v/>
      </c>
      <c r="AI130" s="445" t="n"/>
      <c r="AJ130" s="445" t="n"/>
      <c r="AK130" s="44" t="n">
        <v>405</v>
      </c>
    </row>
    <row r="131" ht="17.1" customHeight="1" s="37">
      <c r="B131" s="546">
        <f>B130+1</f>
        <v/>
      </c>
      <c r="C131" s="450" t="inlineStr">
        <is>
          <t>sf21</t>
        </is>
      </c>
      <c r="D131" s="257">
        <f>SUM(Y131:AH131)</f>
        <v/>
      </c>
      <c r="E131" s="54">
        <f>'0₦'!AF134</f>
        <v/>
      </c>
      <c r="F131" s="41">
        <f>'0₦'!AG134</f>
        <v/>
      </c>
      <c r="H131" s="410">
        <f>D131</f>
        <v/>
      </c>
      <c r="J131" s="42">
        <f>D131-H131</f>
        <v/>
      </c>
      <c r="L131" s="42">
        <f>D131-SUM(H131,J131)</f>
        <v/>
      </c>
      <c r="N131" s="42">
        <f>D131-SUM(H131,J131,L131,)</f>
        <v/>
      </c>
      <c r="P131" s="42">
        <f>D131-SUM(H131,J131,L131,N131)</f>
        <v/>
      </c>
      <c r="R131" s="42">
        <f>D131-SUM(H131,J131,L131,N131,P131)</f>
        <v/>
      </c>
      <c r="T131" s="42">
        <f>D131-SUM(H131,J131,L131,N131,P131,R131)</f>
        <v/>
      </c>
      <c r="V131" s="42">
        <f>D131-SUM(H131,J131,L131,N131,P131,R131,T131)</f>
        <v/>
      </c>
      <c r="X131" s="56">
        <f>D131-SUM(H131,J131,L131,N131,P131,R131,T131,V131)</f>
        <v/>
      </c>
      <c r="Y131" s="57">
        <f>12*COUNT(G131,I131,K131,M131,O131,Q131,U131,W131,S131)</f>
        <v/>
      </c>
      <c r="Z131" s="40">
        <f>IF(AND('0₦'!T134&lt;&gt;0,'0₦'!T134&lt;&gt;""),9,0) + 0</f>
        <v/>
      </c>
      <c r="AA131" s="445">
        <f>'0₦'!BI134 + 0</f>
        <v/>
      </c>
      <c r="AB131" s="446">
        <f>'0₦'!BE134</f>
        <v/>
      </c>
      <c r="AC131" s="450">
        <f>'0₦'!BC134 + 0</f>
        <v/>
      </c>
      <c r="AD131" s="42">
        <f>'0₦'!BD134</f>
        <v/>
      </c>
      <c r="AE131" s="42">
        <f>'0₦'!AX134</f>
        <v/>
      </c>
      <c r="AF131" s="446">
        <f>hcbi!AA135+hcbi!Y135</f>
        <v/>
      </c>
      <c r="AG131" s="42">
        <f>'0₦'!AW134</f>
        <v/>
      </c>
      <c r="AH131" s="450">
        <f>0</f>
        <v/>
      </c>
      <c r="AK131" s="44" t="n">
        <v>785</v>
      </c>
      <c r="AL131" s="450" t="n">
        <v>198</v>
      </c>
    </row>
    <row r="132" ht="17.1" customHeight="1" s="37">
      <c r="B132" s="546">
        <f>B131+1</f>
        <v/>
      </c>
      <c r="C132" s="450" t="inlineStr">
        <is>
          <t>sf21</t>
        </is>
      </c>
      <c r="D132" s="257">
        <f>SUM(Y132:AH132)</f>
        <v/>
      </c>
      <c r="E132" s="54">
        <f>'0₦'!AF135</f>
        <v/>
      </c>
      <c r="F132" s="41">
        <f>'0₦'!AG135</f>
        <v/>
      </c>
      <c r="H132" s="410">
        <f>D132</f>
        <v/>
      </c>
      <c r="J132" s="42">
        <f>D132-H132</f>
        <v/>
      </c>
      <c r="L132" s="42">
        <f>D132-SUM(H132,J132)</f>
        <v/>
      </c>
      <c r="N132" s="42">
        <f>D132-SUM(H132,J132,L132,)</f>
        <v/>
      </c>
      <c r="P132" s="42">
        <f>D132-SUM(H132,J132,L132,N132)</f>
        <v/>
      </c>
      <c r="R132" s="42">
        <f>D132-SUM(H132,J132,L132,N132,P132)</f>
        <v/>
      </c>
      <c r="T132" s="42">
        <f>D132-SUM(H132,J132,L132,N132,P132,R132)</f>
        <v/>
      </c>
      <c r="V132" s="42">
        <f>D132-SUM(H132,J132,L132,N132,P132,R132,T132)</f>
        <v/>
      </c>
      <c r="X132" s="56">
        <f>D132-SUM(H132,J132,L132,N132,P132,R132,T132,V132)</f>
        <v/>
      </c>
      <c r="Y132" s="57">
        <f>12*COUNT(G132,I132,K132,M132,O132,Q132,U132,W132,S132)</f>
        <v/>
      </c>
      <c r="Z132" s="40">
        <f>IF(AND('0₦'!T135&lt;&gt;0,'0₦'!T135&lt;&gt;""),9,0) + 0</f>
        <v/>
      </c>
      <c r="AA132" s="445">
        <f>'0₦'!BI135 + 0</f>
        <v/>
      </c>
      <c r="AB132" s="446">
        <f>'0₦'!BE135</f>
        <v/>
      </c>
      <c r="AC132" s="450">
        <f>'0₦'!BC135 + 0</f>
        <v/>
      </c>
      <c r="AD132" s="42">
        <f>'0₦'!BD135</f>
        <v/>
      </c>
      <c r="AE132" s="42">
        <f>'0₦'!AX135</f>
        <v/>
      </c>
      <c r="AF132" s="446">
        <f>hcbi!AA136+hcbi!Y136+20+10+10+30</f>
        <v/>
      </c>
      <c r="AG132" s="42">
        <f>'0₦'!AW135</f>
        <v/>
      </c>
      <c r="AH132" s="450">
        <f>0</f>
        <v/>
      </c>
      <c r="AI132" s="445" t="n"/>
      <c r="AJ132" s="445" t="n"/>
      <c r="AK132" s="44" t="n">
        <v>701</v>
      </c>
      <c r="AL132" s="450" t="n">
        <v>231</v>
      </c>
    </row>
    <row r="133" ht="17.1" customHeight="1" s="37">
      <c r="B133" s="546">
        <f>B132+1</f>
        <v/>
      </c>
      <c r="C133" s="450" t="inlineStr">
        <is>
          <t>sf21</t>
        </is>
      </c>
      <c r="D133" s="257">
        <f>SUM(Y133:AH133)</f>
        <v/>
      </c>
      <c r="E133" s="54">
        <f>'0₦'!AF136</f>
        <v/>
      </c>
      <c r="F133" s="41">
        <f>'0₦'!AG136</f>
        <v/>
      </c>
      <c r="H133" s="410">
        <f>D133</f>
        <v/>
      </c>
      <c r="J133" s="42">
        <f>D133-H133</f>
        <v/>
      </c>
      <c r="L133" s="42">
        <f>D133-SUM(H133,J133)</f>
        <v/>
      </c>
      <c r="N133" s="42">
        <f>D133-SUM(H133,J133,L133,)</f>
        <v/>
      </c>
      <c r="P133" s="42">
        <f>D133-SUM(H133,J133,L133,N133)</f>
        <v/>
      </c>
      <c r="R133" s="42">
        <f>D133-SUM(H133,J133,L133,N133,P133)</f>
        <v/>
      </c>
      <c r="T133" s="42">
        <f>D133-SUM(H133,J133,L133,N133,P133,R133)</f>
        <v/>
      </c>
      <c r="V133" s="42">
        <f>D133-SUM(H133,J133,L133,N133,P133,R133,T133)</f>
        <v/>
      </c>
      <c r="X133" s="56">
        <f>D133-SUM(H133,J133,L133,N133,P133,R133,T133,V133)</f>
        <v/>
      </c>
      <c r="Y133" s="57">
        <f>12*COUNT(G133,I133,K133,M133,O133,Q133,U133,W133,S133)</f>
        <v/>
      </c>
      <c r="Z133" s="40">
        <f>IF(AND('0₦'!T136&lt;&gt;0,'0₦'!T136&lt;&gt;""),9,0) + 0</f>
        <v/>
      </c>
      <c r="AA133" s="445">
        <f>'0₦'!BI136 + 0</f>
        <v/>
      </c>
      <c r="AB133" s="446">
        <f>'0₦'!BE136</f>
        <v/>
      </c>
      <c r="AC133" s="450">
        <f>'0₦'!BC136 + 0</f>
        <v/>
      </c>
      <c r="AD133" s="42">
        <f>'0₦'!BD136</f>
        <v/>
      </c>
      <c r="AE133" s="42">
        <f>'0₦'!AX136</f>
        <v/>
      </c>
      <c r="AF133" s="446">
        <f>hcbi!AA137+hcbi!Y137</f>
        <v/>
      </c>
      <c r="AG133" s="42">
        <f>'0₦'!AW136</f>
        <v/>
      </c>
      <c r="AH133" s="450">
        <f>0</f>
        <v/>
      </c>
      <c r="AK133" s="44" t="n">
        <v>766</v>
      </c>
      <c r="AL133" s="450" t="n">
        <v>1</v>
      </c>
    </row>
    <row r="134" ht="17.1" customHeight="1" s="37">
      <c r="A134" s="547" t="n"/>
      <c r="B134" s="546">
        <f>B133+1</f>
        <v/>
      </c>
      <c r="C134" s="450" t="inlineStr">
        <is>
          <t>sf21</t>
        </is>
      </c>
      <c r="D134" s="257">
        <f>SUM(Y134:AH134)</f>
        <v/>
      </c>
      <c r="E134" s="54">
        <f>'0₦'!AF137</f>
        <v/>
      </c>
      <c r="F134" s="41">
        <f>'0₦'!AG137</f>
        <v/>
      </c>
      <c r="H134" s="410">
        <f>D134</f>
        <v/>
      </c>
      <c r="J134" s="42">
        <f>D134-H134</f>
        <v/>
      </c>
      <c r="L134" s="42">
        <f>D134-SUM(H134,J134)</f>
        <v/>
      </c>
      <c r="N134" s="42">
        <f>D134-SUM(H134,J134,L134,)</f>
        <v/>
      </c>
      <c r="P134" s="42">
        <f>D134-SUM(H134,J134,L134,N134)</f>
        <v/>
      </c>
      <c r="R134" s="42">
        <f>D134-SUM(H134,J134,L134,N134,P134)</f>
        <v/>
      </c>
      <c r="T134" s="42">
        <f>D134-SUM(H134,J134,L134,N134,P134,R134)</f>
        <v/>
      </c>
      <c r="V134" s="42">
        <f>D134-SUM(H134,J134,L134,N134,P134,R134,T134)</f>
        <v/>
      </c>
      <c r="X134" s="56">
        <f>D134-SUM(H134,J134,L134,N134,P134,R134,T134,V134)</f>
        <v/>
      </c>
      <c r="Y134" s="57">
        <f>12*COUNT(G134,I134,K134,M134,O134,Q134,U134,W134,S134)</f>
        <v/>
      </c>
      <c r="Z134" s="40">
        <f>IF(AND('0₦'!T137&lt;&gt;0,'0₦'!T137&lt;&gt;""),9,0) + 0</f>
        <v/>
      </c>
      <c r="AA134" s="445">
        <f>'0₦'!BI137 + 0</f>
        <v/>
      </c>
      <c r="AB134" s="446">
        <f>'0₦'!BE137</f>
        <v/>
      </c>
      <c r="AC134" s="450">
        <f>'0₦'!BC137 + 0</f>
        <v/>
      </c>
      <c r="AD134" s="42">
        <f>'0₦'!BD137</f>
        <v/>
      </c>
      <c r="AE134" s="42">
        <f>'0₦'!AX137</f>
        <v/>
      </c>
      <c r="AF134" s="446">
        <f>hcbi!AA138+hcbi!Y138</f>
        <v/>
      </c>
      <c r="AG134" s="42">
        <f>'0₦'!AW137</f>
        <v/>
      </c>
      <c r="AH134" s="450">
        <f>0</f>
        <v/>
      </c>
      <c r="AI134" s="445" t="n"/>
      <c r="AJ134" s="445" t="n"/>
      <c r="AK134" s="450" t="n">
        <v>562</v>
      </c>
      <c r="AL134" s="450" t="n">
        <v>1</v>
      </c>
    </row>
    <row r="135" ht="17.1" customHeight="1" s="37">
      <c r="A135" s="441">
        <f>A128+0.1</f>
        <v/>
      </c>
      <c r="B135" s="546">
        <f>B134+1</f>
        <v/>
      </c>
      <c r="C135" s="450" t="inlineStr">
        <is>
          <t>sf21</t>
        </is>
      </c>
      <c r="D135" s="257">
        <f>SUM(Y135:AH135)</f>
        <v/>
      </c>
      <c r="E135" s="54">
        <f>'0₦'!AF138</f>
        <v/>
      </c>
      <c r="F135" s="41">
        <f>'0₦'!AG138</f>
        <v/>
      </c>
      <c r="H135" s="410">
        <f>D135</f>
        <v/>
      </c>
      <c r="J135" s="42">
        <f>D135-H135</f>
        <v/>
      </c>
      <c r="L135" s="42">
        <f>D135-SUM(H135,J135)</f>
        <v/>
      </c>
      <c r="N135" s="42">
        <f>D135-SUM(H135,J135,L135,)</f>
        <v/>
      </c>
      <c r="P135" s="42">
        <f>D135-SUM(H135,J135,L135,N135)</f>
        <v/>
      </c>
      <c r="R135" s="42">
        <f>D135-SUM(H135,J135,L135,N135,P135)</f>
        <v/>
      </c>
      <c r="T135" s="42">
        <f>D135-SUM(H135,J135,L135,N135,P135,R135)</f>
        <v/>
      </c>
      <c r="V135" s="42">
        <f>D135-SUM(H135,J135,L135,N135,P135,R135,T135)</f>
        <v/>
      </c>
      <c r="X135" s="56">
        <f>D135-SUM(H135,J135,L135,N135,P135,R135,T135,V135)</f>
        <v/>
      </c>
      <c r="Y135" s="57">
        <f>12*COUNT(G135,I135,K135,M135,O135,Q135,U135,W135,S135)</f>
        <v/>
      </c>
      <c r="Z135" s="40">
        <f>IF(AND('0₦'!T138&lt;&gt;0,'0₦'!T138&lt;&gt;""),9,0) + 0</f>
        <v/>
      </c>
      <c r="AA135" s="445">
        <f>'0₦'!BI138 + 0</f>
        <v/>
      </c>
      <c r="AB135" s="446">
        <f>'0₦'!BE138</f>
        <v/>
      </c>
      <c r="AC135" s="450">
        <f>'0₦'!BC138 + 0</f>
        <v/>
      </c>
      <c r="AD135" s="42">
        <f>'0₦'!BD138</f>
        <v/>
      </c>
      <c r="AE135" s="42">
        <f>'0₦'!AX138</f>
        <v/>
      </c>
      <c r="AF135" s="446">
        <f>hcbi!AA139+hcbi!Y139</f>
        <v/>
      </c>
      <c r="AG135" s="42">
        <f>'0₦'!AW138</f>
        <v/>
      </c>
      <c r="AH135" s="450">
        <f>0</f>
        <v/>
      </c>
      <c r="AK135" s="44" t="n">
        <v>343</v>
      </c>
      <c r="AL135" s="450" t="n">
        <v>180</v>
      </c>
    </row>
    <row r="136" ht="17.1" customHeight="1" s="37">
      <c r="B136" s="546">
        <f>B135+1</f>
        <v/>
      </c>
      <c r="C136" s="450" t="inlineStr">
        <is>
          <t>sf21</t>
        </is>
      </c>
      <c r="D136" s="257">
        <f>SUM(Y136:AH136)</f>
        <v/>
      </c>
      <c r="E136" s="54">
        <f>'0₦'!AF139</f>
        <v/>
      </c>
      <c r="F136" s="41">
        <f>'0₦'!AG139</f>
        <v/>
      </c>
      <c r="H136" s="410">
        <f>D136</f>
        <v/>
      </c>
      <c r="J136" s="42">
        <f>D136-H136</f>
        <v/>
      </c>
      <c r="L136" s="42">
        <f>D136-SUM(H136,J136)</f>
        <v/>
      </c>
      <c r="N136" s="42">
        <f>D136-SUM(H136,J136,L136,)</f>
        <v/>
      </c>
      <c r="P136" s="42">
        <f>D136-SUM(H136,J136,L136,N136)</f>
        <v/>
      </c>
      <c r="R136" s="42">
        <f>D136-SUM(H136,J136,L136,N136,P136)</f>
        <v/>
      </c>
      <c r="T136" s="42">
        <f>D136-SUM(H136,J136,L136,N136,P136,R136)</f>
        <v/>
      </c>
      <c r="V136" s="42">
        <f>D136-SUM(H136,J136,L136,N136,P136,R136,T136)</f>
        <v/>
      </c>
      <c r="X136" s="56">
        <f>D136-SUM(H136,J136,L136,N136,P136,R136,T136,V136)</f>
        <v/>
      </c>
      <c r="Y136" s="57">
        <f>12*COUNT(G136,I136,K136,M136,O136,Q136,U136,W136,S136)</f>
        <v/>
      </c>
      <c r="Z136" s="40">
        <f>IF(AND('0₦'!T139&lt;&gt;0,'0₦'!T139&lt;&gt;""),9,0) + 0</f>
        <v/>
      </c>
      <c r="AA136" s="445">
        <f>'0₦'!BI139 + 0</f>
        <v/>
      </c>
      <c r="AB136" s="446">
        <f>'0₦'!BE139</f>
        <v/>
      </c>
      <c r="AC136" s="450">
        <f>'0₦'!BC139 + 0</f>
        <v/>
      </c>
      <c r="AD136" s="42">
        <f>'0₦'!BD139</f>
        <v/>
      </c>
      <c r="AE136" s="42">
        <f>'0₦'!AX139</f>
        <v/>
      </c>
      <c r="AF136" s="446">
        <f>hcbi!AA140+hcbi!Y140</f>
        <v/>
      </c>
      <c r="AG136" s="42">
        <f>'0₦'!AW139</f>
        <v/>
      </c>
      <c r="AH136" s="450">
        <f>0</f>
        <v/>
      </c>
      <c r="AI136" s="445" t="n"/>
      <c r="AJ136" s="445" t="n"/>
      <c r="AK136" s="44" t="n">
        <v>662</v>
      </c>
      <c r="AL136" s="450" t="n">
        <v>1</v>
      </c>
    </row>
    <row r="137" ht="17.1" customHeight="1" s="37">
      <c r="B137" s="546">
        <f>B136+1</f>
        <v/>
      </c>
      <c r="C137" s="450" t="inlineStr">
        <is>
          <t>sf21</t>
        </is>
      </c>
      <c r="D137" s="257">
        <f>SUM(Y137:AH137)</f>
        <v/>
      </c>
      <c r="E137" s="54">
        <f>'0₦'!AF140</f>
        <v/>
      </c>
      <c r="F137" s="41">
        <f>'0₦'!AG140</f>
        <v/>
      </c>
      <c r="H137" s="410">
        <f>D137</f>
        <v/>
      </c>
      <c r="J137" s="42">
        <f>D137-H137</f>
        <v/>
      </c>
      <c r="L137" s="42">
        <f>D137-SUM(H137,J137)</f>
        <v/>
      </c>
      <c r="N137" s="42">
        <f>D137-SUM(H137,J137,L137,)</f>
        <v/>
      </c>
      <c r="P137" s="42">
        <f>D137-SUM(H137,J137,L137,N137)</f>
        <v/>
      </c>
      <c r="R137" s="42">
        <f>D137-SUM(H137,J137,L137,N137,P137)</f>
        <v/>
      </c>
      <c r="T137" s="42">
        <f>D137-SUM(H137,J137,L137,N137,P137,R137)</f>
        <v/>
      </c>
      <c r="V137" s="42">
        <f>D137-SUM(H137,J137,L137,N137,P137,R137,T137)</f>
        <v/>
      </c>
      <c r="X137" s="56">
        <f>D137-SUM(H137,J137,L137,N137,P137,R137,T137,V137)</f>
        <v/>
      </c>
      <c r="Y137" s="57">
        <f>12*COUNT(G137,I137,K137,M137,O137,Q137,U137,W137,S137)</f>
        <v/>
      </c>
      <c r="Z137" s="40">
        <f>IF(AND('0₦'!T140&lt;&gt;0,'0₦'!T140&lt;&gt;""),9,0) + 0</f>
        <v/>
      </c>
      <c r="AA137" s="445">
        <f>'0₦'!BI140 + 0</f>
        <v/>
      </c>
      <c r="AB137" s="446">
        <f>'0₦'!BE140</f>
        <v/>
      </c>
      <c r="AC137" s="450">
        <f>'0₦'!BC140 + 0</f>
        <v/>
      </c>
      <c r="AD137" s="42">
        <f>'0₦'!BD140</f>
        <v/>
      </c>
      <c r="AE137" s="42">
        <f>'0₦'!AX140</f>
        <v/>
      </c>
      <c r="AF137" s="446">
        <f>hcbi!AA141+hcbi!Y141</f>
        <v/>
      </c>
      <c r="AG137" s="42">
        <f>'0₦'!AW140</f>
        <v/>
      </c>
      <c r="AH137" s="450">
        <f>0</f>
        <v/>
      </c>
      <c r="AK137" s="44" t="n">
        <v>572</v>
      </c>
      <c r="AL137" s="450" t="n">
        <v>1</v>
      </c>
    </row>
    <row r="138" ht="17.1" customHeight="1" s="37">
      <c r="B138" s="546">
        <f>B137+1</f>
        <v/>
      </c>
      <c r="C138" s="450" t="inlineStr">
        <is>
          <t>sf21</t>
        </is>
      </c>
      <c r="D138" s="257">
        <f>SUM(Y138:AH138)</f>
        <v/>
      </c>
      <c r="E138" s="54">
        <f>'0₦'!AF141</f>
        <v/>
      </c>
      <c r="F138" s="41">
        <f>'0₦'!AG141</f>
        <v/>
      </c>
      <c r="H138" s="410">
        <f>D138</f>
        <v/>
      </c>
      <c r="J138" s="42">
        <f>D138-H138</f>
        <v/>
      </c>
      <c r="L138" s="42">
        <f>D138-SUM(H138,J138)</f>
        <v/>
      </c>
      <c r="N138" s="42">
        <f>D138-SUM(H138,J138,L138,)</f>
        <v/>
      </c>
      <c r="P138" s="42">
        <f>D138-SUM(H138,J138,L138,N138)</f>
        <v/>
      </c>
      <c r="R138" s="42">
        <f>D138-SUM(H138,J138,L138,N138,P138)</f>
        <v/>
      </c>
      <c r="T138" s="42">
        <f>D138-SUM(H138,J138,L138,N138,P138,R138)</f>
        <v/>
      </c>
      <c r="V138" s="42">
        <f>D138-SUM(H138,J138,L138,N138,P138,R138,T138)</f>
        <v/>
      </c>
      <c r="X138" s="56">
        <f>D138-SUM(H138,J138,L138,N138,P138,R138,T138,V138)</f>
        <v/>
      </c>
      <c r="Y138" s="57">
        <f>12*COUNT(G138,I138,K138,M138,O138,Q138,U138,W138,S138)</f>
        <v/>
      </c>
      <c r="Z138" s="40">
        <f>IF(AND('0₦'!T141&lt;&gt;0,'0₦'!T141&lt;&gt;""),9,0) + 0</f>
        <v/>
      </c>
      <c r="AA138" s="445">
        <f>'0₦'!BI141 + 0</f>
        <v/>
      </c>
      <c r="AB138" s="446">
        <f>'0₦'!BE141</f>
        <v/>
      </c>
      <c r="AC138" s="450">
        <f>'0₦'!BC141 + 0</f>
        <v/>
      </c>
      <c r="AD138" s="42">
        <f>'0₦'!BD141</f>
        <v/>
      </c>
      <c r="AE138" s="42">
        <f>'0₦'!AX141</f>
        <v/>
      </c>
      <c r="AF138" s="446">
        <f>hcbi!AA142+hcbi!Y142</f>
        <v/>
      </c>
      <c r="AG138" s="42">
        <f>'0₦'!AW141</f>
        <v/>
      </c>
      <c r="AH138" s="450">
        <f>0</f>
        <v/>
      </c>
      <c r="AI138" s="445" t="n"/>
      <c r="AJ138" s="445" t="n"/>
      <c r="AK138" s="44" t="n">
        <v>234</v>
      </c>
      <c r="AL138" s="450" t="n">
        <v>1</v>
      </c>
    </row>
    <row r="139" ht="17.1" customHeight="1" s="37">
      <c r="B139" s="546">
        <f>B138+1</f>
        <v/>
      </c>
      <c r="C139" s="450" t="inlineStr">
        <is>
          <t>sf21</t>
        </is>
      </c>
      <c r="D139" s="257">
        <f>SUM(Y139:AH139)</f>
        <v/>
      </c>
      <c r="E139" s="54">
        <f>'0₦'!AF142</f>
        <v/>
      </c>
      <c r="F139" s="41">
        <f>'0₦'!AG142</f>
        <v/>
      </c>
      <c r="H139" s="410">
        <f>D139</f>
        <v/>
      </c>
      <c r="J139" s="42">
        <f>D139-H139</f>
        <v/>
      </c>
      <c r="L139" s="42">
        <f>D139-SUM(H139,J139)</f>
        <v/>
      </c>
      <c r="N139" s="42">
        <f>D139-SUM(H139,J139,L139,)</f>
        <v/>
      </c>
      <c r="P139" s="42">
        <f>D139-SUM(H139,J139,L139,N139)</f>
        <v/>
      </c>
      <c r="R139" s="42">
        <f>D139-SUM(H139,J139,L139,N139,P139)</f>
        <v/>
      </c>
      <c r="T139" s="42">
        <f>D139-SUM(H139,J139,L139,N139,P139,R139)</f>
        <v/>
      </c>
      <c r="V139" s="42">
        <f>D139-SUM(H139,J139,L139,N139,P139,R139,T139)</f>
        <v/>
      </c>
      <c r="X139" s="56">
        <f>D139-SUM(H139,J139,L139,N139,P139,R139,T139,V139)</f>
        <v/>
      </c>
      <c r="Y139" s="57">
        <f>12*COUNT(G139,I139,K139,M139,O139,Q139,U139,W139,S139)</f>
        <v/>
      </c>
      <c r="Z139" s="40">
        <f>IF(AND('0₦'!T142&lt;&gt;0,'0₦'!T142&lt;&gt;""),9,0) + 0</f>
        <v/>
      </c>
      <c r="AA139" s="445">
        <f>'0₦'!BI142 + 0</f>
        <v/>
      </c>
      <c r="AB139" s="446">
        <f>'0₦'!BE142</f>
        <v/>
      </c>
      <c r="AC139" s="450">
        <f>'0₦'!BC142 + 0</f>
        <v/>
      </c>
      <c r="AD139" s="42">
        <f>'0₦'!BD142</f>
        <v/>
      </c>
      <c r="AE139" s="42">
        <f>'0₦'!AX142</f>
        <v/>
      </c>
      <c r="AF139" s="446">
        <f>hcbi!AA143+hcbi!Y143</f>
        <v/>
      </c>
      <c r="AG139" s="42">
        <f>'0₦'!AW142</f>
        <v/>
      </c>
      <c r="AH139" s="450">
        <f>0</f>
        <v/>
      </c>
      <c r="AK139" s="44" t="n">
        <v>572</v>
      </c>
      <c r="AL139" s="450" t="n">
        <v>1</v>
      </c>
    </row>
    <row r="140" ht="17.1" customHeight="1" s="37">
      <c r="B140" s="546">
        <f>B139+1</f>
        <v/>
      </c>
      <c r="C140" s="450" t="inlineStr">
        <is>
          <t>sf21</t>
        </is>
      </c>
      <c r="D140" s="257">
        <f>SUM(Y140:AH140)</f>
        <v/>
      </c>
      <c r="E140" s="54">
        <f>'0₦'!AF143</f>
        <v/>
      </c>
      <c r="F140" s="41">
        <f>'0₦'!AG143</f>
        <v/>
      </c>
      <c r="H140" s="410">
        <f>D140</f>
        <v/>
      </c>
      <c r="J140" s="42">
        <f>D140-H140</f>
        <v/>
      </c>
      <c r="L140" s="42">
        <f>D140-SUM(H140,J140)</f>
        <v/>
      </c>
      <c r="N140" s="42">
        <f>D140-SUM(H140,J140,L140,)</f>
        <v/>
      </c>
      <c r="P140" s="42">
        <f>D140-SUM(H140,J140,L140,N140)</f>
        <v/>
      </c>
      <c r="R140" s="42">
        <f>D140-SUM(H140,J140,L140,N140,P140)</f>
        <v/>
      </c>
      <c r="T140" s="42">
        <f>D140-SUM(H140,J140,L140,N140,P140,R140)</f>
        <v/>
      </c>
      <c r="V140" s="42">
        <f>D140-SUM(H140,J140,L140,N140,P140,R140,T140)</f>
        <v/>
      </c>
      <c r="X140" s="56">
        <f>D140-SUM(H140,J140,L140,N140,P140,R140,T140,V140)</f>
        <v/>
      </c>
      <c r="Y140" s="57">
        <f>12*COUNT(G140,I140,K140,M140,O140,Q140,U140,W140,S140)</f>
        <v/>
      </c>
      <c r="Z140" s="40">
        <f>IF(AND('0₦'!T143&lt;&gt;0,'0₦'!T143&lt;&gt;""),9,0) + 0</f>
        <v/>
      </c>
      <c r="AA140" s="445">
        <f>'0₦'!BI143 + 0</f>
        <v/>
      </c>
      <c r="AB140" s="446">
        <f>'0₦'!BE143</f>
        <v/>
      </c>
      <c r="AC140" s="450">
        <f>'0₦'!BC143 + 0</f>
        <v/>
      </c>
      <c r="AD140" s="42">
        <f>'0₦'!BD143</f>
        <v/>
      </c>
      <c r="AE140" s="42">
        <f>'0₦'!AX143</f>
        <v/>
      </c>
      <c r="AF140" s="446">
        <f>hcbi!AA144+hcbi!Y144</f>
        <v/>
      </c>
      <c r="AG140" s="42">
        <f>'0₦'!AW143</f>
        <v/>
      </c>
      <c r="AH140" s="450">
        <f>0</f>
        <v/>
      </c>
      <c r="AI140" s="445" t="n"/>
      <c r="AJ140" s="445" t="n"/>
      <c r="AK140" s="44" t="n">
        <v>545</v>
      </c>
      <c r="AL140" s="450" t="n">
        <v>231</v>
      </c>
    </row>
    <row r="141" ht="17.1" customHeight="1" s="37">
      <c r="A141" s="547" t="n"/>
      <c r="B141" s="546">
        <f>B140+1</f>
        <v/>
      </c>
      <c r="C141" s="450" t="inlineStr">
        <is>
          <t>sf21</t>
        </is>
      </c>
      <c r="D141" s="257">
        <f>SUM(Y141:AH141)</f>
        <v/>
      </c>
      <c r="E141" s="54">
        <f>'0₦'!AF144</f>
        <v/>
      </c>
      <c r="F141" s="41">
        <f>'0₦'!AG144</f>
        <v/>
      </c>
      <c r="H141" s="410">
        <f>D141</f>
        <v/>
      </c>
      <c r="J141" s="42">
        <f>D141-H141</f>
        <v/>
      </c>
      <c r="L141" s="42">
        <f>D141-SUM(H141,J141)</f>
        <v/>
      </c>
      <c r="N141" s="42">
        <f>D141-SUM(H141,J141,L141,)</f>
        <v/>
      </c>
      <c r="P141" s="42">
        <f>D141-SUM(H141,J141,L141,N141)</f>
        <v/>
      </c>
      <c r="R141" s="42">
        <f>D141-SUM(H141,J141,L141,N141,P141)</f>
        <v/>
      </c>
      <c r="T141" s="42">
        <f>D141-SUM(H141,J141,L141,N141,P141,R141)</f>
        <v/>
      </c>
      <c r="V141" s="42">
        <f>D141-SUM(H141,J141,L141,N141,P141,R141,T141)</f>
        <v/>
      </c>
      <c r="X141" s="56">
        <f>D141-SUM(H141,J141,L141,N141,P141,R141,T141,V141)</f>
        <v/>
      </c>
      <c r="Y141" s="57">
        <f>12*COUNT(G141,I141,K141,M141,O141,Q141,U141,W141,S141)</f>
        <v/>
      </c>
      <c r="Z141" s="40">
        <f>IF(AND('0₦'!T144&lt;&gt;0,'0₦'!T144&lt;&gt;""),9,0) + 0</f>
        <v/>
      </c>
      <c r="AA141" s="445">
        <f>'0₦'!BI144 + 0</f>
        <v/>
      </c>
      <c r="AB141" s="446">
        <f>'0₦'!BE144</f>
        <v/>
      </c>
      <c r="AC141" s="450">
        <f>'0₦'!BC144 + 0</f>
        <v/>
      </c>
      <c r="AD141" s="42">
        <f>'0₦'!BD144</f>
        <v/>
      </c>
      <c r="AE141" s="42">
        <f>'0₦'!AX144</f>
        <v/>
      </c>
      <c r="AF141" s="446">
        <f>hcbi!AA145+hcbi!Y145</f>
        <v/>
      </c>
      <c r="AG141" s="42">
        <f>'0₦'!AW144</f>
        <v/>
      </c>
      <c r="AH141" s="450">
        <f>0</f>
        <v/>
      </c>
      <c r="AK141" s="44" t="n">
        <v>635</v>
      </c>
      <c r="AL141" s="450" t="n">
        <v>1</v>
      </c>
    </row>
    <row r="142" ht="17.1" customHeight="1" s="37">
      <c r="A142" s="441">
        <f>A135+0.1</f>
        <v/>
      </c>
      <c r="B142" s="546">
        <f>B141+1</f>
        <v/>
      </c>
      <c r="C142" s="450" t="inlineStr">
        <is>
          <t>sf21</t>
        </is>
      </c>
      <c r="D142" s="257">
        <f>SUM(Y142:AH142)</f>
        <v/>
      </c>
      <c r="E142" s="54">
        <f>'0₦'!AF145</f>
        <v/>
      </c>
      <c r="F142" s="41">
        <f>'0₦'!AG145</f>
        <v/>
      </c>
      <c r="H142" s="410">
        <f>D142</f>
        <v/>
      </c>
      <c r="J142" s="42">
        <f>D142-H142</f>
        <v/>
      </c>
      <c r="L142" s="42">
        <f>D142-SUM(H142,J142)</f>
        <v/>
      </c>
      <c r="N142" s="42">
        <f>D142-SUM(H142,J142,L142,)</f>
        <v/>
      </c>
      <c r="P142" s="42">
        <f>D142-SUM(H142,J142,L142,N142)</f>
        <v/>
      </c>
      <c r="R142" s="42">
        <f>D142-SUM(H142,J142,L142,N142,P142)</f>
        <v/>
      </c>
      <c r="T142" s="42">
        <f>D142-SUM(H142,J142,L142,N142,P142,R142)</f>
        <v/>
      </c>
      <c r="V142" s="42">
        <f>D142-SUM(H142,J142,L142,N142,P142,R142,T142)</f>
        <v/>
      </c>
      <c r="X142" s="56">
        <f>D142-SUM(H142,J142,L142,N142,P142,R142,T142,V142)</f>
        <v/>
      </c>
      <c r="Y142" s="57">
        <f>12*COUNT(G142,I142,K142,M142,O142,Q142,U142,W142,S142)</f>
        <v/>
      </c>
      <c r="Z142" s="40">
        <f>IF(AND('0₦'!T145&lt;&gt;0,'0₦'!T145&lt;&gt;""),9,0) + 0</f>
        <v/>
      </c>
      <c r="AA142" s="445">
        <f>'0₦'!BI145 + 0</f>
        <v/>
      </c>
      <c r="AB142" s="446">
        <f>'0₦'!BE145</f>
        <v/>
      </c>
      <c r="AC142" s="450">
        <f>'0₦'!BC145 + 0</f>
        <v/>
      </c>
      <c r="AD142" s="42">
        <f>'0₦'!BD145</f>
        <v/>
      </c>
      <c r="AE142" s="42">
        <f>'0₦'!AX145</f>
        <v/>
      </c>
      <c r="AF142" s="446">
        <f>hcbi!AA146+hcbi!Y146</f>
        <v/>
      </c>
      <c r="AG142" s="42">
        <f>'0₦'!AW145</f>
        <v/>
      </c>
      <c r="AH142" s="450">
        <f>0</f>
        <v/>
      </c>
      <c r="AI142" s="453" t="n"/>
      <c r="AJ142" s="447" t="n"/>
      <c r="AK142" s="44" t="n">
        <v>573</v>
      </c>
      <c r="AL142" s="450" t="n">
        <v>114</v>
      </c>
    </row>
    <row r="143" ht="17.1" customHeight="1" s="37">
      <c r="B143" s="546">
        <f>B142+1</f>
        <v/>
      </c>
      <c r="C143" s="450" t="inlineStr">
        <is>
          <t>sf21</t>
        </is>
      </c>
      <c r="D143" s="257">
        <f>SUM(Y143:AH143)</f>
        <v/>
      </c>
      <c r="E143" s="54">
        <f>'0₦'!AF146</f>
        <v/>
      </c>
      <c r="F143" s="41">
        <f>'0₦'!AG146</f>
        <v/>
      </c>
      <c r="H143" s="410">
        <f>D143</f>
        <v/>
      </c>
      <c r="J143" s="42">
        <f>D143-H143</f>
        <v/>
      </c>
      <c r="L143" s="42">
        <f>D143-SUM(H143,J143)</f>
        <v/>
      </c>
      <c r="N143" s="42">
        <f>D143-SUM(H143,J143,L143,)</f>
        <v/>
      </c>
      <c r="P143" s="42">
        <f>D143-SUM(H143,J143,L143,N143)</f>
        <v/>
      </c>
      <c r="R143" s="42">
        <f>D143-SUM(H143,J143,L143,N143,P143)</f>
        <v/>
      </c>
      <c r="T143" s="42">
        <f>D143-SUM(H143,J143,L143,N143,P143,R143)</f>
        <v/>
      </c>
      <c r="V143" s="42">
        <f>D143-SUM(H143,J143,L143,N143,P143,R143,T143)</f>
        <v/>
      </c>
      <c r="X143" s="56">
        <f>D143-SUM(H143,J143,L143,N143,P143,R143,T143,V143)</f>
        <v/>
      </c>
      <c r="Y143" s="57">
        <f>12*COUNT(G143,I143,K143,M143,O143,Q143,U143,W143,S143)</f>
        <v/>
      </c>
      <c r="Z143" s="40">
        <f>IF(AND('0₦'!T146&lt;&gt;0,'0₦'!T146&lt;&gt;""),9,0) + 0</f>
        <v/>
      </c>
      <c r="AA143" s="445">
        <f>'0₦'!BI146 + 0</f>
        <v/>
      </c>
      <c r="AB143" s="446">
        <f>'0₦'!BE146</f>
        <v/>
      </c>
      <c r="AC143" s="450">
        <f>'0₦'!BC146 + 0</f>
        <v/>
      </c>
      <c r="AD143" s="42">
        <f>'0₦'!BD146</f>
        <v/>
      </c>
      <c r="AE143" s="42">
        <f>'0₦'!AX146</f>
        <v/>
      </c>
      <c r="AF143" s="446">
        <f>hcbi!AA147+hcbi!Y147 + 10 + 10</f>
        <v/>
      </c>
      <c r="AG143" s="42">
        <f>'0₦'!AW146</f>
        <v/>
      </c>
      <c r="AH143" s="450">
        <f>0</f>
        <v/>
      </c>
      <c r="AI143" s="548" t="n"/>
      <c r="AJ143" s="548" t="n"/>
      <c r="AK143" s="44" t="n">
        <v>573</v>
      </c>
      <c r="AL143" s="450" t="n">
        <v>394</v>
      </c>
    </row>
    <row r="144" ht="17.1" customHeight="1" s="37">
      <c r="B144" s="546">
        <f>B143+1</f>
        <v/>
      </c>
      <c r="C144" s="450" t="inlineStr">
        <is>
          <t>sf21</t>
        </is>
      </c>
      <c r="D144" s="257">
        <f>SUM(Y144:AH144)</f>
        <v/>
      </c>
      <c r="E144" s="54">
        <f>'0₦'!AF147</f>
        <v/>
      </c>
      <c r="F144" s="41">
        <f>'0₦'!AG147</f>
        <v/>
      </c>
      <c r="H144" s="410">
        <f>D144</f>
        <v/>
      </c>
      <c r="J144" s="42">
        <f>D144-H144</f>
        <v/>
      </c>
      <c r="L144" s="42">
        <f>D144-SUM(H144,J144)</f>
        <v/>
      </c>
      <c r="N144" s="42">
        <f>D144-SUM(H144,J144,L144,)</f>
        <v/>
      </c>
      <c r="P144" s="42">
        <f>D144-SUM(H144,J144,L144,N144)</f>
        <v/>
      </c>
      <c r="R144" s="42">
        <f>D144-SUM(H144,J144,L144,N144,P144)</f>
        <v/>
      </c>
      <c r="T144" s="42">
        <f>D144-SUM(H144,J144,L144,N144,P144,R144)</f>
        <v/>
      </c>
      <c r="V144" s="42">
        <f>D144-SUM(H144,J144,L144,N144,P144,R144,T144)</f>
        <v/>
      </c>
      <c r="X144" s="56">
        <f>D144-SUM(H144,J144,L144,N144,P144,R144,T144,V144)</f>
        <v/>
      </c>
      <c r="Y144" s="57">
        <f>12*COUNT(G144,I144,K144,M144,O144,Q144,U144,W144,S144)</f>
        <v/>
      </c>
      <c r="Z144" s="40">
        <f>IF(AND('0₦'!T147&lt;&gt;0,'0₦'!T147&lt;&gt;""),9,0) + 0</f>
        <v/>
      </c>
      <c r="AA144" s="445">
        <f>'0₦'!BI147 + 0</f>
        <v/>
      </c>
      <c r="AB144" s="446">
        <f>'0₦'!BE147</f>
        <v/>
      </c>
      <c r="AC144" s="450">
        <f>'0₦'!BC147 + 0</f>
        <v/>
      </c>
      <c r="AD144" s="42">
        <f>'0₦'!BD147</f>
        <v/>
      </c>
      <c r="AE144" s="42">
        <f>'0₦'!AX147</f>
        <v/>
      </c>
      <c r="AF144" s="446">
        <f>hcbi!AA148+hcbi!Y148+10</f>
        <v/>
      </c>
      <c r="AG144" s="42">
        <f>'0₦'!AW147</f>
        <v/>
      </c>
      <c r="AH144" s="450">
        <f>0</f>
        <v/>
      </c>
      <c r="AI144" s="445" t="n"/>
      <c r="AJ144" s="445" t="n"/>
      <c r="AK144" s="44" t="n">
        <v>742</v>
      </c>
      <c r="AL144" s="45" t="n"/>
    </row>
    <row r="145" ht="17.1" customHeight="1" s="37">
      <c r="B145" s="546">
        <f>B144+1</f>
        <v/>
      </c>
      <c r="C145" s="450" t="inlineStr">
        <is>
          <t>sf21</t>
        </is>
      </c>
      <c r="D145" s="257">
        <f>SUM(Y145:AH145)</f>
        <v/>
      </c>
      <c r="E145" s="54">
        <f>'0₦'!AF148</f>
        <v/>
      </c>
      <c r="F145" s="41">
        <f>'0₦'!AG148</f>
        <v/>
      </c>
      <c r="H145" s="410">
        <f>D145</f>
        <v/>
      </c>
      <c r="J145" s="42">
        <f>D145-H145</f>
        <v/>
      </c>
      <c r="L145" s="42">
        <f>D145-SUM(H145,J145)</f>
        <v/>
      </c>
      <c r="N145" s="42">
        <f>D145-SUM(H145,J145,L145,)</f>
        <v/>
      </c>
      <c r="P145" s="42">
        <f>D145-SUM(H145,J145,L145,N145)</f>
        <v/>
      </c>
      <c r="R145" s="42">
        <f>D145-SUM(H145,J145,L145,N145,P145)</f>
        <v/>
      </c>
      <c r="T145" s="42">
        <f>D145-SUM(H145,J145,L145,N145,P145,R145)</f>
        <v/>
      </c>
      <c r="V145" s="42">
        <f>D145-SUM(H145,J145,L145,N145,P145,R145,T145)</f>
        <v/>
      </c>
      <c r="X145" s="56">
        <f>D145-SUM(H145,J145,L145,N145,P145,R145,T145,V145)</f>
        <v/>
      </c>
      <c r="Y145" s="57">
        <f>12*COUNT(G145,I145,K145,M145,O145,Q145,U145,W145,S145)</f>
        <v/>
      </c>
      <c r="Z145" s="40">
        <f>IF(AND('0₦'!T148&lt;&gt;0,'0₦'!T148&lt;&gt;""),9,0) + 0</f>
        <v/>
      </c>
      <c r="AA145" s="445">
        <f>'0₦'!BI148 + 0</f>
        <v/>
      </c>
      <c r="AB145" s="446">
        <f>'0₦'!BE148</f>
        <v/>
      </c>
      <c r="AC145" s="450">
        <f>'0₦'!BC148 + 0</f>
        <v/>
      </c>
      <c r="AD145" s="42">
        <f>'0₦'!BD148</f>
        <v/>
      </c>
      <c r="AE145" s="42">
        <f>'0₦'!AX148</f>
        <v/>
      </c>
      <c r="AF145" s="446">
        <f>hcbi!AA149+hcbi!Y149</f>
        <v/>
      </c>
      <c r="AG145" s="42">
        <f>'0₦'!AW148</f>
        <v/>
      </c>
      <c r="AH145" s="450">
        <f>0</f>
        <v/>
      </c>
      <c r="AK145" s="44" t="n"/>
      <c r="AL145" s="45" t="n"/>
    </row>
    <row r="146" ht="17.1" customHeight="1" s="37">
      <c r="B146" s="546">
        <f>B145+1</f>
        <v/>
      </c>
      <c r="C146" s="450" t="inlineStr">
        <is>
          <t>sf21</t>
        </is>
      </c>
      <c r="D146" s="257">
        <f>SUM(Y146:AH146)</f>
        <v/>
      </c>
      <c r="E146" s="54">
        <f>'0₦'!AF149</f>
        <v/>
      </c>
      <c r="F146" s="41">
        <f>'0₦'!AG149</f>
        <v/>
      </c>
      <c r="H146" s="410">
        <f>D146</f>
        <v/>
      </c>
      <c r="J146" s="42">
        <f>D146-H146</f>
        <v/>
      </c>
      <c r="L146" s="42">
        <f>D146-SUM(H146,J146)</f>
        <v/>
      </c>
      <c r="N146" s="42">
        <f>D146-SUM(H146,J146,L146,)</f>
        <v/>
      </c>
      <c r="P146" s="42">
        <f>D146-SUM(H146,J146,L146,N146)</f>
        <v/>
      </c>
      <c r="R146" s="42">
        <f>D146-SUM(H146,J146,L146,N146,P146)</f>
        <v/>
      </c>
      <c r="T146" s="42">
        <f>D146-SUM(H146,J146,L146,N146,P146,R146)</f>
        <v/>
      </c>
      <c r="V146" s="42">
        <f>D146-SUM(H146,J146,L146,N146,P146,R146,T146)</f>
        <v/>
      </c>
      <c r="X146" s="56">
        <f>D146-SUM(H146,J146,L146,N146,P146,R146,T146,V146)</f>
        <v/>
      </c>
      <c r="Y146" s="57">
        <f>12*COUNT(G146,I146,K146,M146,O146,Q146,U146,W146,S146)</f>
        <v/>
      </c>
      <c r="Z146" s="40">
        <f>IF(AND('0₦'!T149&lt;&gt;0,'0₦'!T149&lt;&gt;""),9,0) + 0</f>
        <v/>
      </c>
      <c r="AA146" s="445">
        <f>'0₦'!BI149 + 0</f>
        <v/>
      </c>
      <c r="AB146" s="446">
        <f>'0₦'!BE149</f>
        <v/>
      </c>
      <c r="AC146" s="450">
        <f>'0₦'!BC149 + 0</f>
        <v/>
      </c>
      <c r="AD146" s="42">
        <f>'0₦'!BD149</f>
        <v/>
      </c>
      <c r="AE146" s="42">
        <f>'0₦'!AX149</f>
        <v/>
      </c>
      <c r="AF146" s="446">
        <f>hcbi!AA150+hcbi!Y150</f>
        <v/>
      </c>
      <c r="AG146" s="42">
        <f>'0₦'!AW149</f>
        <v/>
      </c>
      <c r="AH146" s="450">
        <f>0</f>
        <v/>
      </c>
      <c r="AI146" s="445" t="n"/>
      <c r="AJ146" s="445" t="n"/>
      <c r="AK146" s="44" t="n"/>
      <c r="AL146" s="45" t="n"/>
    </row>
    <row r="147" ht="17.1" customHeight="1" s="37">
      <c r="B147" s="546">
        <f>B146+1</f>
        <v/>
      </c>
      <c r="C147" s="450" t="inlineStr">
        <is>
          <t>sf21</t>
        </is>
      </c>
      <c r="D147" s="257">
        <f>SUM(Y147:AH147)</f>
        <v/>
      </c>
      <c r="E147" s="54">
        <f>'0₦'!AF150</f>
        <v/>
      </c>
      <c r="F147" s="41">
        <f>'0₦'!AG150</f>
        <v/>
      </c>
      <c r="H147" s="410">
        <f>D147</f>
        <v/>
      </c>
      <c r="J147" s="42">
        <f>D147-H147</f>
        <v/>
      </c>
      <c r="L147" s="42">
        <f>D147-SUM(H147,J147)</f>
        <v/>
      </c>
      <c r="N147" s="42">
        <f>D147-SUM(H147,J147,L147,)</f>
        <v/>
      </c>
      <c r="P147" s="42">
        <f>D147-SUM(H147,J147,L147,N147)</f>
        <v/>
      </c>
      <c r="R147" s="42">
        <f>D147-SUM(H147,J147,L147,N147,P147)</f>
        <v/>
      </c>
      <c r="T147" s="42">
        <f>D147-SUM(H147,J147,L147,N147,P147,R147)</f>
        <v/>
      </c>
      <c r="V147" s="42">
        <f>D147-SUM(H147,J147,L147,N147,P147,R147,T147)</f>
        <v/>
      </c>
      <c r="X147" s="56">
        <f>D147-SUM(H147,J147,L147,N147,P147,R147,T147,V147)</f>
        <v/>
      </c>
      <c r="Y147" s="57">
        <f>12*COUNT(G147,I147,K147,M147,O147,Q147,U147,W147,S147)</f>
        <v/>
      </c>
      <c r="Z147" s="40">
        <f>IF(AND('0₦'!T150&lt;&gt;0,'0₦'!T150&lt;&gt;""),9,0) + 0</f>
        <v/>
      </c>
      <c r="AA147" s="445">
        <f>'0₦'!BI150 + 0</f>
        <v/>
      </c>
      <c r="AB147" s="446">
        <f>'0₦'!BE150</f>
        <v/>
      </c>
      <c r="AC147" s="450">
        <f>'0₦'!BC150 + 0</f>
        <v/>
      </c>
      <c r="AD147" s="42">
        <f>'0₦'!BD150</f>
        <v/>
      </c>
      <c r="AE147" s="42">
        <f>'0₦'!AX150</f>
        <v/>
      </c>
      <c r="AF147" s="446">
        <f>hcbi!AA151+hcbi!Y151</f>
        <v/>
      </c>
      <c r="AG147" s="42">
        <f>'0₦'!AW150</f>
        <v/>
      </c>
      <c r="AH147" s="450">
        <f>0</f>
        <v/>
      </c>
      <c r="AK147" s="44" t="n">
        <v>532</v>
      </c>
      <c r="AL147" s="45" t="n"/>
    </row>
    <row r="148" ht="17.1" customHeight="1" s="37">
      <c r="A148" s="547" t="n"/>
      <c r="B148" s="546">
        <f>B147+1</f>
        <v/>
      </c>
      <c r="C148" s="450" t="inlineStr">
        <is>
          <t>sf21</t>
        </is>
      </c>
      <c r="D148" s="257">
        <f>SUM(Y148:AH148)</f>
        <v/>
      </c>
      <c r="E148" s="54">
        <f>'0₦'!AF151</f>
        <v/>
      </c>
      <c r="F148" s="41">
        <f>'0₦'!AG151</f>
        <v/>
      </c>
      <c r="H148" s="410">
        <f>D148</f>
        <v/>
      </c>
      <c r="J148" s="42">
        <f>D148-H148</f>
        <v/>
      </c>
      <c r="L148" s="42">
        <f>D148-SUM(H148,J148)</f>
        <v/>
      </c>
      <c r="N148" s="42">
        <f>D148-SUM(H148,J148,L148,)</f>
        <v/>
      </c>
      <c r="P148" s="42">
        <f>D148-SUM(H148,J148,L148,N148)</f>
        <v/>
      </c>
      <c r="R148" s="42">
        <f>D148-SUM(H148,J148,L148,N148,P148)</f>
        <v/>
      </c>
      <c r="T148" s="42">
        <f>D148-SUM(H148,J148,L148,N148,P148,R148)</f>
        <v/>
      </c>
      <c r="V148" s="42">
        <f>D148-SUM(H148,J148,L148,N148,P148,R148,T148)</f>
        <v/>
      </c>
      <c r="X148" s="56">
        <f>D148-SUM(H148,J148,L148,N148,P148,R148,T148,V148)</f>
        <v/>
      </c>
      <c r="Y148" s="57">
        <f>12*COUNT(G148,I148,K148,M148,O148,Q148,U148,W148,S148)</f>
        <v/>
      </c>
      <c r="Z148" s="40">
        <f>IF(AND('0₦'!T151&lt;&gt;0,'0₦'!T151&lt;&gt;""),9,0) + 0</f>
        <v/>
      </c>
      <c r="AA148" s="445">
        <f>'0₦'!BI151 + 0</f>
        <v/>
      </c>
      <c r="AB148" s="446">
        <f>'0₦'!BE151</f>
        <v/>
      </c>
      <c r="AC148" s="450">
        <f>'0₦'!BC151 + 0</f>
        <v/>
      </c>
      <c r="AD148" s="42">
        <f>'0₦'!BD151</f>
        <v/>
      </c>
      <c r="AE148" s="42">
        <f>'0₦'!AX151</f>
        <v/>
      </c>
      <c r="AF148" s="446">
        <f>hcbi!AA152+hcbi!Y152</f>
        <v/>
      </c>
      <c r="AG148" s="42">
        <f>'0₦'!AW151</f>
        <v/>
      </c>
      <c r="AH148" s="450">
        <f>0</f>
        <v/>
      </c>
      <c r="AI148" s="445" t="n"/>
      <c r="AJ148" s="445" t="n"/>
      <c r="AK148" s="244" t="n">
        <v>684</v>
      </c>
      <c r="AL148" s="45" t="n"/>
    </row>
    <row r="149" ht="17.1" customHeight="1" s="37">
      <c r="A149" s="441">
        <f>A121+1</f>
        <v/>
      </c>
      <c r="B149" s="546">
        <f>B148+1</f>
        <v/>
      </c>
      <c r="C149" s="450" t="inlineStr">
        <is>
          <t>sf21</t>
        </is>
      </c>
      <c r="D149" s="257">
        <f>SUM(Y149:AH149)</f>
        <v/>
      </c>
      <c r="E149" s="54">
        <f>'0₦'!AF152</f>
        <v/>
      </c>
      <c r="F149" s="41">
        <f>'0₦'!AG152</f>
        <v/>
      </c>
      <c r="H149" s="410">
        <f>D149</f>
        <v/>
      </c>
      <c r="J149" s="42">
        <f>D149-H149</f>
        <v/>
      </c>
      <c r="L149" s="42">
        <f>D149-SUM(H149,J149)</f>
        <v/>
      </c>
      <c r="N149" s="42">
        <f>D149-SUM(H149,J149,L149,)</f>
        <v/>
      </c>
      <c r="P149" s="42">
        <f>D149-SUM(H149,J149,L149,N149)</f>
        <v/>
      </c>
      <c r="R149" s="42">
        <f>D149-SUM(H149,J149,L149,N149,P149)</f>
        <v/>
      </c>
      <c r="T149" s="42">
        <f>D149-SUM(H149,J149,L149,N149,P149,R149)</f>
        <v/>
      </c>
      <c r="V149" s="42">
        <f>D149-SUM(H149,J149,L149,N149,P149,R149,T149)</f>
        <v/>
      </c>
      <c r="X149" s="56">
        <f>D149-SUM(H149,J149,L149,N149,P149,R149,T149,V149)</f>
        <v/>
      </c>
      <c r="Y149" s="57">
        <f>12*COUNT(G149,I149,K149,M149,O149,Q149,U149,W149,S149)</f>
        <v/>
      </c>
      <c r="Z149" s="40">
        <f>IF(AND('0₦'!T152&lt;&gt;0,'0₦'!T152&lt;&gt;""),9,0) + 0</f>
        <v/>
      </c>
      <c r="AA149" s="445">
        <f>'0₦'!BI152 + 0</f>
        <v/>
      </c>
      <c r="AB149" s="446">
        <f>'0₦'!BE152</f>
        <v/>
      </c>
      <c r="AC149" s="450">
        <f>'0₦'!BC152 + 0</f>
        <v/>
      </c>
      <c r="AD149" s="42">
        <f>'0₦'!BD152</f>
        <v/>
      </c>
      <c r="AE149" s="42">
        <f>'0₦'!AX152</f>
        <v/>
      </c>
      <c r="AF149" s="446">
        <f>hcbi!AA153+hcbi!Y153</f>
        <v/>
      </c>
      <c r="AG149" s="42">
        <f>'0₦'!AW152</f>
        <v/>
      </c>
      <c r="AH149" s="450">
        <f>0</f>
        <v/>
      </c>
      <c r="AK149" s="44" t="n">
        <v>592</v>
      </c>
      <c r="AL149" s="45" t="n"/>
    </row>
    <row r="150" ht="17.1" customHeight="1" s="37">
      <c r="B150" s="546">
        <f>B149+1</f>
        <v/>
      </c>
      <c r="C150" s="450" t="inlineStr">
        <is>
          <t>sf21</t>
        </is>
      </c>
      <c r="D150" s="257">
        <f>SUM(Y150:AH150)</f>
        <v/>
      </c>
      <c r="E150" s="54">
        <f>'0₦'!AF153</f>
        <v/>
      </c>
      <c r="F150" s="41">
        <f>'0₦'!AG153</f>
        <v/>
      </c>
      <c r="H150" s="410">
        <f>D150</f>
        <v/>
      </c>
      <c r="J150" s="42">
        <f>D150-H150</f>
        <v/>
      </c>
      <c r="L150" s="42">
        <f>D150-SUM(H150,J150)</f>
        <v/>
      </c>
      <c r="N150" s="42">
        <f>D150-SUM(H150,J150,L150,)</f>
        <v/>
      </c>
      <c r="P150" s="42">
        <f>D150-SUM(H150,J150,L150,N150)</f>
        <v/>
      </c>
      <c r="R150" s="42">
        <f>D150-SUM(H150,J150,L150,N150,P150)</f>
        <v/>
      </c>
      <c r="T150" s="42">
        <f>D150-SUM(H150,J150,L150,N150,P150,R150)</f>
        <v/>
      </c>
      <c r="V150" s="42">
        <f>D150-SUM(H150,J150,L150,N150,P150,R150,T150)</f>
        <v/>
      </c>
      <c r="X150" s="56">
        <f>D150-SUM(H150,J150,L150,N150,P150,R150,T150,V150)</f>
        <v/>
      </c>
      <c r="Y150" s="57">
        <f>12*COUNT(G150,I150,K150,M150,O150,Q150,U150,W150,S150)</f>
        <v/>
      </c>
      <c r="Z150" s="40">
        <f>IF(AND('0₦'!T153&lt;&gt;0,'0₦'!T153&lt;&gt;""),9,0) + 0</f>
        <v/>
      </c>
      <c r="AA150" s="445">
        <f>'0₦'!BI153 + 0</f>
        <v/>
      </c>
      <c r="AB150" s="446">
        <f>'0₦'!BE153</f>
        <v/>
      </c>
      <c r="AC150" s="450">
        <f>'0₦'!BC153 + 0</f>
        <v/>
      </c>
      <c r="AD150" s="42">
        <f>'0₦'!BD153</f>
        <v/>
      </c>
      <c r="AE150" s="42">
        <f>'0₦'!AX153</f>
        <v/>
      </c>
      <c r="AF150" s="446">
        <f>hcbi!AA154+hcbi!Y154</f>
        <v/>
      </c>
      <c r="AG150" s="42">
        <f>'0₦'!AW153</f>
        <v/>
      </c>
      <c r="AH150" s="450">
        <f>0</f>
        <v/>
      </c>
      <c r="AI150" s="445" t="n"/>
      <c r="AJ150" s="445" t="n"/>
      <c r="AK150" s="44" t="n"/>
      <c r="AL150" s="45" t="n"/>
    </row>
    <row r="151" ht="17.1" customHeight="1" s="37">
      <c r="B151" s="546">
        <f>B150+1</f>
        <v/>
      </c>
      <c r="C151" s="450" t="inlineStr">
        <is>
          <t>sf21</t>
        </is>
      </c>
      <c r="D151" s="257">
        <f>SUM(Y151:AH151)</f>
        <v/>
      </c>
      <c r="E151" s="54">
        <f>'0₦'!AF154</f>
        <v/>
      </c>
      <c r="F151" s="41">
        <f>'0₦'!AG154</f>
        <v/>
      </c>
      <c r="H151" s="410">
        <f>D151</f>
        <v/>
      </c>
      <c r="J151" s="42">
        <f>D151-H151</f>
        <v/>
      </c>
      <c r="L151" s="42">
        <f>D151-SUM(H151,J151)</f>
        <v/>
      </c>
      <c r="N151" s="42">
        <f>D151-SUM(H151,J151,L151,)</f>
        <v/>
      </c>
      <c r="P151" s="42">
        <f>D151-SUM(H151,J151,L151,N151)</f>
        <v/>
      </c>
      <c r="R151" s="42">
        <f>D151-SUM(H151,J151,L151,N151,P151)</f>
        <v/>
      </c>
      <c r="T151" s="42">
        <f>D151-SUM(H151,J151,L151,N151,P151,R151)</f>
        <v/>
      </c>
      <c r="V151" s="42">
        <f>D151-SUM(H151,J151,L151,N151,P151,R151,T151)</f>
        <v/>
      </c>
      <c r="X151" s="56">
        <f>D151-SUM(H151,J151,L151,N151,P151,R151,T151,V151)</f>
        <v/>
      </c>
      <c r="Y151" s="57">
        <f>12*COUNT(G151,I151,K151,M151,O151,Q151,U151,W151,S151)</f>
        <v/>
      </c>
      <c r="Z151" s="40">
        <f>IF(AND('0₦'!T154&lt;&gt;0,'0₦'!T154&lt;&gt;""),9,0) + 0</f>
        <v/>
      </c>
      <c r="AA151" s="445">
        <f>'0₦'!BI154 + 0</f>
        <v/>
      </c>
      <c r="AB151" s="446">
        <f>'0₦'!BE154</f>
        <v/>
      </c>
      <c r="AC151" s="450">
        <f>'0₦'!BC154 + 0</f>
        <v/>
      </c>
      <c r="AD151" s="42">
        <f>'0₦'!BD154</f>
        <v/>
      </c>
      <c r="AE151" s="42">
        <f>'0₦'!AX154</f>
        <v/>
      </c>
      <c r="AF151" s="446">
        <f>hcbi!AA155+hcbi!Y155</f>
        <v/>
      </c>
      <c r="AG151" s="42">
        <f>'0₦'!AW154</f>
        <v/>
      </c>
      <c r="AH151" s="450">
        <f>0</f>
        <v/>
      </c>
      <c r="AK151" s="44" t="n"/>
      <c r="AL151" s="45" t="n"/>
    </row>
    <row r="152" ht="17.1" customHeight="1" s="37">
      <c r="B152" s="546">
        <f>B151+1</f>
        <v/>
      </c>
      <c r="C152" s="450" t="inlineStr">
        <is>
          <t>sf21</t>
        </is>
      </c>
      <c r="D152" s="257">
        <f>SUM(Y152:AH152)</f>
        <v/>
      </c>
      <c r="E152" s="54">
        <f>'0₦'!AF155</f>
        <v/>
      </c>
      <c r="F152" s="41">
        <f>'0₦'!AG155</f>
        <v/>
      </c>
      <c r="H152" s="410">
        <f>D152</f>
        <v/>
      </c>
      <c r="J152" s="42">
        <f>D152-H152</f>
        <v/>
      </c>
      <c r="L152" s="42">
        <f>D152-SUM(H152,J152)</f>
        <v/>
      </c>
      <c r="N152" s="42">
        <f>D152-SUM(H152,J152,L152,)</f>
        <v/>
      </c>
      <c r="P152" s="42">
        <f>D152-SUM(H152,J152,L152,N152)</f>
        <v/>
      </c>
      <c r="R152" s="42">
        <f>D152-SUM(H152,J152,L152,N152,P152)</f>
        <v/>
      </c>
      <c r="T152" s="42">
        <f>D152-SUM(H152,J152,L152,N152,P152,R152)</f>
        <v/>
      </c>
      <c r="V152" s="42">
        <f>D152-SUM(H152,J152,L152,N152,P152,R152,T152)</f>
        <v/>
      </c>
      <c r="X152" s="56">
        <f>D152-SUM(H152,J152,L152,N152,P152,R152,T152,V152)</f>
        <v/>
      </c>
      <c r="Y152" s="57">
        <f>12*COUNT(G152,I152,K152,M152,O152,Q152,U152,W152,S152)</f>
        <v/>
      </c>
      <c r="Z152" s="40">
        <f>IF(AND('0₦'!T155&lt;&gt;0,'0₦'!T155&lt;&gt;""),9,0) + 0</f>
        <v/>
      </c>
      <c r="AA152" s="445">
        <f>'0₦'!BI155 + 0</f>
        <v/>
      </c>
      <c r="AB152" s="446">
        <f>'0₦'!BE155</f>
        <v/>
      </c>
      <c r="AC152" s="450">
        <f>'0₦'!BC155 + 0</f>
        <v/>
      </c>
      <c r="AD152" s="42">
        <f>'0₦'!BD155</f>
        <v/>
      </c>
      <c r="AE152" s="42">
        <f>'0₦'!AX155</f>
        <v/>
      </c>
      <c r="AF152" s="446">
        <f>hcbi!AA156+hcbi!Y156 + 10</f>
        <v/>
      </c>
      <c r="AG152" s="42">
        <f>'0₦'!AW155</f>
        <v/>
      </c>
      <c r="AH152" s="450">
        <f>0</f>
        <v/>
      </c>
      <c r="AI152" s="445" t="n"/>
      <c r="AJ152" s="445" t="n"/>
      <c r="AK152" s="44" t="n"/>
      <c r="AL152" s="45" t="n"/>
    </row>
    <row r="153" ht="17.1" customHeight="1" s="37">
      <c r="B153" s="546">
        <f>B152+1</f>
        <v/>
      </c>
      <c r="C153" s="450" t="inlineStr">
        <is>
          <t>sf21</t>
        </is>
      </c>
      <c r="D153" s="257">
        <f>SUM(Y153:AH153)</f>
        <v/>
      </c>
      <c r="E153" s="54">
        <f>'0₦'!AF156</f>
        <v/>
      </c>
      <c r="F153" s="41">
        <f>'0₦'!AG156</f>
        <v/>
      </c>
      <c r="H153" s="410">
        <f>D153</f>
        <v/>
      </c>
      <c r="J153" s="42">
        <f>D153-H153</f>
        <v/>
      </c>
      <c r="L153" s="42">
        <f>D153-SUM(H153,J153)</f>
        <v/>
      </c>
      <c r="N153" s="42">
        <f>D153-SUM(H153,J153,L153,)</f>
        <v/>
      </c>
      <c r="P153" s="42">
        <f>D153-SUM(H153,J153,L153,N153)</f>
        <v/>
      </c>
      <c r="R153" s="42">
        <f>D153-SUM(H153,J153,L153,N153,P153)</f>
        <v/>
      </c>
      <c r="T153" s="42">
        <f>D153-SUM(H153,J153,L153,N153,P153,R153)</f>
        <v/>
      </c>
      <c r="V153" s="42">
        <f>D153-SUM(H153,J153,L153,N153,P153,R153,T153)</f>
        <v/>
      </c>
      <c r="X153" s="56">
        <f>D153-SUM(H153,J153,L153,N153,P153,R153,T153,V153)</f>
        <v/>
      </c>
      <c r="Y153" s="57">
        <f>12*COUNT(G153,I153,K153,M153,O153,Q153,U153,W153,S153)</f>
        <v/>
      </c>
      <c r="Z153" s="40">
        <f>IF(AND('0₦'!T156&lt;&gt;0,'0₦'!T156&lt;&gt;""),9,0) + 0</f>
        <v/>
      </c>
      <c r="AA153" s="445">
        <f>'0₦'!BI156 + 0</f>
        <v/>
      </c>
      <c r="AB153" s="446">
        <f>'0₦'!BE156</f>
        <v/>
      </c>
      <c r="AC153" s="450">
        <f>'0₦'!BC156 + 0</f>
        <v/>
      </c>
      <c r="AD153" s="42">
        <f>'0₦'!BD156</f>
        <v/>
      </c>
      <c r="AE153" s="42">
        <f>'0₦'!AX156</f>
        <v/>
      </c>
      <c r="AF153" s="446">
        <f>hcbi!AA157+hcbi!Y157</f>
        <v/>
      </c>
      <c r="AG153" s="42">
        <f>'0₦'!AW156</f>
        <v/>
      </c>
      <c r="AH153" s="450">
        <f>0</f>
        <v/>
      </c>
      <c r="AK153" s="44" t="n"/>
      <c r="AL153" s="45" t="n"/>
    </row>
    <row r="154" ht="17.1" customHeight="1" s="37">
      <c r="B154" s="546">
        <f>B153+1</f>
        <v/>
      </c>
      <c r="C154" s="450" t="inlineStr">
        <is>
          <t>sf21</t>
        </is>
      </c>
      <c r="D154" s="257">
        <f>SUM(Y154:AH154)</f>
        <v/>
      </c>
      <c r="E154" s="54">
        <f>'0₦'!AF157</f>
        <v/>
      </c>
      <c r="F154" s="41">
        <f>'0₦'!AG157</f>
        <v/>
      </c>
      <c r="H154" s="410">
        <f>D154</f>
        <v/>
      </c>
      <c r="J154" s="42">
        <f>D154-H154</f>
        <v/>
      </c>
      <c r="L154" s="42">
        <f>D154-SUM(H154,J154)</f>
        <v/>
      </c>
      <c r="N154" s="42">
        <f>D154-SUM(H154,J154,L154,)</f>
        <v/>
      </c>
      <c r="P154" s="42">
        <f>D154-SUM(H154,J154,L154,N154)</f>
        <v/>
      </c>
      <c r="R154" s="42">
        <f>D154-SUM(H154,J154,L154,N154,P154)</f>
        <v/>
      </c>
      <c r="T154" s="42">
        <f>D154-SUM(H154,J154,L154,N154,P154,R154)</f>
        <v/>
      </c>
      <c r="V154" s="42">
        <f>D154-SUM(H154,J154,L154,N154,P154,R154,T154)</f>
        <v/>
      </c>
      <c r="X154" s="56">
        <f>D154-SUM(H154,J154,L154,N154,P154,R154,T154,V154)</f>
        <v/>
      </c>
      <c r="Y154" s="57">
        <f>12*COUNT(G154,I154,K154,M154,O154,Q154,U154,W154,S154)</f>
        <v/>
      </c>
      <c r="Z154" s="40">
        <f>IF(AND('0₦'!T157&lt;&gt;0,'0₦'!T157&lt;&gt;""),9,0) + 0</f>
        <v/>
      </c>
      <c r="AA154" s="445">
        <f>'0₦'!BI157 + 0</f>
        <v/>
      </c>
      <c r="AB154" s="446">
        <f>'0₦'!BE157</f>
        <v/>
      </c>
      <c r="AC154" s="450">
        <f>'0₦'!BC157 + 0</f>
        <v/>
      </c>
      <c r="AD154" s="42">
        <f>'0₦'!BD157</f>
        <v/>
      </c>
      <c r="AE154" s="42">
        <f>'0₦'!AX157</f>
        <v/>
      </c>
      <c r="AF154" s="446">
        <f>hcbi!AA158+hcbi!Y158 + 20</f>
        <v/>
      </c>
      <c r="AG154" s="42">
        <f>'0₦'!AW157</f>
        <v/>
      </c>
      <c r="AH154" s="450">
        <f>0</f>
        <v/>
      </c>
      <c r="AI154" s="445" t="n"/>
      <c r="AJ154" s="445" t="n"/>
      <c r="AK154" s="44" t="n"/>
      <c r="AL154" s="45" t="n"/>
    </row>
    <row r="155" ht="17.1" customHeight="1" s="37">
      <c r="A155" s="547" t="n"/>
      <c r="B155" s="546">
        <f>B154+1</f>
        <v/>
      </c>
      <c r="C155" s="450" t="inlineStr">
        <is>
          <t>sf21</t>
        </is>
      </c>
      <c r="D155" s="257">
        <f>SUM(Y155:AH155)</f>
        <v/>
      </c>
      <c r="E155" s="54">
        <f>'0₦'!AF158</f>
        <v/>
      </c>
      <c r="F155" s="41">
        <f>'0₦'!AG158</f>
        <v/>
      </c>
      <c r="H155" s="410">
        <f>D155</f>
        <v/>
      </c>
      <c r="J155" s="42">
        <f>D155-H155</f>
        <v/>
      </c>
      <c r="L155" s="42">
        <f>D155-SUM(H155,J155)</f>
        <v/>
      </c>
      <c r="N155" s="42">
        <f>D155-SUM(H155,J155,L155,)</f>
        <v/>
      </c>
      <c r="P155" s="42">
        <f>D155-SUM(H155,J155,L155,N155)</f>
        <v/>
      </c>
      <c r="R155" s="42">
        <f>D155-SUM(H155,J155,L155,N155,P155)</f>
        <v/>
      </c>
      <c r="T155" s="42">
        <f>D155-SUM(H155,J155,L155,N155,P155,R155)</f>
        <v/>
      </c>
      <c r="V155" s="42">
        <f>D155-SUM(H155,J155,L155,N155,P155,R155,T155)</f>
        <v/>
      </c>
      <c r="X155" s="56">
        <f>D155-SUM(H155,J155,L155,N155,P155,R155,T155,V155)</f>
        <v/>
      </c>
      <c r="Y155" s="57">
        <f>12*COUNT(G155,I155,K155,M155,O155,Q155,U155,W155,S155)</f>
        <v/>
      </c>
      <c r="Z155" s="40">
        <f>IF(AND('0₦'!T158&lt;&gt;0,'0₦'!T158&lt;&gt;""),9,0) + 0</f>
        <v/>
      </c>
      <c r="AA155" s="445">
        <f>'0₦'!BI158 + 0</f>
        <v/>
      </c>
      <c r="AB155" s="446">
        <f>'0₦'!BE158</f>
        <v/>
      </c>
      <c r="AC155" s="450">
        <f>'0₦'!BC158 + 0</f>
        <v/>
      </c>
      <c r="AD155" s="42">
        <f>'0₦'!BD158</f>
        <v/>
      </c>
      <c r="AE155" s="42">
        <f>'0₦'!AX158</f>
        <v/>
      </c>
      <c r="AF155" s="446">
        <f>hcbi!AA159+hcbi!Y159</f>
        <v/>
      </c>
      <c r="AG155" s="42">
        <f>'0₦'!AW158</f>
        <v/>
      </c>
      <c r="AH155" s="450">
        <f>0</f>
        <v/>
      </c>
      <c r="AK155" s="44" t="n"/>
      <c r="AL155" s="45" t="n"/>
    </row>
    <row r="156" ht="17.1" customHeight="1" s="37">
      <c r="A156" s="441">
        <f>A149+0.1</f>
        <v/>
      </c>
      <c r="B156" s="546">
        <f>B155+1</f>
        <v/>
      </c>
      <c r="C156" s="450" t="inlineStr">
        <is>
          <t>sf21</t>
        </is>
      </c>
      <c r="D156" s="257">
        <f>SUM(Y156:AH156)</f>
        <v/>
      </c>
      <c r="E156" s="54">
        <f>'0₦'!AF159</f>
        <v/>
      </c>
      <c r="F156" s="41">
        <f>'0₦'!AG159</f>
        <v/>
      </c>
      <c r="H156" s="410">
        <f>D156</f>
        <v/>
      </c>
      <c r="J156" s="42">
        <f>D156-H156</f>
        <v/>
      </c>
      <c r="L156" s="42">
        <f>D156-SUM(H156,J156)</f>
        <v/>
      </c>
      <c r="N156" s="42">
        <f>D156-SUM(H156,J156,L156,)</f>
        <v/>
      </c>
      <c r="P156" s="42">
        <f>D156-SUM(H156,J156,L156,N156)</f>
        <v/>
      </c>
      <c r="R156" s="42">
        <f>D156-SUM(H156,J156,L156,N156,P156)</f>
        <v/>
      </c>
      <c r="T156" s="42">
        <f>D156-SUM(H156,J156,L156,N156,P156,R156)</f>
        <v/>
      </c>
      <c r="V156" s="42">
        <f>D156-SUM(H156,J156,L156,N156,P156,R156,T156)</f>
        <v/>
      </c>
      <c r="X156" s="56">
        <f>D156-SUM(H156,J156,L156,N156,P156,R156,T156,V156)</f>
        <v/>
      </c>
      <c r="Y156" s="57">
        <f>12*COUNT(G156,I156,K156,M156,O156,Q156,U156,W156,S156)</f>
        <v/>
      </c>
      <c r="Z156" s="40">
        <f>IF(AND('0₦'!T159&lt;&gt;0,'0₦'!T159&lt;&gt;""),9,0) + 0</f>
        <v/>
      </c>
      <c r="AA156" s="445">
        <f>'0₦'!BI159 + 0</f>
        <v/>
      </c>
      <c r="AB156" s="446">
        <f>'0₦'!BE159</f>
        <v/>
      </c>
      <c r="AC156" s="450">
        <f>'0₦'!BC159 + 0</f>
        <v/>
      </c>
      <c r="AD156" s="42">
        <f>'0₦'!BD159</f>
        <v/>
      </c>
      <c r="AE156" s="42">
        <f>'0₦'!AX159</f>
        <v/>
      </c>
      <c r="AF156" s="446">
        <f>hcbi!AA160+hcbi!Y160 + 20</f>
        <v/>
      </c>
      <c r="AG156" s="42">
        <f>'0₦'!AW159</f>
        <v/>
      </c>
      <c r="AH156" s="450">
        <f>0</f>
        <v/>
      </c>
      <c r="AI156" s="445" t="n"/>
      <c r="AJ156" s="445" t="n"/>
      <c r="AK156" s="44" t="n"/>
      <c r="AL156" s="45" t="n"/>
    </row>
    <row r="157" ht="17.1" customHeight="1" s="37">
      <c r="B157" s="546">
        <f>B156+1</f>
        <v/>
      </c>
      <c r="C157" s="450" t="inlineStr">
        <is>
          <t>sf21</t>
        </is>
      </c>
      <c r="D157" s="257">
        <f>SUM(Y157:AH157)</f>
        <v/>
      </c>
      <c r="E157" s="54">
        <f>'0₦'!AF160</f>
        <v/>
      </c>
      <c r="F157" s="41">
        <f>'0₦'!AG160</f>
        <v/>
      </c>
      <c r="H157" s="410">
        <f>D157</f>
        <v/>
      </c>
      <c r="J157" s="42">
        <f>D157-H157</f>
        <v/>
      </c>
      <c r="L157" s="42">
        <f>D157-SUM(H157,J157)</f>
        <v/>
      </c>
      <c r="N157" s="42">
        <f>D157-SUM(H157,J157,L157,)</f>
        <v/>
      </c>
      <c r="P157" s="42">
        <f>D157-SUM(H157,J157,L157,N157)</f>
        <v/>
      </c>
      <c r="R157" s="42">
        <f>D157-SUM(H157,J157,L157,N157,P157)</f>
        <v/>
      </c>
      <c r="T157" s="42">
        <f>D157-SUM(H157,J157,L157,N157,P157,R157)</f>
        <v/>
      </c>
      <c r="V157" s="42">
        <f>D157-SUM(H157,J157,L157,N157,P157,R157,T157)</f>
        <v/>
      </c>
      <c r="X157" s="56">
        <f>D157-SUM(H157,J157,L157,N157,P157,R157,T157,V157)</f>
        <v/>
      </c>
      <c r="Y157" s="57">
        <f>12*COUNT(G157,I157,K157,M157,O157,Q157,U157,W157,S157)</f>
        <v/>
      </c>
      <c r="Z157" s="40">
        <f>IF(AND('0₦'!T160&lt;&gt;0,'0₦'!T160&lt;&gt;""),9,0) + 0</f>
        <v/>
      </c>
      <c r="AA157" s="445">
        <f>'0₦'!BI160 + 0</f>
        <v/>
      </c>
      <c r="AB157" s="446">
        <f>'0₦'!BE160</f>
        <v/>
      </c>
      <c r="AC157" s="450">
        <f>'0₦'!BC160 + 0</f>
        <v/>
      </c>
      <c r="AD157" s="42">
        <f>'0₦'!BD160</f>
        <v/>
      </c>
      <c r="AE157" s="42">
        <f>'0₦'!AX160</f>
        <v/>
      </c>
      <c r="AF157" s="446">
        <f>hcbi!AA161+hcbi!Y161</f>
        <v/>
      </c>
      <c r="AG157" s="42">
        <f>'0₦'!AW160</f>
        <v/>
      </c>
      <c r="AH157" s="450">
        <f>0</f>
        <v/>
      </c>
      <c r="AK157" s="44" t="n"/>
      <c r="AL157" s="45" t="n"/>
    </row>
    <row r="158" ht="17.1" customHeight="1" s="37">
      <c r="B158" s="546">
        <f>B157+1</f>
        <v/>
      </c>
      <c r="C158" s="450" t="inlineStr">
        <is>
          <t>sf21</t>
        </is>
      </c>
      <c r="D158" s="257">
        <f>SUM(Y158:AH158)</f>
        <v/>
      </c>
      <c r="E158" s="54">
        <f>'0₦'!AF161</f>
        <v/>
      </c>
      <c r="F158" s="41">
        <f>'0₦'!AG161</f>
        <v/>
      </c>
      <c r="H158" s="410">
        <f>D158</f>
        <v/>
      </c>
      <c r="J158" s="42">
        <f>D158-H158</f>
        <v/>
      </c>
      <c r="L158" s="42">
        <f>D158-SUM(H158,J158)</f>
        <v/>
      </c>
      <c r="N158" s="42">
        <f>D158-SUM(H158,J158,L158,)</f>
        <v/>
      </c>
      <c r="P158" s="42">
        <f>D158-SUM(H158,J158,L158,N158)</f>
        <v/>
      </c>
      <c r="R158" s="42">
        <f>D158-SUM(H158,J158,L158,N158,P158)</f>
        <v/>
      </c>
      <c r="T158" s="42">
        <f>D158-SUM(H158,J158,L158,N158,P158,R158)</f>
        <v/>
      </c>
      <c r="V158" s="42">
        <f>D158-SUM(H158,J158,L158,N158,P158,R158,T158)</f>
        <v/>
      </c>
      <c r="X158" s="56">
        <f>D158-SUM(H158,J158,L158,N158,P158,R158,T158,V158)</f>
        <v/>
      </c>
      <c r="Y158" s="57">
        <f>12*COUNT(G158,I158,K158,M158,O158,Q158,U158,W158,S158)</f>
        <v/>
      </c>
      <c r="Z158" s="40">
        <f>IF(AND('0₦'!T161&lt;&gt;0,'0₦'!T161&lt;&gt;""),9,0) + 0</f>
        <v/>
      </c>
      <c r="AA158" s="445">
        <f>'0₦'!BI161 + 0</f>
        <v/>
      </c>
      <c r="AB158" s="446">
        <f>'0₦'!BE161</f>
        <v/>
      </c>
      <c r="AC158" s="450">
        <f>'0₦'!BC161 + 0</f>
        <v/>
      </c>
      <c r="AD158" s="42">
        <f>'0₦'!BD161</f>
        <v/>
      </c>
      <c r="AE158" s="42">
        <f>'0₦'!AX161</f>
        <v/>
      </c>
      <c r="AF158" s="446">
        <f>hcbi!AA162+hcbi!Y162</f>
        <v/>
      </c>
      <c r="AG158" s="42">
        <f>'0₦'!AW161</f>
        <v/>
      </c>
      <c r="AH158" s="450">
        <f>0</f>
        <v/>
      </c>
      <c r="AI158" s="445" t="n"/>
      <c r="AJ158" s="445" t="n"/>
      <c r="AK158" s="44" t="n"/>
      <c r="AL158" s="45" t="n"/>
    </row>
    <row r="159" ht="17.1" customHeight="1" s="37">
      <c r="B159" s="546">
        <f>B158+1</f>
        <v/>
      </c>
      <c r="C159" s="450" t="inlineStr">
        <is>
          <t>sf21</t>
        </is>
      </c>
      <c r="D159" s="257">
        <f>SUM(Y159:AH159)</f>
        <v/>
      </c>
      <c r="E159" s="54">
        <f>'0₦'!AF162</f>
        <v/>
      </c>
      <c r="F159" s="41">
        <f>'0₦'!AG162</f>
        <v/>
      </c>
      <c r="H159" s="410">
        <f>D159</f>
        <v/>
      </c>
      <c r="J159" s="42">
        <f>D159-H159</f>
        <v/>
      </c>
      <c r="L159" s="42">
        <f>D159-SUM(H159,J159)</f>
        <v/>
      </c>
      <c r="N159" s="42">
        <f>D159-SUM(H159,J159,L159,)</f>
        <v/>
      </c>
      <c r="P159" s="42">
        <f>D159-SUM(H159,J159,L159,N159)</f>
        <v/>
      </c>
      <c r="R159" s="42">
        <f>D159-SUM(H159,J159,L159,N159,P159)</f>
        <v/>
      </c>
      <c r="T159" s="42">
        <f>D159-SUM(H159,J159,L159,N159,P159,R159)</f>
        <v/>
      </c>
      <c r="V159" s="42">
        <f>D159-SUM(H159,J159,L159,N159,P159,R159,T159)</f>
        <v/>
      </c>
      <c r="X159" s="56">
        <f>D159-SUM(H159,J159,L159,N159,P159,R159,T159,V159)</f>
        <v/>
      </c>
      <c r="Y159" s="57">
        <f>12*COUNT(G159,I159,K159,M159,O159,Q159,U159,W159,S159)</f>
        <v/>
      </c>
      <c r="Z159" s="40">
        <f>IF(AND('0₦'!T162&lt;&gt;0,'0₦'!T162&lt;&gt;""),9,0) + 0</f>
        <v/>
      </c>
      <c r="AA159" s="445">
        <f>'0₦'!BI162 + 0</f>
        <v/>
      </c>
      <c r="AB159" s="446">
        <f>'0₦'!BE162</f>
        <v/>
      </c>
      <c r="AC159" s="450">
        <f>'0₦'!BC162 + 0</f>
        <v/>
      </c>
      <c r="AD159" s="42">
        <f>'0₦'!BD162</f>
        <v/>
      </c>
      <c r="AE159" s="42">
        <f>'0₦'!AX162</f>
        <v/>
      </c>
      <c r="AF159" s="446">
        <f>hcbi!AA163+hcbi!Y163</f>
        <v/>
      </c>
      <c r="AG159" s="42">
        <f>'0₦'!AW162</f>
        <v/>
      </c>
      <c r="AH159" s="450">
        <f>0</f>
        <v/>
      </c>
      <c r="AK159" s="44" t="n"/>
      <c r="AL159" s="251" t="n"/>
    </row>
    <row r="160" ht="17.1" customHeight="1" s="37">
      <c r="B160" s="546">
        <f>B159+1</f>
        <v/>
      </c>
      <c r="C160" s="450" t="inlineStr">
        <is>
          <t>sf21</t>
        </is>
      </c>
      <c r="D160" s="257">
        <f>SUM(Y160:AH160)</f>
        <v/>
      </c>
      <c r="E160" s="54">
        <f>'0₦'!AF163</f>
        <v/>
      </c>
      <c r="F160" s="41">
        <f>'0₦'!AG163</f>
        <v/>
      </c>
      <c r="H160" s="410">
        <f>D160</f>
        <v/>
      </c>
      <c r="J160" s="42">
        <f>D160-H160</f>
        <v/>
      </c>
      <c r="L160" s="42">
        <f>D160-SUM(H160,J160)</f>
        <v/>
      </c>
      <c r="N160" s="42">
        <f>D160-SUM(H160,J160,L160,)</f>
        <v/>
      </c>
      <c r="P160" s="42">
        <f>D160-SUM(H160,J160,L160,N160)</f>
        <v/>
      </c>
      <c r="R160" s="42">
        <f>D160-SUM(H160,J160,L160,N160,P160)</f>
        <v/>
      </c>
      <c r="T160" s="42">
        <f>D160-SUM(H160,J160,L160,N160,P160,R160)</f>
        <v/>
      </c>
      <c r="V160" s="42">
        <f>D160-SUM(H160,J160,L160,N160,P160,R160,T160)</f>
        <v/>
      </c>
      <c r="X160" s="56">
        <f>D160-SUM(H160,J160,L160,N160,P160,R160,T160,V160)</f>
        <v/>
      </c>
      <c r="Y160" s="57">
        <f>12*COUNT(G160,I160,K160,M160,O160,Q160,U160,W160,S160)</f>
        <v/>
      </c>
      <c r="Z160" s="40">
        <f>IF(AND('0₦'!T163&lt;&gt;0,'0₦'!T163&lt;&gt;""),9,0) + 0</f>
        <v/>
      </c>
      <c r="AA160" s="445">
        <f>'0₦'!BI163 + 0</f>
        <v/>
      </c>
      <c r="AB160" s="446">
        <f>'0₦'!BE163</f>
        <v/>
      </c>
      <c r="AC160" s="450">
        <f>'0₦'!BC163 + 0</f>
        <v/>
      </c>
      <c r="AD160" s="42">
        <f>'0₦'!BD163</f>
        <v/>
      </c>
      <c r="AE160" s="42">
        <f>'0₦'!AX163</f>
        <v/>
      </c>
      <c r="AF160" s="446">
        <f>hcbi!AA164+hcbi!Y164</f>
        <v/>
      </c>
      <c r="AG160" s="42">
        <f>'0₦'!AW163</f>
        <v/>
      </c>
      <c r="AH160" s="450">
        <f>0</f>
        <v/>
      </c>
      <c r="AI160" s="445" t="n"/>
      <c r="AJ160" s="445" t="n"/>
      <c r="AK160" s="44" t="n"/>
      <c r="AL160" s="45" t="n"/>
    </row>
    <row r="161" ht="17.1" customHeight="1" s="37">
      <c r="B161" s="546">
        <f>B160+1</f>
        <v/>
      </c>
      <c r="C161" s="450" t="inlineStr">
        <is>
          <t>sf21</t>
        </is>
      </c>
      <c r="D161" s="257">
        <f>SUM(Y161:AH161)</f>
        <v/>
      </c>
      <c r="E161" s="54">
        <f>'0₦'!AF164</f>
        <v/>
      </c>
      <c r="F161" s="41">
        <f>'0₦'!AG164</f>
        <v/>
      </c>
      <c r="H161" s="410">
        <f>D161</f>
        <v/>
      </c>
      <c r="J161" s="42">
        <f>D161-H161</f>
        <v/>
      </c>
      <c r="L161" s="42">
        <f>D161-SUM(H161,J161)</f>
        <v/>
      </c>
      <c r="N161" s="42">
        <f>D161-SUM(H161,J161,L161,)</f>
        <v/>
      </c>
      <c r="P161" s="42">
        <f>D161-SUM(H161,J161,L161,N161)</f>
        <v/>
      </c>
      <c r="R161" s="42">
        <f>D161-SUM(H161,J161,L161,N161,P161)</f>
        <v/>
      </c>
      <c r="T161" s="42">
        <f>D161-SUM(H161,J161,L161,N161,P161,R161)</f>
        <v/>
      </c>
      <c r="V161" s="42">
        <f>D161-SUM(H161,J161,L161,N161,P161,R161,T161)</f>
        <v/>
      </c>
      <c r="X161" s="56">
        <f>D161-SUM(H161,J161,L161,N161,P161,R161,T161,V161)</f>
        <v/>
      </c>
      <c r="Y161" s="57">
        <f>12*COUNT(G161,I161,K161,M161,O161,Q161,U161,W161,S161)</f>
        <v/>
      </c>
      <c r="Z161" s="40">
        <f>IF(AND('0₦'!T164&lt;&gt;0,'0₦'!T164&lt;&gt;""),9,0) + 0</f>
        <v/>
      </c>
      <c r="AA161" s="445">
        <f>'0₦'!BI164 + 0</f>
        <v/>
      </c>
      <c r="AB161" s="446">
        <f>'0₦'!BE164</f>
        <v/>
      </c>
      <c r="AC161" s="450">
        <f>'0₦'!BC164 + 0</f>
        <v/>
      </c>
      <c r="AD161" s="42">
        <f>'0₦'!BD164</f>
        <v/>
      </c>
      <c r="AE161" s="42">
        <f>'0₦'!AX164</f>
        <v/>
      </c>
      <c r="AF161" s="446">
        <f>hcbi!AA165+hcbi!Y165</f>
        <v/>
      </c>
      <c r="AG161" s="42">
        <f>'0₦'!AW164</f>
        <v/>
      </c>
      <c r="AH161" s="450">
        <f>0</f>
        <v/>
      </c>
      <c r="AK161" s="44" t="n"/>
      <c r="AL161" s="45" t="n"/>
    </row>
    <row r="162" ht="17.1" customHeight="1" s="37">
      <c r="A162" s="547" t="n"/>
      <c r="B162" s="546">
        <f>B161+1</f>
        <v/>
      </c>
      <c r="C162" s="450" t="inlineStr">
        <is>
          <t>sf21</t>
        </is>
      </c>
      <c r="D162" s="257">
        <f>SUM(Y162:AH162)</f>
        <v/>
      </c>
      <c r="E162" s="54">
        <f>'0₦'!AF165</f>
        <v/>
      </c>
      <c r="F162" s="41">
        <f>'0₦'!AG165</f>
        <v/>
      </c>
      <c r="H162" s="410">
        <f>D162</f>
        <v/>
      </c>
      <c r="J162" s="42">
        <f>D162-H162</f>
        <v/>
      </c>
      <c r="L162" s="42">
        <f>D162-SUM(H162,J162)</f>
        <v/>
      </c>
      <c r="N162" s="42">
        <f>D162-SUM(H162,J162,L162,)</f>
        <v/>
      </c>
      <c r="P162" s="42">
        <f>D162-SUM(H162,J162,L162,N162)</f>
        <v/>
      </c>
      <c r="R162" s="42">
        <f>D162-SUM(H162,J162,L162,N162,P162)</f>
        <v/>
      </c>
      <c r="T162" s="42">
        <f>D162-SUM(H162,J162,L162,N162,P162,R162)</f>
        <v/>
      </c>
      <c r="V162" s="42">
        <f>D162-SUM(H162,J162,L162,N162,P162,R162,T162)</f>
        <v/>
      </c>
      <c r="X162" s="56">
        <f>D162-SUM(H162,J162,L162,N162,P162,R162,T162,V162)</f>
        <v/>
      </c>
      <c r="Y162" s="57">
        <f>12*COUNT(G162,I162,K162,M162,O162,Q162,U162,W162,S162)</f>
        <v/>
      </c>
      <c r="Z162" s="40">
        <f>IF(AND('0₦'!T165&lt;&gt;0,'0₦'!T165&lt;&gt;""),9,0) + 0</f>
        <v/>
      </c>
      <c r="AA162" s="445">
        <f>'0₦'!BI165 + 0</f>
        <v/>
      </c>
      <c r="AB162" s="446">
        <f>'0₦'!BE165</f>
        <v/>
      </c>
      <c r="AC162" s="450">
        <f>'0₦'!BC165 + 0</f>
        <v/>
      </c>
      <c r="AD162" s="42">
        <f>'0₦'!BD165</f>
        <v/>
      </c>
      <c r="AE162" s="42">
        <f>'0₦'!AX165</f>
        <v/>
      </c>
      <c r="AF162" s="446">
        <f>hcbi!AA166+hcbi!Y166</f>
        <v/>
      </c>
      <c r="AG162" s="42">
        <f>'0₦'!AW165</f>
        <v/>
      </c>
      <c r="AH162" s="450">
        <f>0</f>
        <v/>
      </c>
      <c r="AI162" s="445" t="n"/>
      <c r="AJ162" s="445" t="n"/>
      <c r="AK162" s="44" t="n"/>
      <c r="AL162" s="45" t="n"/>
    </row>
    <row r="163" ht="17.1" customHeight="1" s="37">
      <c r="A163" s="441">
        <f>A156+0.1</f>
        <v/>
      </c>
      <c r="B163" s="546">
        <f>B162+1</f>
        <v/>
      </c>
      <c r="C163" s="450" t="inlineStr">
        <is>
          <t>sf21</t>
        </is>
      </c>
      <c r="D163" s="257">
        <f>SUM(Y163:AH163)</f>
        <v/>
      </c>
      <c r="E163" s="54">
        <f>'0₦'!AF166</f>
        <v/>
      </c>
      <c r="F163" s="41">
        <f>'0₦'!AG166</f>
        <v/>
      </c>
      <c r="H163" s="410">
        <f>D163</f>
        <v/>
      </c>
      <c r="J163" s="42">
        <f>D163-H163</f>
        <v/>
      </c>
      <c r="L163" s="42">
        <f>D163-SUM(H163,J163)</f>
        <v/>
      </c>
      <c r="N163" s="42">
        <f>D163-SUM(H163,J163,L163,)</f>
        <v/>
      </c>
      <c r="P163" s="42">
        <f>D163-SUM(H163,J163,L163,N163)</f>
        <v/>
      </c>
      <c r="R163" s="42">
        <f>D163-SUM(H163,J163,L163,N163,P163)</f>
        <v/>
      </c>
      <c r="T163" s="42">
        <f>D163-SUM(H163,J163,L163,N163,P163,R163)</f>
        <v/>
      </c>
      <c r="V163" s="42">
        <f>D163-SUM(H163,J163,L163,N163,P163,R163,T163)</f>
        <v/>
      </c>
      <c r="X163" s="56">
        <f>D163-SUM(H163,J163,L163,N163,P163,R163,T163,V163)</f>
        <v/>
      </c>
      <c r="Y163" s="57">
        <f>12*COUNT(G163,I163,K163,M163,O163,Q163,U163,W163,S163)</f>
        <v/>
      </c>
      <c r="Z163" s="40">
        <f>IF(AND('0₦'!T166&lt;&gt;0,'0₦'!T166&lt;&gt;""),9,0) + 0</f>
        <v/>
      </c>
      <c r="AA163" s="445">
        <f>'0₦'!BI166 + 0</f>
        <v/>
      </c>
      <c r="AB163" s="446">
        <f>'0₦'!BE166</f>
        <v/>
      </c>
      <c r="AC163" s="450">
        <f>'0₦'!BC166 + 0</f>
        <v/>
      </c>
      <c r="AD163" s="42">
        <f>'0₦'!BD166</f>
        <v/>
      </c>
      <c r="AE163" s="42">
        <f>'0₦'!AX166</f>
        <v/>
      </c>
      <c r="AF163" s="446">
        <f>hcbi!AA167+hcbi!Y167</f>
        <v/>
      </c>
      <c r="AG163" s="42">
        <f>'0₦'!AW166</f>
        <v/>
      </c>
      <c r="AH163" s="450">
        <f>0</f>
        <v/>
      </c>
      <c r="AK163" s="44" t="n"/>
      <c r="AL163" s="45" t="n"/>
    </row>
    <row r="164" ht="17.1" customHeight="1" s="37">
      <c r="B164" s="546">
        <f>B163+1</f>
        <v/>
      </c>
      <c r="C164" s="450" t="inlineStr">
        <is>
          <t>sf21</t>
        </is>
      </c>
      <c r="D164" s="257">
        <f>SUM(Y164:AH164)</f>
        <v/>
      </c>
      <c r="E164" s="54">
        <f>'0₦'!AF167</f>
        <v/>
      </c>
      <c r="F164" s="41">
        <f>'0₦'!AG167</f>
        <v/>
      </c>
      <c r="H164" s="410">
        <f>D164</f>
        <v/>
      </c>
      <c r="J164" s="42">
        <f>D164-H164</f>
        <v/>
      </c>
      <c r="L164" s="42">
        <f>D164-SUM(H164,J164)</f>
        <v/>
      </c>
      <c r="N164" s="42">
        <f>D164-SUM(H164,J164,L164,)</f>
        <v/>
      </c>
      <c r="P164" s="42">
        <f>D164-SUM(H164,J164,L164,N164)</f>
        <v/>
      </c>
      <c r="R164" s="42">
        <f>D164-SUM(H164,J164,L164,N164,P164)</f>
        <v/>
      </c>
      <c r="T164" s="42">
        <f>D164-SUM(H164,J164,L164,N164,P164,R164)</f>
        <v/>
      </c>
      <c r="V164" s="42">
        <f>D164-SUM(H164,J164,L164,N164,P164,R164,T164)</f>
        <v/>
      </c>
      <c r="X164" s="56">
        <f>D164-SUM(H164,J164,L164,N164,P164,R164,T164,V164)</f>
        <v/>
      </c>
      <c r="Y164" s="57">
        <f>12*COUNT(G164,I164,K164,M164,O164,Q164,U164,W164,S164)</f>
        <v/>
      </c>
      <c r="Z164" s="40">
        <f>IF(AND('0₦'!T167&lt;&gt;0,'0₦'!T167&lt;&gt;""),9,0) + 0</f>
        <v/>
      </c>
      <c r="AA164" s="445">
        <f>'0₦'!BI167 + 0</f>
        <v/>
      </c>
      <c r="AB164" s="446">
        <f>'0₦'!BE167</f>
        <v/>
      </c>
      <c r="AC164" s="450">
        <f>'0₦'!BC167 + 0</f>
        <v/>
      </c>
      <c r="AD164" s="42">
        <f>'0₦'!BD167</f>
        <v/>
      </c>
      <c r="AE164" s="42">
        <f>'0₦'!AX167</f>
        <v/>
      </c>
      <c r="AF164" s="446">
        <f>hcbi!AA168+hcbi!Y168</f>
        <v/>
      </c>
      <c r="AG164" s="42">
        <f>'0₦'!AW167</f>
        <v/>
      </c>
      <c r="AH164" s="450">
        <f>0</f>
        <v/>
      </c>
      <c r="AI164" s="445" t="n"/>
      <c r="AJ164" s="445" t="n"/>
      <c r="AK164" s="44" t="n"/>
      <c r="AL164" s="45" t="n"/>
    </row>
    <row r="165" ht="17.1" customHeight="1" s="37">
      <c r="B165" s="546">
        <f>B164+1</f>
        <v/>
      </c>
      <c r="C165" s="450" t="inlineStr">
        <is>
          <t>sf21</t>
        </is>
      </c>
      <c r="D165" s="257">
        <f>SUM(Y165:AH165)</f>
        <v/>
      </c>
      <c r="E165" s="54">
        <f>'0₦'!AF168</f>
        <v/>
      </c>
      <c r="F165" s="41">
        <f>'0₦'!AG168</f>
        <v/>
      </c>
      <c r="H165" s="410">
        <f>D165</f>
        <v/>
      </c>
      <c r="J165" s="42">
        <f>D165-H165</f>
        <v/>
      </c>
      <c r="L165" s="42">
        <f>D165-SUM(H165,J165)</f>
        <v/>
      </c>
      <c r="N165" s="42">
        <f>D165-SUM(H165,J165,L165,)</f>
        <v/>
      </c>
      <c r="P165" s="42">
        <f>D165-SUM(H165,J165,L165,N165)</f>
        <v/>
      </c>
      <c r="R165" s="42">
        <f>D165-SUM(H165,J165,L165,N165,P165)</f>
        <v/>
      </c>
      <c r="T165" s="42">
        <f>D165-SUM(H165,J165,L165,N165,P165,R165)</f>
        <v/>
      </c>
      <c r="V165" s="42">
        <f>D165-SUM(H165,J165,L165,N165,P165,R165,T165)</f>
        <v/>
      </c>
      <c r="X165" s="56">
        <f>D165-SUM(H165,J165,L165,N165,P165,R165,T165,V165)</f>
        <v/>
      </c>
      <c r="Y165" s="57">
        <f>12*COUNT(G165,I165,K165,M165,O165,Q165,U165,W165,S165)</f>
        <v/>
      </c>
      <c r="Z165" s="40">
        <f>IF(AND('0₦'!T168&lt;&gt;0,'0₦'!T168&lt;&gt;""),9,0) + 0</f>
        <v/>
      </c>
      <c r="AA165" s="445">
        <f>'0₦'!BI168 + 0</f>
        <v/>
      </c>
      <c r="AB165" s="446">
        <f>'0₦'!BE168</f>
        <v/>
      </c>
      <c r="AC165" s="450">
        <f>'0₦'!BC168 + 0</f>
        <v/>
      </c>
      <c r="AD165" s="42">
        <f>'0₦'!BD168</f>
        <v/>
      </c>
      <c r="AE165" s="42">
        <f>'0₦'!AX168</f>
        <v/>
      </c>
      <c r="AF165" s="446">
        <f>hcbi!AA169+hcbi!Y169</f>
        <v/>
      </c>
      <c r="AG165" s="42">
        <f>'0₦'!AW168</f>
        <v/>
      </c>
      <c r="AH165" s="450">
        <f>0</f>
        <v/>
      </c>
      <c r="AK165" s="44" t="n"/>
      <c r="AL165" s="45" t="n"/>
    </row>
    <row r="166" ht="17.1" customHeight="1" s="37">
      <c r="B166" s="546">
        <f>B165+1</f>
        <v/>
      </c>
      <c r="C166" s="450" t="inlineStr">
        <is>
          <t>sf21</t>
        </is>
      </c>
      <c r="D166" s="257">
        <f>SUM(Y166:AH166)</f>
        <v/>
      </c>
      <c r="E166" s="54">
        <f>'0₦'!AF169</f>
        <v/>
      </c>
      <c r="F166" s="41">
        <f>'0₦'!AG169</f>
        <v/>
      </c>
      <c r="H166" s="410">
        <f>D166</f>
        <v/>
      </c>
      <c r="J166" s="42">
        <f>D166-H166</f>
        <v/>
      </c>
      <c r="L166" s="42">
        <f>D166-SUM(H166,J166)</f>
        <v/>
      </c>
      <c r="N166" s="42">
        <f>D166-SUM(H166,J166,L166,)</f>
        <v/>
      </c>
      <c r="P166" s="42">
        <f>D166-SUM(H166,J166,L166,N166)</f>
        <v/>
      </c>
      <c r="R166" s="42">
        <f>D166-SUM(H166,J166,L166,N166,P166)</f>
        <v/>
      </c>
      <c r="T166" s="42">
        <f>D166-SUM(H166,J166,L166,N166,P166,R166)</f>
        <v/>
      </c>
      <c r="V166" s="42">
        <f>D166-SUM(H166,J166,L166,N166,P166,R166,T166)</f>
        <v/>
      </c>
      <c r="X166" s="56">
        <f>D166-SUM(H166,J166,L166,N166,P166,R166,T166,V166)</f>
        <v/>
      </c>
      <c r="Y166" s="57">
        <f>12*COUNT(G166,I166,K166,M166,O166,Q166,U166,W166,S166)</f>
        <v/>
      </c>
      <c r="Z166" s="40">
        <f>IF(AND('0₦'!T169&lt;&gt;0,'0₦'!T169&lt;&gt;""),9,0) + 0</f>
        <v/>
      </c>
      <c r="AA166" s="445">
        <f>'0₦'!BI169 + 0</f>
        <v/>
      </c>
      <c r="AB166" s="446">
        <f>'0₦'!BE169</f>
        <v/>
      </c>
      <c r="AC166" s="450">
        <f>'0₦'!BC169 + 0</f>
        <v/>
      </c>
      <c r="AD166" s="42">
        <f>'0₦'!BD169</f>
        <v/>
      </c>
      <c r="AE166" s="42">
        <f>'0₦'!AX169</f>
        <v/>
      </c>
      <c r="AF166" s="446">
        <f>hcbi!AA170+hcbi!Y170 + 20</f>
        <v/>
      </c>
      <c r="AG166" s="42">
        <f>'0₦'!AW169</f>
        <v/>
      </c>
      <c r="AH166" s="450">
        <f>0</f>
        <v/>
      </c>
      <c r="AI166" s="445" t="n"/>
      <c r="AJ166" s="445" t="n"/>
      <c r="AK166" s="44" t="n"/>
      <c r="AL166" s="45" t="n"/>
    </row>
    <row r="167" ht="17.1" customHeight="1" s="37">
      <c r="B167" s="546">
        <f>B166+1</f>
        <v/>
      </c>
      <c r="C167" s="450" t="inlineStr">
        <is>
          <t>sf21</t>
        </is>
      </c>
      <c r="D167" s="257">
        <f>SUM(Y167:AH167)</f>
        <v/>
      </c>
      <c r="E167" s="54">
        <f>'0₦'!AF170</f>
        <v/>
      </c>
      <c r="F167" s="41">
        <f>'0₦'!AG170</f>
        <v/>
      </c>
      <c r="H167" s="410">
        <f>D167</f>
        <v/>
      </c>
      <c r="J167" s="42">
        <f>D167-H167</f>
        <v/>
      </c>
      <c r="L167" s="42">
        <f>D167-SUM(H167,J167)</f>
        <v/>
      </c>
      <c r="N167" s="42">
        <f>D167-SUM(H167,J167,L167,)</f>
        <v/>
      </c>
      <c r="P167" s="42">
        <f>D167-SUM(H167,J167,L167,N167)</f>
        <v/>
      </c>
      <c r="R167" s="42">
        <f>D167-SUM(H167,J167,L167,N167,P167)</f>
        <v/>
      </c>
      <c r="T167" s="42">
        <f>D167-SUM(H167,J167,L167,N167,P167,R167)</f>
        <v/>
      </c>
      <c r="V167" s="42">
        <f>D167-SUM(H167,J167,L167,N167,P167,R167,T167)</f>
        <v/>
      </c>
      <c r="X167" s="56">
        <f>D167-SUM(H167,J167,L167,N167,P167,R167,T167,V167)</f>
        <v/>
      </c>
      <c r="Y167" s="57">
        <f>12*COUNT(G167,I167,K167,M167,O167,Q167,U167,W167,S167)</f>
        <v/>
      </c>
      <c r="Z167" s="40">
        <f>IF(AND('0₦'!T170&lt;&gt;0,'0₦'!T170&lt;&gt;""),9,0) + 0</f>
        <v/>
      </c>
      <c r="AA167" s="445">
        <f>'0₦'!BI170 + 0</f>
        <v/>
      </c>
      <c r="AB167" s="446">
        <f>'0₦'!BE170</f>
        <v/>
      </c>
      <c r="AC167" s="450">
        <f>'0₦'!BC170 + 0</f>
        <v/>
      </c>
      <c r="AD167" s="42">
        <f>'0₦'!BD170</f>
        <v/>
      </c>
      <c r="AE167" s="42">
        <f>'0₦'!AX170</f>
        <v/>
      </c>
      <c r="AF167" s="446">
        <f>hcbi!AA171+hcbi!Y171</f>
        <v/>
      </c>
      <c r="AG167" s="42">
        <f>'0₦'!AW170</f>
        <v/>
      </c>
      <c r="AH167" s="450">
        <f>0</f>
        <v/>
      </c>
      <c r="AK167" s="44" t="n"/>
      <c r="AL167" s="45" t="n"/>
    </row>
    <row r="168" ht="17.1" customHeight="1" s="37">
      <c r="B168" s="546">
        <f>B167+1</f>
        <v/>
      </c>
      <c r="C168" s="450" t="inlineStr">
        <is>
          <t>sf21</t>
        </is>
      </c>
      <c r="D168" s="257">
        <f>SUM(Y168:AH168)</f>
        <v/>
      </c>
      <c r="E168" s="54">
        <f>'0₦'!AF171</f>
        <v/>
      </c>
      <c r="F168" s="41">
        <f>'0₦'!AG171</f>
        <v/>
      </c>
      <c r="H168" s="410">
        <f>D168</f>
        <v/>
      </c>
      <c r="J168" s="42">
        <f>D168-H168</f>
        <v/>
      </c>
      <c r="L168" s="42">
        <f>D168-SUM(H168,J168)</f>
        <v/>
      </c>
      <c r="N168" s="42">
        <f>D168-SUM(H168,J168,L168,)</f>
        <v/>
      </c>
      <c r="P168" s="42">
        <f>D168-SUM(H168,J168,L168,N168)</f>
        <v/>
      </c>
      <c r="R168" s="42">
        <f>D168-SUM(H168,J168,L168,N168,P168)</f>
        <v/>
      </c>
      <c r="T168" s="42">
        <f>D168-SUM(H168,J168,L168,N168,P168,R168)</f>
        <v/>
      </c>
      <c r="V168" s="42">
        <f>D168-SUM(H168,J168,L168,N168,P168,R168,T168)</f>
        <v/>
      </c>
      <c r="X168" s="56">
        <f>D168-SUM(H168,J168,L168,N168,P168,R168,T168,V168)</f>
        <v/>
      </c>
      <c r="Y168" s="57">
        <f>12*COUNT(G168,I168,K168,M168,O168,Q168,U168,W168,S168)</f>
        <v/>
      </c>
      <c r="Z168" s="40">
        <f>IF(AND('0₦'!T171&lt;&gt;0,'0₦'!T171&lt;&gt;""),9,0) + 0</f>
        <v/>
      </c>
      <c r="AA168" s="445">
        <f>'0₦'!BI171 + 0</f>
        <v/>
      </c>
      <c r="AB168" s="446">
        <f>'0₦'!BE171</f>
        <v/>
      </c>
      <c r="AC168" s="450">
        <f>'0₦'!BC171 + 0</f>
        <v/>
      </c>
      <c r="AD168" s="42">
        <f>'0₦'!BD171</f>
        <v/>
      </c>
      <c r="AE168" s="42">
        <f>'0₦'!AX171</f>
        <v/>
      </c>
      <c r="AF168" s="446">
        <f>hcbi!AA172+hcbi!Y172 + 40</f>
        <v/>
      </c>
      <c r="AG168" s="42">
        <f>'0₦'!AW171</f>
        <v/>
      </c>
      <c r="AH168" s="450">
        <f>0</f>
        <v/>
      </c>
      <c r="AI168" s="445" t="n"/>
      <c r="AJ168" s="445" t="n"/>
      <c r="AK168" s="44" t="n"/>
      <c r="AL168" s="45" t="n"/>
    </row>
    <row r="169" ht="17.1" customHeight="1" s="37">
      <c r="A169" s="547" t="n"/>
      <c r="B169" s="546">
        <f>B168+1</f>
        <v/>
      </c>
      <c r="C169" s="450" t="inlineStr">
        <is>
          <t>sf21</t>
        </is>
      </c>
      <c r="D169" s="257">
        <f>SUM(Y169:AH169)</f>
        <v/>
      </c>
      <c r="E169" s="54">
        <f>'0₦'!AF172</f>
        <v/>
      </c>
      <c r="F169" s="41">
        <f>'0₦'!AG172</f>
        <v/>
      </c>
      <c r="H169" s="410">
        <f>D169</f>
        <v/>
      </c>
      <c r="J169" s="42">
        <f>D169-H169</f>
        <v/>
      </c>
      <c r="L169" s="42">
        <f>D169-SUM(H169,J169)</f>
        <v/>
      </c>
      <c r="N169" s="42">
        <f>D169-SUM(H169,J169,L169,)</f>
        <v/>
      </c>
      <c r="P169" s="42">
        <f>D169-SUM(H169,J169,L169,N169)</f>
        <v/>
      </c>
      <c r="R169" s="42">
        <f>D169-SUM(H169,J169,L169,N169,P169)</f>
        <v/>
      </c>
      <c r="T169" s="42">
        <f>D169-SUM(H169,J169,L169,N169,P169,R169)</f>
        <v/>
      </c>
      <c r="V169" s="42">
        <f>D169-SUM(H169,J169,L169,N169,P169,R169,T169)</f>
        <v/>
      </c>
      <c r="X169" s="56">
        <f>D169-SUM(H169,J169,L169,N169,P169,R169,T169,V169)</f>
        <v/>
      </c>
      <c r="Y169" s="57">
        <f>12*COUNT(G169,I169,K169,M169,O169,Q169,U169,W169,S169)</f>
        <v/>
      </c>
      <c r="Z169" s="40">
        <f>IF(AND('0₦'!T172&lt;&gt;0,'0₦'!T172&lt;&gt;""),9,0) + 0</f>
        <v/>
      </c>
      <c r="AA169" s="445">
        <f>'0₦'!BI172 + 0</f>
        <v/>
      </c>
      <c r="AB169" s="446">
        <f>'0₦'!BE172</f>
        <v/>
      </c>
      <c r="AC169" s="450">
        <f>'0₦'!BC172 + 0</f>
        <v/>
      </c>
      <c r="AD169" s="42">
        <f>'0₦'!BD172</f>
        <v/>
      </c>
      <c r="AE169" s="42">
        <f>'0₦'!AX172</f>
        <v/>
      </c>
      <c r="AF169" s="446">
        <f>hcbi!AA173+hcbi!Y173</f>
        <v/>
      </c>
      <c r="AG169" s="42">
        <f>'0₦'!AW172</f>
        <v/>
      </c>
      <c r="AH169" s="450">
        <f>0</f>
        <v/>
      </c>
      <c r="AK169" s="44" t="n"/>
      <c r="AL169" s="45" t="n"/>
    </row>
    <row r="170" ht="17.1" customHeight="1" s="37">
      <c r="A170" s="441">
        <f>A163+0.1</f>
        <v/>
      </c>
      <c r="B170" s="546">
        <f>B169+1</f>
        <v/>
      </c>
      <c r="C170" s="450" t="inlineStr">
        <is>
          <t>sf21</t>
        </is>
      </c>
      <c r="D170" s="257">
        <f>SUM(Y170:AH170)</f>
        <v/>
      </c>
      <c r="E170" s="54">
        <f>'0₦'!AF173</f>
        <v/>
      </c>
      <c r="F170" s="41">
        <f>'0₦'!AG173</f>
        <v/>
      </c>
      <c r="H170" s="410">
        <f>D170</f>
        <v/>
      </c>
      <c r="J170" s="42">
        <f>D170-H170</f>
        <v/>
      </c>
      <c r="L170" s="42">
        <f>D170-SUM(H170,J170)</f>
        <v/>
      </c>
      <c r="N170" s="42">
        <f>D170-SUM(H170,J170,L170,)</f>
        <v/>
      </c>
      <c r="P170" s="42">
        <f>D170-SUM(H170,J170,L170,N170)</f>
        <v/>
      </c>
      <c r="R170" s="42">
        <f>D170-SUM(H170,J170,L170,N170,P170)</f>
        <v/>
      </c>
      <c r="T170" s="42">
        <f>D170-SUM(H170,J170,L170,N170,P170,R170)</f>
        <v/>
      </c>
      <c r="V170" s="42">
        <f>D170-SUM(H170,J170,L170,N170,P170,R170,T170)</f>
        <v/>
      </c>
      <c r="X170" s="56">
        <f>D170-SUM(H170,J170,L170,N170,P170,R170,T170,V170)</f>
        <v/>
      </c>
      <c r="Y170" s="57">
        <f>12*COUNT(G170,I170,K170,M170,O170,Q170,U170,W170,S170)</f>
        <v/>
      </c>
      <c r="Z170" s="40">
        <f>IF(AND('0₦'!T173&lt;&gt;0,'0₦'!T173&lt;&gt;""),9,0) + 0</f>
        <v/>
      </c>
      <c r="AA170" s="445">
        <f>'0₦'!BI173 + 0</f>
        <v/>
      </c>
      <c r="AB170" s="446">
        <f>'0₦'!BE173</f>
        <v/>
      </c>
      <c r="AC170" s="450">
        <f>'0₦'!BC173 + 0</f>
        <v/>
      </c>
      <c r="AD170" s="42">
        <f>'0₦'!BD173</f>
        <v/>
      </c>
      <c r="AE170" s="42">
        <f>'0₦'!AX173</f>
        <v/>
      </c>
      <c r="AF170" s="446">
        <f>hcbi!AA174+hcbi!Y174</f>
        <v/>
      </c>
      <c r="AG170" s="42">
        <f>'0₦'!AW173</f>
        <v/>
      </c>
      <c r="AH170" s="450">
        <f>0</f>
        <v/>
      </c>
      <c r="AI170" s="445" t="n"/>
      <c r="AJ170" s="445" t="n"/>
      <c r="AK170" s="44" t="n"/>
      <c r="AL170" s="45" t="n"/>
    </row>
    <row r="171" ht="17.1" customHeight="1" s="37">
      <c r="B171" s="546">
        <f>B170+1</f>
        <v/>
      </c>
      <c r="C171" s="450" t="inlineStr">
        <is>
          <t>sf21</t>
        </is>
      </c>
      <c r="D171" s="257">
        <f>SUM(Y171:AH171)</f>
        <v/>
      </c>
      <c r="E171" s="54">
        <f>'0₦'!AF174</f>
        <v/>
      </c>
      <c r="F171" s="41">
        <f>'0₦'!AG174</f>
        <v/>
      </c>
      <c r="H171" s="410">
        <f>D171</f>
        <v/>
      </c>
      <c r="J171" s="42">
        <f>D171-H171</f>
        <v/>
      </c>
      <c r="L171" s="42">
        <f>D171-SUM(H171,J171)</f>
        <v/>
      </c>
      <c r="N171" s="42">
        <f>D171-SUM(H171,J171,L171,)</f>
        <v/>
      </c>
      <c r="P171" s="42">
        <f>D171-SUM(H171,J171,L171,N171)</f>
        <v/>
      </c>
      <c r="R171" s="42">
        <f>D171-SUM(H171,J171,L171,N171,P171)</f>
        <v/>
      </c>
      <c r="T171" s="42">
        <f>D171-SUM(H171,J171,L171,N171,P171,R171)</f>
        <v/>
      </c>
      <c r="V171" s="42">
        <f>D171-SUM(H171,J171,L171,N171,P171,R171,T171)</f>
        <v/>
      </c>
      <c r="X171" s="56">
        <f>D171-SUM(H171,J171,L171,N171,P171,R171,T171,V171)</f>
        <v/>
      </c>
      <c r="Y171" s="57">
        <f>12*COUNT(G171,I171,K171,M171,O171,Q171,U171,W171,S171)</f>
        <v/>
      </c>
      <c r="Z171" s="40">
        <f>IF(AND('0₦'!T174&lt;&gt;0,'0₦'!T174&lt;&gt;""),9,0) + 0</f>
        <v/>
      </c>
      <c r="AA171" s="445">
        <f>'0₦'!BI174 + 0</f>
        <v/>
      </c>
      <c r="AB171" s="446">
        <f>'0₦'!BE174</f>
        <v/>
      </c>
      <c r="AC171" s="450">
        <f>'0₦'!BC174 + 0</f>
        <v/>
      </c>
      <c r="AD171" s="42">
        <f>'0₦'!BD174</f>
        <v/>
      </c>
      <c r="AE171" s="42">
        <f>'0₦'!AX174</f>
        <v/>
      </c>
      <c r="AF171" s="446">
        <f>hcbi!AA175+hcbi!Y175</f>
        <v/>
      </c>
      <c r="AG171" s="42">
        <f>'0₦'!AW174</f>
        <v/>
      </c>
      <c r="AH171" s="450">
        <f>0</f>
        <v/>
      </c>
      <c r="AK171" s="44" t="n"/>
      <c r="AL171" s="45" t="n"/>
    </row>
    <row r="172" ht="17.1" customHeight="1" s="37">
      <c r="B172" s="546">
        <f>B171+1</f>
        <v/>
      </c>
      <c r="C172" s="450" t="inlineStr">
        <is>
          <t>sf21</t>
        </is>
      </c>
      <c r="D172" s="257">
        <f>SUM(Y172:AH172)</f>
        <v/>
      </c>
      <c r="E172" s="54">
        <f>'0₦'!AF175</f>
        <v/>
      </c>
      <c r="F172" s="41">
        <f>'0₦'!AG175</f>
        <v/>
      </c>
      <c r="H172" s="410">
        <f>D172</f>
        <v/>
      </c>
      <c r="J172" s="42">
        <f>D172-H172</f>
        <v/>
      </c>
      <c r="L172" s="42">
        <f>D172-SUM(H172,J172)</f>
        <v/>
      </c>
      <c r="N172" s="42">
        <f>D172-SUM(H172,J172,L172,)</f>
        <v/>
      </c>
      <c r="P172" s="42">
        <f>D172-SUM(H172,J172,L172,N172)</f>
        <v/>
      </c>
      <c r="R172" s="42">
        <f>D172-SUM(H172,J172,L172,N172,P172)</f>
        <v/>
      </c>
      <c r="T172" s="42">
        <f>D172-SUM(H172,J172,L172,N172,P172,R172)</f>
        <v/>
      </c>
      <c r="V172" s="42">
        <f>D172-SUM(H172,J172,L172,N172,P172,R172,T172)</f>
        <v/>
      </c>
      <c r="X172" s="56">
        <f>D172-SUM(H172,J172,L172,N172,P172,R172,T172,V172)</f>
        <v/>
      </c>
      <c r="Y172" s="57">
        <f>12*COUNT(G172,I172,K172,M172,O172,Q172,U172,W172,S172)</f>
        <v/>
      </c>
      <c r="Z172" s="40">
        <f>IF(AND('0₦'!T175&lt;&gt;0,'0₦'!T175&lt;&gt;""),9,0) + 0</f>
        <v/>
      </c>
      <c r="AA172" s="445">
        <f>'0₦'!BI175 + 0</f>
        <v/>
      </c>
      <c r="AB172" s="446">
        <f>'0₦'!BE175</f>
        <v/>
      </c>
      <c r="AC172" s="450">
        <f>'0₦'!BC175 + 0</f>
        <v/>
      </c>
      <c r="AD172" s="42">
        <f>'0₦'!BD175</f>
        <v/>
      </c>
      <c r="AE172" s="42">
        <f>'0₦'!AX175</f>
        <v/>
      </c>
      <c r="AF172" s="446">
        <f>hcbi!AA176+hcbi!Y176</f>
        <v/>
      </c>
      <c r="AG172" s="42">
        <f>'0₦'!AW175</f>
        <v/>
      </c>
      <c r="AH172" s="450">
        <f>0</f>
        <v/>
      </c>
      <c r="AI172" s="445" t="n"/>
      <c r="AJ172" s="445" t="n"/>
      <c r="AK172" s="44" t="n"/>
      <c r="AL172" s="45" t="n"/>
    </row>
    <row r="173" ht="17.1" customHeight="1" s="37">
      <c r="B173" s="546">
        <f>B172+1</f>
        <v/>
      </c>
      <c r="C173" s="450" t="inlineStr">
        <is>
          <t>sf21</t>
        </is>
      </c>
      <c r="D173" s="257">
        <f>SUM(Y173:AH173)</f>
        <v/>
      </c>
      <c r="E173" s="54">
        <f>'0₦'!AF176</f>
        <v/>
      </c>
      <c r="F173" s="41">
        <f>'0₦'!AG176</f>
        <v/>
      </c>
      <c r="H173" s="410">
        <f>D173</f>
        <v/>
      </c>
      <c r="J173" s="42">
        <f>D173-H173</f>
        <v/>
      </c>
      <c r="L173" s="42">
        <f>D173-SUM(H173,J173)</f>
        <v/>
      </c>
      <c r="N173" s="42">
        <f>D173-SUM(H173,J173,L173,)</f>
        <v/>
      </c>
      <c r="P173" s="42">
        <f>D173-SUM(H173,J173,L173,N173)</f>
        <v/>
      </c>
      <c r="R173" s="42">
        <f>D173-SUM(H173,J173,L173,N173,P173)</f>
        <v/>
      </c>
      <c r="T173" s="42">
        <f>D173-SUM(H173,J173,L173,N173,P173,R173)</f>
        <v/>
      </c>
      <c r="V173" s="42">
        <f>D173-SUM(H173,J173,L173,N173,P173,R173,T173)</f>
        <v/>
      </c>
      <c r="X173" s="56">
        <f>D173-SUM(H173,J173,L173,N173,P173,R173,T173,V173)</f>
        <v/>
      </c>
      <c r="Y173" s="57">
        <f>12*COUNT(G173,I173,K173,M173,O173,Q173,U173,W173,S173)</f>
        <v/>
      </c>
      <c r="Z173" s="40">
        <f>IF(AND('0₦'!T176&lt;&gt;0,'0₦'!T176&lt;&gt;""),9,0) + 0</f>
        <v/>
      </c>
      <c r="AA173" s="445">
        <f>'0₦'!BI176 + 0</f>
        <v/>
      </c>
      <c r="AB173" s="446">
        <f>'0₦'!BE176</f>
        <v/>
      </c>
      <c r="AC173" s="450">
        <f>'0₦'!BC176 + 0</f>
        <v/>
      </c>
      <c r="AD173" s="42">
        <f>'0₦'!BD176</f>
        <v/>
      </c>
      <c r="AE173" s="42">
        <f>'0₦'!AX176</f>
        <v/>
      </c>
      <c r="AF173" s="446">
        <f>hcbi!AA177+hcbi!Y177</f>
        <v/>
      </c>
      <c r="AG173" s="42">
        <f>'0₦'!AW176</f>
        <v/>
      </c>
      <c r="AH173" s="450">
        <f>0</f>
        <v/>
      </c>
      <c r="AK173" s="44" t="n"/>
      <c r="AL173" s="45" t="n"/>
    </row>
    <row r="174" ht="17.1" customHeight="1" s="37">
      <c r="B174" s="546">
        <f>B173+1</f>
        <v/>
      </c>
      <c r="C174" s="450" t="inlineStr">
        <is>
          <t>sf21</t>
        </is>
      </c>
      <c r="D174" s="257">
        <f>SUM(Y174:AH174)</f>
        <v/>
      </c>
      <c r="E174" s="54">
        <f>'0₦'!AF177</f>
        <v/>
      </c>
      <c r="F174" s="41">
        <f>'0₦'!AG177</f>
        <v/>
      </c>
      <c r="H174" s="410">
        <f>D174</f>
        <v/>
      </c>
      <c r="J174" s="42">
        <f>D174-H174</f>
        <v/>
      </c>
      <c r="L174" s="42">
        <f>D174-SUM(H174,J174)</f>
        <v/>
      </c>
      <c r="N174" s="42">
        <f>D174-SUM(H174,J174,L174,)</f>
        <v/>
      </c>
      <c r="P174" s="42">
        <f>D174-SUM(H174,J174,L174,N174)</f>
        <v/>
      </c>
      <c r="R174" s="42">
        <f>D174-SUM(H174,J174,L174,N174,P174)</f>
        <v/>
      </c>
      <c r="T174" s="42">
        <f>D174-SUM(H174,J174,L174,N174,P174,R174)</f>
        <v/>
      </c>
      <c r="V174" s="42">
        <f>D174-SUM(H174,J174,L174,N174,P174,R174,T174)</f>
        <v/>
      </c>
      <c r="X174" s="56">
        <f>D174-SUM(H174,J174,L174,N174,P174,R174,T174,V174)</f>
        <v/>
      </c>
      <c r="Y174" s="57">
        <f>12*COUNT(G174,I174,K174,M174,O174,Q174,U174,W174,S174)</f>
        <v/>
      </c>
      <c r="Z174" s="40">
        <f>IF(AND('0₦'!T177&lt;&gt;0,'0₦'!T177&lt;&gt;""),9,0) + 0</f>
        <v/>
      </c>
      <c r="AA174" s="445">
        <f>'0₦'!BI177 + 0</f>
        <v/>
      </c>
      <c r="AB174" s="446">
        <f>'0₦'!BE177</f>
        <v/>
      </c>
      <c r="AC174" s="450">
        <f>'0₦'!BC177 + 0</f>
        <v/>
      </c>
      <c r="AD174" s="42">
        <f>'0₦'!BD177</f>
        <v/>
      </c>
      <c r="AE174" s="42">
        <f>'0₦'!AX177</f>
        <v/>
      </c>
      <c r="AF174" s="446">
        <f>hcbi!AA178+hcbi!Y178 + 20</f>
        <v/>
      </c>
      <c r="AG174" s="42">
        <f>'0₦'!AW177</f>
        <v/>
      </c>
      <c r="AH174" s="450">
        <f>0</f>
        <v/>
      </c>
      <c r="AI174" s="445" t="n"/>
      <c r="AJ174" s="445" t="n"/>
      <c r="AK174" s="44" t="n"/>
      <c r="AL174" s="45" t="n"/>
    </row>
    <row r="175" ht="17.1" customHeight="1" s="37">
      <c r="B175" s="546">
        <f>B174+1</f>
        <v/>
      </c>
      <c r="C175" s="450" t="inlineStr">
        <is>
          <t>sf21</t>
        </is>
      </c>
      <c r="D175" s="257">
        <f>SUM(Y175:AH175)</f>
        <v/>
      </c>
      <c r="E175" s="54">
        <f>'0₦'!AF178</f>
        <v/>
      </c>
      <c r="F175" s="41">
        <f>'0₦'!AG178</f>
        <v/>
      </c>
      <c r="H175" s="410">
        <f>D175</f>
        <v/>
      </c>
      <c r="J175" s="42">
        <f>D175-H175</f>
        <v/>
      </c>
      <c r="L175" s="42">
        <f>D175-SUM(H175,J175)</f>
        <v/>
      </c>
      <c r="N175" s="42">
        <f>D175-SUM(H175,J175,L175,)</f>
        <v/>
      </c>
      <c r="P175" s="42">
        <f>D175-SUM(H175,J175,L175,N175)</f>
        <v/>
      </c>
      <c r="R175" s="42">
        <f>D175-SUM(H175,J175,L175,N175,P175)</f>
        <v/>
      </c>
      <c r="T175" s="42">
        <f>D175-SUM(H175,J175,L175,N175,P175,R175)</f>
        <v/>
      </c>
      <c r="V175" s="42">
        <f>D175-SUM(H175,J175,L175,N175,P175,R175,T175)</f>
        <v/>
      </c>
      <c r="X175" s="56">
        <f>D175-SUM(H175,J175,L175,N175,P175,R175,T175,V175)</f>
        <v/>
      </c>
      <c r="Y175" s="57">
        <f>12*COUNT(G175,I175,K175,M175,O175,Q175,U175,W175,S175)</f>
        <v/>
      </c>
      <c r="Z175" s="40">
        <f>IF(AND('0₦'!T178&lt;&gt;0,'0₦'!T178&lt;&gt;""),9,0) + 0</f>
        <v/>
      </c>
      <c r="AA175" s="445">
        <f>'0₦'!BI178 + 0</f>
        <v/>
      </c>
      <c r="AB175" s="446">
        <f>'0₦'!BE178</f>
        <v/>
      </c>
      <c r="AC175" s="450">
        <f>'0₦'!BC178 + 0</f>
        <v/>
      </c>
      <c r="AD175" s="42">
        <f>'0₦'!BD178</f>
        <v/>
      </c>
      <c r="AE175" s="42">
        <f>'0₦'!AX178</f>
        <v/>
      </c>
      <c r="AF175" s="446">
        <f>hcbi!AA179+hcbi!Y179 + 20</f>
        <v/>
      </c>
      <c r="AG175" s="42">
        <f>'0₦'!AW178</f>
        <v/>
      </c>
      <c r="AH175" s="450">
        <f>0</f>
        <v/>
      </c>
      <c r="AK175" s="44" t="n"/>
      <c r="AL175" s="45" t="n"/>
    </row>
    <row r="176" ht="17.1" customHeight="1" s="37">
      <c r="A176" s="547" t="n"/>
      <c r="B176" s="546">
        <f>B175+1</f>
        <v/>
      </c>
      <c r="C176" s="450" t="inlineStr">
        <is>
          <t>sf21</t>
        </is>
      </c>
      <c r="D176" s="257">
        <f>SUM(Y176:AH176)</f>
        <v/>
      </c>
      <c r="E176" s="54">
        <f>'0₦'!AF179</f>
        <v/>
      </c>
      <c r="F176" s="41">
        <f>'0₦'!AG179</f>
        <v/>
      </c>
      <c r="H176" s="410">
        <f>D176</f>
        <v/>
      </c>
      <c r="J176" s="42">
        <f>D176-H176</f>
        <v/>
      </c>
      <c r="L176" s="42">
        <f>D176-SUM(H176,J176)</f>
        <v/>
      </c>
      <c r="N176" s="42">
        <f>D176-SUM(H176,J176,L176,)</f>
        <v/>
      </c>
      <c r="P176" s="42">
        <f>D176-SUM(H176,J176,L176,N176)</f>
        <v/>
      </c>
      <c r="R176" s="42">
        <f>D176-SUM(H176,J176,L176,N176,P176)</f>
        <v/>
      </c>
      <c r="T176" s="42">
        <f>D176-SUM(H176,J176,L176,N176,P176,R176)</f>
        <v/>
      </c>
      <c r="V176" s="42">
        <f>D176-SUM(H176,J176,L176,N176,P176,R176,T176)</f>
        <v/>
      </c>
      <c r="X176" s="56">
        <f>D176-SUM(H176,J176,L176,N176,P176,R176,T176,V176)</f>
        <v/>
      </c>
      <c r="Y176" s="57">
        <f>12*COUNT(G176,I176,K176,M176,O176,Q176,U176,W176,S176)</f>
        <v/>
      </c>
      <c r="Z176" s="40">
        <f>IF(AND('0₦'!T179&lt;&gt;0,'0₦'!T179&lt;&gt;""),9,0) + 0</f>
        <v/>
      </c>
      <c r="AA176" s="445">
        <f>'0₦'!BI179 + 0</f>
        <v/>
      </c>
      <c r="AB176" s="446">
        <f>'0₦'!BE179</f>
        <v/>
      </c>
      <c r="AC176" s="450">
        <f>'0₦'!BC179 + 0</f>
        <v/>
      </c>
      <c r="AD176" s="42">
        <f>'0₦'!BD179</f>
        <v/>
      </c>
      <c r="AE176" s="42">
        <f>'0₦'!AX179</f>
        <v/>
      </c>
      <c r="AF176" s="446">
        <f>hcbi!AA180+hcbi!Y180 + 5</f>
        <v/>
      </c>
      <c r="AG176" s="42">
        <f>'0₦'!AW179</f>
        <v/>
      </c>
      <c r="AH176" s="450">
        <f>0</f>
        <v/>
      </c>
      <c r="AI176" s="445" t="n"/>
      <c r="AJ176" s="445" t="n"/>
      <c r="AK176" s="44" t="n"/>
      <c r="AL176" s="45" t="n"/>
    </row>
    <row r="177" ht="17.1" customHeight="1" s="37">
      <c r="A177" s="441">
        <f>A170+0.1</f>
        <v/>
      </c>
      <c r="B177" s="546">
        <f>B176+1</f>
        <v/>
      </c>
      <c r="C177" s="450" t="inlineStr">
        <is>
          <t>sf21</t>
        </is>
      </c>
      <c r="D177" s="257">
        <f>SUM(Y177:AH177)</f>
        <v/>
      </c>
      <c r="E177" s="54">
        <f>'0₦'!AF180</f>
        <v/>
      </c>
      <c r="F177" s="41">
        <f>'0₦'!AG180</f>
        <v/>
      </c>
      <c r="H177" s="410">
        <f>D177</f>
        <v/>
      </c>
      <c r="J177" s="42">
        <f>D177-H177</f>
        <v/>
      </c>
      <c r="L177" s="42">
        <f>D177-SUM(H177,J177)</f>
        <v/>
      </c>
      <c r="N177" s="42">
        <f>D177-SUM(H177,J177,L177,)</f>
        <v/>
      </c>
      <c r="P177" s="42">
        <f>D177-SUM(H177,J177,L177,N177)</f>
        <v/>
      </c>
      <c r="R177" s="42">
        <f>D177-SUM(H177,J177,L177,N177,P177)</f>
        <v/>
      </c>
      <c r="T177" s="42">
        <f>D177-SUM(H177,J177,L177,N177,P177,R177)</f>
        <v/>
      </c>
      <c r="V177" s="42">
        <f>D177-SUM(H177,J177,L177,N177,P177,R177,T177)</f>
        <v/>
      </c>
      <c r="X177" s="56">
        <f>D177-SUM(H177,J177,L177,N177,P177,R177,T177,V177)</f>
        <v/>
      </c>
      <c r="Y177" s="57">
        <f>12*COUNT(G177,I177,K177,M177,O177,Q177,U177,W177,S177)</f>
        <v/>
      </c>
      <c r="Z177" s="40">
        <f>IF(AND('0₦'!T180&lt;&gt;0,'0₦'!T180&lt;&gt;""),9,0) + 0</f>
        <v/>
      </c>
      <c r="AA177" s="445">
        <f>'0₦'!BI180 + 0</f>
        <v/>
      </c>
      <c r="AB177" s="446">
        <f>'0₦'!BE180</f>
        <v/>
      </c>
      <c r="AC177" s="450">
        <f>'0₦'!BC180 + 0</f>
        <v/>
      </c>
      <c r="AD177" s="42">
        <f>'0₦'!BD180</f>
        <v/>
      </c>
      <c r="AE177" s="42">
        <f>'0₦'!AX180</f>
        <v/>
      </c>
      <c r="AF177" s="446">
        <f>hcbi!AA181+hcbi!Y181 + 20</f>
        <v/>
      </c>
      <c r="AG177" s="42">
        <f>'0₦'!AW180</f>
        <v/>
      </c>
      <c r="AH177" s="450">
        <f>0</f>
        <v/>
      </c>
      <c r="AK177" s="44" t="n"/>
      <c r="AL177" s="45" t="n"/>
    </row>
    <row r="178" ht="17.1" customHeight="1" s="37">
      <c r="B178" s="546">
        <f>B177+1</f>
        <v/>
      </c>
      <c r="C178" s="450" t="inlineStr">
        <is>
          <t>sf21</t>
        </is>
      </c>
      <c r="D178" s="257">
        <f>SUM(Y178:AH178)</f>
        <v/>
      </c>
      <c r="E178" s="54">
        <f>'0₦'!AF181</f>
        <v/>
      </c>
      <c r="F178" s="41">
        <f>'0₦'!AG181</f>
        <v/>
      </c>
      <c r="H178" s="410">
        <f>D178</f>
        <v/>
      </c>
      <c r="J178" s="42">
        <f>D178-H178</f>
        <v/>
      </c>
      <c r="L178" s="42">
        <f>D178-SUM(H178,J178)</f>
        <v/>
      </c>
      <c r="N178" s="42">
        <f>D178-SUM(H178,J178,L178,)</f>
        <v/>
      </c>
      <c r="P178" s="42">
        <f>D178-SUM(H178,J178,L178,N178)</f>
        <v/>
      </c>
      <c r="R178" s="42">
        <f>D178-SUM(H178,J178,L178,N178,P178)</f>
        <v/>
      </c>
      <c r="T178" s="42">
        <f>D178-SUM(H178,J178,L178,N178,P178,R178)</f>
        <v/>
      </c>
      <c r="V178" s="42">
        <f>D178-SUM(H178,J178,L178,N178,P178,R178,T178)</f>
        <v/>
      </c>
      <c r="X178" s="56">
        <f>D178-SUM(H178,J178,L178,N178,P178,R178,T178,V178)</f>
        <v/>
      </c>
      <c r="Y178" s="57">
        <f>12*COUNT(G178,I178,K178,M178,O178,Q178,U178,W178,S178)</f>
        <v/>
      </c>
      <c r="Z178" s="40">
        <f>IF(AND('0₦'!T181&lt;&gt;0,'0₦'!T181&lt;&gt;""),9,0) + 0</f>
        <v/>
      </c>
      <c r="AA178" s="445">
        <f>'0₦'!BI181 + 0</f>
        <v/>
      </c>
      <c r="AB178" s="446">
        <f>'0₦'!BE181</f>
        <v/>
      </c>
      <c r="AC178" s="450">
        <f>'0₦'!BC181 + 0</f>
        <v/>
      </c>
      <c r="AD178" s="42">
        <f>'0₦'!BD181</f>
        <v/>
      </c>
      <c r="AE178" s="42">
        <f>'0₦'!AX181</f>
        <v/>
      </c>
      <c r="AF178" s="446">
        <f>hcbi!AA182+hcbi!Y182</f>
        <v/>
      </c>
      <c r="AG178" s="42">
        <f>'0₦'!AW181</f>
        <v/>
      </c>
      <c r="AH178" s="450">
        <f>0</f>
        <v/>
      </c>
      <c r="AI178" s="445" t="n"/>
      <c r="AJ178" s="445" t="n"/>
      <c r="AK178" s="44" t="n"/>
      <c r="AL178" s="45" t="n"/>
    </row>
    <row r="179" ht="17.1" customHeight="1" s="37">
      <c r="B179" s="546">
        <f>B178+1</f>
        <v/>
      </c>
      <c r="C179" s="450" t="inlineStr">
        <is>
          <t>sf21</t>
        </is>
      </c>
      <c r="D179" s="257">
        <f>SUM(Y179:AH179)</f>
        <v/>
      </c>
      <c r="E179" s="54">
        <f>'0₦'!AF182</f>
        <v/>
      </c>
      <c r="F179" s="41">
        <f>'0₦'!AG182</f>
        <v/>
      </c>
      <c r="H179" s="410">
        <f>D179</f>
        <v/>
      </c>
      <c r="J179" s="42">
        <f>D179-H179</f>
        <v/>
      </c>
      <c r="L179" s="42">
        <f>D179-SUM(H179,J179)</f>
        <v/>
      </c>
      <c r="N179" s="42">
        <f>D179-SUM(H179,J179,L179,)</f>
        <v/>
      </c>
      <c r="P179" s="42">
        <f>D179-SUM(H179,J179,L179,N179)</f>
        <v/>
      </c>
      <c r="R179" s="42">
        <f>D179-SUM(H179,J179,L179,N179,P179)</f>
        <v/>
      </c>
      <c r="T179" s="42">
        <f>D179-SUM(H179,J179,L179,N179,P179,R179)</f>
        <v/>
      </c>
      <c r="V179" s="42">
        <f>D179-SUM(H179,J179,L179,N179,P179,R179,T179)</f>
        <v/>
      </c>
      <c r="X179" s="56">
        <f>D179-SUM(H179,J179,L179,N179,P179,R179,T179,V179)</f>
        <v/>
      </c>
      <c r="Y179" s="57">
        <f>12*COUNT(G179,I179,K179,M179,O179,Q179,U179,W179,S179)</f>
        <v/>
      </c>
      <c r="Z179" s="40">
        <f>IF(AND('0₦'!T182&lt;&gt;0,'0₦'!T182&lt;&gt;""),9,0) + 0</f>
        <v/>
      </c>
      <c r="AA179" s="445">
        <f>'0₦'!BI182 + 0</f>
        <v/>
      </c>
      <c r="AB179" s="446">
        <f>'0₦'!BE182</f>
        <v/>
      </c>
      <c r="AC179" s="450">
        <f>'0₦'!BC182 + 0</f>
        <v/>
      </c>
      <c r="AD179" s="42">
        <f>'0₦'!BD182</f>
        <v/>
      </c>
      <c r="AE179" s="42">
        <f>'0₦'!AX182</f>
        <v/>
      </c>
      <c r="AF179" s="446">
        <f>hcbi!AA183+hcbi!Y183</f>
        <v/>
      </c>
      <c r="AG179" s="42">
        <f>'0₦'!AW182</f>
        <v/>
      </c>
      <c r="AH179" s="450">
        <f>0</f>
        <v/>
      </c>
      <c r="AK179" s="44" t="n"/>
      <c r="AL179" s="45" t="n"/>
    </row>
    <row r="180" ht="17.1" customHeight="1" s="37">
      <c r="B180" s="546">
        <f>B179+1</f>
        <v/>
      </c>
      <c r="C180" s="450" t="inlineStr">
        <is>
          <t>sf21</t>
        </is>
      </c>
      <c r="D180" s="257">
        <f>SUM(Y180:AH180)</f>
        <v/>
      </c>
      <c r="E180" s="54">
        <f>'0₦'!AF183</f>
        <v/>
      </c>
      <c r="F180" s="41">
        <f>'0₦'!AG183</f>
        <v/>
      </c>
      <c r="H180" s="410">
        <f>D180</f>
        <v/>
      </c>
      <c r="J180" s="42">
        <f>D180-H180</f>
        <v/>
      </c>
      <c r="L180" s="42">
        <f>D180-SUM(H180,J180)</f>
        <v/>
      </c>
      <c r="N180" s="42">
        <f>D180-SUM(H180,J180,L180,)</f>
        <v/>
      </c>
      <c r="P180" s="42">
        <f>D180-SUM(H180,J180,L180,N180)</f>
        <v/>
      </c>
      <c r="R180" s="42">
        <f>D180-SUM(H180,J180,L180,N180,P180)</f>
        <v/>
      </c>
      <c r="T180" s="42">
        <f>D180-SUM(H180,J180,L180,N180,P180,R180)</f>
        <v/>
      </c>
      <c r="V180" s="42">
        <f>D180-SUM(H180,J180,L180,N180,P180,R180,T180)</f>
        <v/>
      </c>
      <c r="X180" s="56">
        <f>D180-SUM(H180,J180,L180,N180,P180,R180,T180,V180)</f>
        <v/>
      </c>
      <c r="Y180" s="57">
        <f>12*COUNT(G180,I180,K180,M180,O180,Q180,U180,W180,S180)</f>
        <v/>
      </c>
      <c r="Z180" s="40">
        <f>IF(AND('0₦'!T183&lt;&gt;0,'0₦'!T183&lt;&gt;""),9,0) + 0</f>
        <v/>
      </c>
      <c r="AA180" s="445">
        <f>'0₦'!BI183 + 0</f>
        <v/>
      </c>
      <c r="AB180" s="446">
        <f>'0₦'!BE183</f>
        <v/>
      </c>
      <c r="AC180" s="450">
        <f>'0₦'!BC183 + 0</f>
        <v/>
      </c>
      <c r="AD180" s="42">
        <f>'0₦'!BD183</f>
        <v/>
      </c>
      <c r="AE180" s="42">
        <f>'0₦'!AX183</f>
        <v/>
      </c>
      <c r="AF180" s="446">
        <f>hcbi!AA184+hcbi!Y184</f>
        <v/>
      </c>
      <c r="AG180" s="42">
        <f>'0₦'!AW183</f>
        <v/>
      </c>
      <c r="AH180" s="450">
        <f>0</f>
        <v/>
      </c>
      <c r="AI180" s="445" t="n"/>
      <c r="AJ180" s="445" t="n"/>
      <c r="AK180" s="44" t="n"/>
      <c r="AL180" s="45" t="n"/>
    </row>
    <row r="181" ht="17.1" customHeight="1" s="37">
      <c r="B181" s="546">
        <f>B180+1</f>
        <v/>
      </c>
      <c r="C181" s="450" t="inlineStr">
        <is>
          <t>sf21</t>
        </is>
      </c>
      <c r="D181" s="257">
        <f>SUM(Y181:AH181)</f>
        <v/>
      </c>
      <c r="E181" s="54">
        <f>'0₦'!AF184</f>
        <v/>
      </c>
      <c r="F181" s="41">
        <f>'0₦'!AG184</f>
        <v/>
      </c>
      <c r="H181" s="410">
        <f>D181</f>
        <v/>
      </c>
      <c r="J181" s="42">
        <f>D181-H181</f>
        <v/>
      </c>
      <c r="L181" s="42">
        <f>D181-SUM(H181,J181)</f>
        <v/>
      </c>
      <c r="N181" s="42">
        <f>D181-SUM(H181,J181,L181,)</f>
        <v/>
      </c>
      <c r="P181" s="42">
        <f>D181-SUM(H181,J181,L181,N181)</f>
        <v/>
      </c>
      <c r="R181" s="42">
        <f>D181-SUM(H181,J181,L181,N181,P181)</f>
        <v/>
      </c>
      <c r="T181" s="42">
        <f>D181-SUM(H181,J181,L181,N181,P181,R181)</f>
        <v/>
      </c>
      <c r="V181" s="42">
        <f>D181-SUM(H181,J181,L181,N181,P181,R181,T181)</f>
        <v/>
      </c>
      <c r="X181" s="56">
        <f>D181-SUM(H181,J181,L181,N181,P181,R181,T181,V181)</f>
        <v/>
      </c>
      <c r="Y181" s="57">
        <f>12*COUNT(G181,I181,K181,M181,O181,Q181,U181,W181,S181)</f>
        <v/>
      </c>
      <c r="Z181" s="40">
        <f>IF(AND('0₦'!T184&lt;&gt;0,'0₦'!T184&lt;&gt;""),9,0) + 0</f>
        <v/>
      </c>
      <c r="AA181" s="445">
        <f>'0₦'!BI184 + 0</f>
        <v/>
      </c>
      <c r="AB181" s="446">
        <f>'0₦'!BE184</f>
        <v/>
      </c>
      <c r="AC181" s="450">
        <f>'0₦'!BC184 + 0</f>
        <v/>
      </c>
      <c r="AD181" s="42">
        <f>'0₦'!BD184</f>
        <v/>
      </c>
      <c r="AE181" s="42">
        <f>'0₦'!AX184</f>
        <v/>
      </c>
      <c r="AF181" s="446">
        <f>hcbi!AA185+hcbi!Y185</f>
        <v/>
      </c>
      <c r="AG181" s="42">
        <f>'0₦'!AW184</f>
        <v/>
      </c>
      <c r="AH181" s="450">
        <f>0</f>
        <v/>
      </c>
      <c r="AK181" s="44" t="n"/>
      <c r="AL181" s="45" t="n"/>
    </row>
    <row r="182" ht="17.1" customHeight="1" s="37">
      <c r="B182" s="546">
        <f>B181+1</f>
        <v/>
      </c>
      <c r="C182" s="450" t="inlineStr">
        <is>
          <t>sf21</t>
        </is>
      </c>
      <c r="D182" s="257">
        <f>SUM(Y182:AH182)</f>
        <v/>
      </c>
      <c r="E182" s="54">
        <f>'0₦'!AF185</f>
        <v/>
      </c>
      <c r="F182" s="41">
        <f>'0₦'!AG185</f>
        <v/>
      </c>
      <c r="H182" s="410">
        <f>D182</f>
        <v/>
      </c>
      <c r="J182" s="42">
        <f>D182-H182</f>
        <v/>
      </c>
      <c r="L182" s="42">
        <f>D182-SUM(H182,J182)</f>
        <v/>
      </c>
      <c r="N182" s="42">
        <f>D182-SUM(H182,J182,L182,)</f>
        <v/>
      </c>
      <c r="P182" s="42">
        <f>D182-SUM(H182,J182,L182,N182)</f>
        <v/>
      </c>
      <c r="R182" s="42">
        <f>D182-SUM(H182,J182,L182,N182,P182)</f>
        <v/>
      </c>
      <c r="T182" s="42">
        <f>D182-SUM(H182,J182,L182,N182,P182,R182)</f>
        <v/>
      </c>
      <c r="V182" s="42">
        <f>D182-SUM(H182,J182,L182,N182,P182,R182,T182)</f>
        <v/>
      </c>
      <c r="X182" s="56">
        <f>D182-SUM(H182,J182,L182,N182,P182,R182,T182,V182)</f>
        <v/>
      </c>
      <c r="Y182" s="57">
        <f>12*COUNT(G182,I182,K182,M182,O182,Q182,U182,W182,S182)</f>
        <v/>
      </c>
      <c r="Z182" s="40">
        <f>IF(AND('0₦'!T185&lt;&gt;0,'0₦'!T185&lt;&gt;""),9,0) + 0</f>
        <v/>
      </c>
      <c r="AA182" s="445">
        <f>'0₦'!BI185 + 0</f>
        <v/>
      </c>
      <c r="AB182" s="446">
        <f>'0₦'!BE185</f>
        <v/>
      </c>
      <c r="AC182" s="450">
        <f>'0₦'!BC185 + 0</f>
        <v/>
      </c>
      <c r="AD182" s="42">
        <f>'0₦'!BD185</f>
        <v/>
      </c>
      <c r="AE182" s="42">
        <f>'0₦'!AX185</f>
        <v/>
      </c>
      <c r="AF182" s="446">
        <f>hcbi!AA186+hcbi!Y186</f>
        <v/>
      </c>
      <c r="AG182" s="42">
        <f>'0₦'!AW185</f>
        <v/>
      </c>
      <c r="AH182" s="450">
        <f>0</f>
        <v/>
      </c>
      <c r="AI182" s="445" t="n"/>
      <c r="AJ182" s="445" t="n"/>
      <c r="AK182" s="44" t="n"/>
      <c r="AL182" s="45" t="n"/>
    </row>
    <row r="183" ht="17.1" customHeight="1" s="37">
      <c r="A183" s="547" t="n"/>
      <c r="B183" s="546">
        <f>B182+1</f>
        <v/>
      </c>
      <c r="C183" s="450" t="inlineStr">
        <is>
          <t>sf21</t>
        </is>
      </c>
      <c r="D183" s="257">
        <f>SUM(Y183:AH183)</f>
        <v/>
      </c>
      <c r="E183" s="54">
        <f>'0₦'!AF186</f>
        <v/>
      </c>
      <c r="F183" s="41">
        <f>'0₦'!AG186</f>
        <v/>
      </c>
      <c r="H183" s="410">
        <f>D183</f>
        <v/>
      </c>
      <c r="J183" s="42">
        <f>D183-H183</f>
        <v/>
      </c>
      <c r="L183" s="42">
        <f>D183-SUM(H183,J183)</f>
        <v/>
      </c>
      <c r="N183" s="42">
        <f>D183-SUM(H183,J183,L183,)</f>
        <v/>
      </c>
      <c r="P183" s="42">
        <f>D183-SUM(H183,J183,L183,N183)</f>
        <v/>
      </c>
      <c r="R183" s="42">
        <f>D183-SUM(H183,J183,L183,N183,P183)</f>
        <v/>
      </c>
      <c r="T183" s="42">
        <f>D183-SUM(H183,J183,L183,N183,P183,R183)</f>
        <v/>
      </c>
      <c r="V183" s="42">
        <f>D183-SUM(H183,J183,L183,N183,P183,R183,T183)</f>
        <v/>
      </c>
      <c r="X183" s="56">
        <f>D183-SUM(H183,J183,L183,N183,P183,R183,T183,V183)</f>
        <v/>
      </c>
      <c r="Y183" s="57">
        <f>12*COUNT(G183,I183,K183,M183,O183,Q183,U183,W183,S183)</f>
        <v/>
      </c>
      <c r="Z183" s="40">
        <f>IF(AND('0₦'!T186&lt;&gt;0,'0₦'!T186&lt;&gt;""),9,0) + 0</f>
        <v/>
      </c>
      <c r="AA183" s="445">
        <f>'0₦'!BI186 + 0</f>
        <v/>
      </c>
      <c r="AB183" s="446">
        <f>'0₦'!BE186</f>
        <v/>
      </c>
      <c r="AC183" s="450">
        <f>'0₦'!BC186 + 0</f>
        <v/>
      </c>
      <c r="AD183" s="42">
        <f>'0₦'!BD186</f>
        <v/>
      </c>
      <c r="AE183" s="42">
        <f>'0₦'!AX186</f>
        <v/>
      </c>
      <c r="AF183" s="446">
        <f>hcbi!AA187+hcbi!Y187</f>
        <v/>
      </c>
      <c r="AG183" s="42">
        <f>'0₦'!AW186</f>
        <v/>
      </c>
      <c r="AH183" s="450">
        <f>0</f>
        <v/>
      </c>
      <c r="AK183" s="44" t="n"/>
      <c r="AL183" s="45" t="n"/>
    </row>
    <row r="184" ht="17.1" customHeight="1" s="37">
      <c r="A184" s="441">
        <f>A149+1</f>
        <v/>
      </c>
      <c r="B184" s="546">
        <f>B183+1</f>
        <v/>
      </c>
      <c r="C184" s="450" t="inlineStr">
        <is>
          <t>sf21</t>
        </is>
      </c>
      <c r="D184" s="257">
        <f>SUM(Y184:AH184)</f>
        <v/>
      </c>
      <c r="E184" s="54">
        <f>'0₦'!AF187</f>
        <v/>
      </c>
      <c r="F184" s="41">
        <f>'0₦'!AG187</f>
        <v/>
      </c>
      <c r="H184" s="410">
        <f>D184</f>
        <v/>
      </c>
      <c r="J184" s="42">
        <f>D184-H184</f>
        <v/>
      </c>
      <c r="L184" s="42">
        <f>D184-SUM(H184,J184)</f>
        <v/>
      </c>
      <c r="N184" s="42">
        <f>D184-SUM(H184,J184,L184,)</f>
        <v/>
      </c>
      <c r="P184" s="42">
        <f>D184-SUM(H184,J184,L184,N184)</f>
        <v/>
      </c>
      <c r="R184" s="42">
        <f>D184-SUM(H184,J184,L184,N184,P184)</f>
        <v/>
      </c>
      <c r="T184" s="42">
        <f>D184-SUM(H184,J184,L184,N184,P184,R184)</f>
        <v/>
      </c>
      <c r="V184" s="42">
        <f>D184-SUM(H184,J184,L184,N184,P184,R184,T184)</f>
        <v/>
      </c>
      <c r="X184" s="56">
        <f>D184-SUM(H184,J184,L184,N184,P184,R184,T184,V184)</f>
        <v/>
      </c>
      <c r="Y184" s="57">
        <f>12*COUNT(G184,I184,K184,M184,O184,Q184,U184,W184,S184)</f>
        <v/>
      </c>
      <c r="Z184" s="40">
        <f>IF(AND('0₦'!T187&lt;&gt;0,'0₦'!T187&lt;&gt;""),9,0) + 0</f>
        <v/>
      </c>
      <c r="AA184" s="445">
        <f>'0₦'!BI187 + 0</f>
        <v/>
      </c>
      <c r="AB184" s="446">
        <f>'0₦'!BE187</f>
        <v/>
      </c>
      <c r="AC184" s="450">
        <f>'0₦'!BC187 + 0</f>
        <v/>
      </c>
      <c r="AD184" s="42">
        <f>'0₦'!BD187</f>
        <v/>
      </c>
      <c r="AE184" s="42">
        <f>'0₦'!AX187</f>
        <v/>
      </c>
      <c r="AF184" s="446">
        <f>hcbi!AA188+hcbi!Y188</f>
        <v/>
      </c>
      <c r="AG184" s="42">
        <f>'0₦'!AW187</f>
        <v/>
      </c>
      <c r="AH184" s="450">
        <f>0</f>
        <v/>
      </c>
      <c r="AI184" s="445" t="n"/>
      <c r="AJ184" s="446" t="n"/>
      <c r="AK184" s="44" t="n"/>
      <c r="AL184" s="45" t="n"/>
    </row>
    <row r="185" ht="17.1" customHeight="1" s="37">
      <c r="B185" s="546">
        <f>B184+1</f>
        <v/>
      </c>
      <c r="C185" s="450" t="inlineStr">
        <is>
          <t>sf21</t>
        </is>
      </c>
      <c r="D185" s="257">
        <f>SUM(Y185:AH185)</f>
        <v/>
      </c>
      <c r="E185" s="54">
        <f>'0₦'!AF188</f>
        <v/>
      </c>
      <c r="F185" s="41">
        <f>'0₦'!AG188</f>
        <v/>
      </c>
      <c r="H185" s="410">
        <f>D185</f>
        <v/>
      </c>
      <c r="J185" s="42">
        <f>D185-H185</f>
        <v/>
      </c>
      <c r="L185" s="42">
        <f>D185-SUM(H185,J185)</f>
        <v/>
      </c>
      <c r="N185" s="42">
        <f>D185-SUM(H185,J185,L185,)</f>
        <v/>
      </c>
      <c r="P185" s="42">
        <f>D185-SUM(H185,J185,L185,N185)</f>
        <v/>
      </c>
      <c r="R185" s="42">
        <f>D185-SUM(H185,J185,L185,N185,P185)</f>
        <v/>
      </c>
      <c r="T185" s="42">
        <f>D185-SUM(H185,J185,L185,N185,P185,R185)</f>
        <v/>
      </c>
      <c r="V185" s="42">
        <f>D185-SUM(H185,J185,L185,N185,P185,R185,T185)</f>
        <v/>
      </c>
      <c r="X185" s="56">
        <f>D185-SUM(H185,J185,L185,N185,P185,R185,T185,V185)</f>
        <v/>
      </c>
      <c r="Y185" s="57">
        <f>12*COUNT(G185,I185,K185,M185,O185,Q185,U185,W185,S185)</f>
        <v/>
      </c>
      <c r="Z185" s="40">
        <f>IF(AND('0₦'!T188&lt;&gt;0,'0₦'!T188&lt;&gt;""),9,0) + 0</f>
        <v/>
      </c>
      <c r="AA185" s="445">
        <f>'0₦'!BI188 + 0</f>
        <v/>
      </c>
      <c r="AB185" s="446">
        <f>'0₦'!BE188</f>
        <v/>
      </c>
      <c r="AC185" s="450">
        <f>'0₦'!BC188 + 0</f>
        <v/>
      </c>
      <c r="AD185" s="42">
        <f>'0₦'!BD188</f>
        <v/>
      </c>
      <c r="AE185" s="42">
        <f>'0₦'!AX188</f>
        <v/>
      </c>
      <c r="AF185" s="446">
        <f>hcbi!AA189+hcbi!Y189</f>
        <v/>
      </c>
      <c r="AG185" s="42">
        <f>'0₦'!AW188</f>
        <v/>
      </c>
      <c r="AH185" s="450">
        <f>0</f>
        <v/>
      </c>
      <c r="AK185" s="44" t="n"/>
      <c r="AL185" s="45" t="n"/>
    </row>
    <row r="186" ht="17.1" customHeight="1" s="37">
      <c r="B186" s="546">
        <f>B185+1</f>
        <v/>
      </c>
      <c r="C186" s="450" t="inlineStr">
        <is>
          <t>sf21</t>
        </is>
      </c>
      <c r="D186" s="257">
        <f>SUM(Y186:AH186)</f>
        <v/>
      </c>
      <c r="E186" s="54">
        <f>'0₦'!AF189</f>
        <v/>
      </c>
      <c r="F186" s="41">
        <f>'0₦'!AG189</f>
        <v/>
      </c>
      <c r="H186" s="410">
        <f>D186</f>
        <v/>
      </c>
      <c r="J186" s="42">
        <f>D186-H186</f>
        <v/>
      </c>
      <c r="L186" s="42">
        <f>D186-SUM(H186,J186)</f>
        <v/>
      </c>
      <c r="N186" s="42">
        <f>D186-SUM(H186,J186,L186,)</f>
        <v/>
      </c>
      <c r="P186" s="42">
        <f>D186-SUM(H186,J186,L186,N186)</f>
        <v/>
      </c>
      <c r="R186" s="42">
        <f>D186-SUM(H186,J186,L186,N186,P186)</f>
        <v/>
      </c>
      <c r="T186" s="42">
        <f>D186-SUM(H186,J186,L186,N186,P186,R186)</f>
        <v/>
      </c>
      <c r="V186" s="42">
        <f>D186-SUM(H186,J186,L186,N186,P186,R186,T186)</f>
        <v/>
      </c>
      <c r="X186" s="56">
        <f>D186-SUM(H186,J186,L186,N186,P186,R186,T186,V186)</f>
        <v/>
      </c>
      <c r="Y186" s="57">
        <f>12*COUNT(G186,I186,K186,M186,O186,Q186,U186,W186,S186)</f>
        <v/>
      </c>
      <c r="Z186" s="40">
        <f>IF(AND('0₦'!T189&lt;&gt;0,'0₦'!T189&lt;&gt;""),9,0) + 0</f>
        <v/>
      </c>
      <c r="AA186" s="445">
        <f>'0₦'!BI189 + 0</f>
        <v/>
      </c>
      <c r="AB186" s="446">
        <f>'0₦'!BE189</f>
        <v/>
      </c>
      <c r="AC186" s="450">
        <f>'0₦'!BC189 + 0</f>
        <v/>
      </c>
      <c r="AD186" s="42">
        <f>'0₦'!BD189</f>
        <v/>
      </c>
      <c r="AE186" s="42">
        <f>'0₦'!AX189</f>
        <v/>
      </c>
      <c r="AF186" s="446">
        <f>hcbi!AA190+hcbi!Y190</f>
        <v/>
      </c>
      <c r="AG186" s="42">
        <f>'0₦'!AW189</f>
        <v/>
      </c>
      <c r="AH186" s="450">
        <f>0</f>
        <v/>
      </c>
      <c r="AI186" s="445" t="n"/>
      <c r="AJ186" s="445" t="n"/>
      <c r="AK186" s="44" t="n"/>
      <c r="AL186" s="45" t="n"/>
    </row>
    <row r="187" ht="17.1" customHeight="1" s="37">
      <c r="B187" s="546">
        <f>B186+1</f>
        <v/>
      </c>
      <c r="C187" s="450" t="inlineStr">
        <is>
          <t>sf21</t>
        </is>
      </c>
      <c r="D187" s="257">
        <f>SUM(Y187:AH187)</f>
        <v/>
      </c>
      <c r="E187" s="54">
        <f>'0₦'!AF190</f>
        <v/>
      </c>
      <c r="F187" s="41">
        <f>'0₦'!AG190</f>
        <v/>
      </c>
      <c r="H187" s="410">
        <f>D187</f>
        <v/>
      </c>
      <c r="J187" s="42">
        <f>D187-H187</f>
        <v/>
      </c>
      <c r="L187" s="42">
        <f>D187-SUM(H187,J187)</f>
        <v/>
      </c>
      <c r="N187" s="42">
        <f>D187-SUM(H187,J187,L187,)</f>
        <v/>
      </c>
      <c r="P187" s="42">
        <f>D187-SUM(H187,J187,L187,N187)</f>
        <v/>
      </c>
      <c r="R187" s="42">
        <f>D187-SUM(H187,J187,L187,N187,P187)</f>
        <v/>
      </c>
      <c r="T187" s="42">
        <f>D187-SUM(H187,J187,L187,N187,P187,R187)</f>
        <v/>
      </c>
      <c r="V187" s="42">
        <f>D187-SUM(H187,J187,L187,N187,P187,R187,T187)</f>
        <v/>
      </c>
      <c r="X187" s="56">
        <f>D187-SUM(H187,J187,L187,N187,P187,R187,T187,V187)</f>
        <v/>
      </c>
      <c r="Y187" s="57">
        <f>12*COUNT(G187,I187,K187,M187,O187,Q187,U187,W187,S187)</f>
        <v/>
      </c>
      <c r="Z187" s="40">
        <f>IF(AND('0₦'!T190&lt;&gt;0,'0₦'!T190&lt;&gt;""),9,0) + 0</f>
        <v/>
      </c>
      <c r="AA187" s="445">
        <f>'0₦'!BI190 + 0</f>
        <v/>
      </c>
      <c r="AB187" s="446">
        <f>'0₦'!BE190</f>
        <v/>
      </c>
      <c r="AC187" s="450">
        <f>'0₦'!BC190 + 0</f>
        <v/>
      </c>
      <c r="AD187" s="42">
        <f>'0₦'!BD190</f>
        <v/>
      </c>
      <c r="AE187" s="42">
        <f>'0₦'!AX190</f>
        <v/>
      </c>
      <c r="AF187" s="446">
        <f>hcbi!AA191+hcbi!Y191</f>
        <v/>
      </c>
      <c r="AG187" s="42">
        <f>'0₦'!AW190</f>
        <v/>
      </c>
      <c r="AH187" s="450">
        <f>0</f>
        <v/>
      </c>
      <c r="AK187" s="44" t="n"/>
      <c r="AL187" s="45" t="n"/>
    </row>
    <row r="188" ht="17.1" customHeight="1" s="37">
      <c r="B188" s="546">
        <f>B187+1</f>
        <v/>
      </c>
      <c r="C188" s="450" t="inlineStr">
        <is>
          <t>sf21</t>
        </is>
      </c>
      <c r="D188" s="257">
        <f>SUM(Y188:AH188)</f>
        <v/>
      </c>
      <c r="E188" s="54">
        <f>'0₦'!AF191</f>
        <v/>
      </c>
      <c r="F188" s="41">
        <f>'0₦'!AG191</f>
        <v/>
      </c>
      <c r="H188" s="410">
        <f>D188</f>
        <v/>
      </c>
      <c r="J188" s="42">
        <f>D188-H188</f>
        <v/>
      </c>
      <c r="L188" s="42">
        <f>D188-SUM(H188,J188)</f>
        <v/>
      </c>
      <c r="N188" s="42">
        <f>D188-SUM(H188,J188,L188,)</f>
        <v/>
      </c>
      <c r="P188" s="42">
        <f>D188-SUM(H188,J188,L188,N188)</f>
        <v/>
      </c>
      <c r="R188" s="42">
        <f>D188-SUM(H188,J188,L188,N188,P188)</f>
        <v/>
      </c>
      <c r="T188" s="42">
        <f>D188-SUM(H188,J188,L188,N188,P188,R188)</f>
        <v/>
      </c>
      <c r="V188" s="42">
        <f>D188-SUM(H188,J188,L188,N188,P188,R188,T188)</f>
        <v/>
      </c>
      <c r="X188" s="56">
        <f>D188-SUM(H188,J188,L188,N188,P188,R188,T188,V188)</f>
        <v/>
      </c>
      <c r="Y188" s="57">
        <f>12*COUNT(G188,I188,K188,M188,O188,Q188,U188,W188,S188)</f>
        <v/>
      </c>
      <c r="Z188" s="40">
        <f>IF(AND('0₦'!T191&lt;&gt;0,'0₦'!T191&lt;&gt;""),9,0) + 0</f>
        <v/>
      </c>
      <c r="AA188" s="445">
        <f>'0₦'!BI191 + 0</f>
        <v/>
      </c>
      <c r="AB188" s="446">
        <f>'0₦'!BE191</f>
        <v/>
      </c>
      <c r="AC188" s="450">
        <f>'0₦'!BC191 + 0</f>
        <v/>
      </c>
      <c r="AD188" s="42">
        <f>'0₦'!BD191</f>
        <v/>
      </c>
      <c r="AE188" s="42">
        <f>'0₦'!AX191</f>
        <v/>
      </c>
      <c r="AF188" s="446">
        <f>hcbi!AA192+hcbi!Y192</f>
        <v/>
      </c>
      <c r="AG188" s="42">
        <f>'0₦'!AW191</f>
        <v/>
      </c>
      <c r="AH188" s="450">
        <f>0</f>
        <v/>
      </c>
      <c r="AI188" s="445" t="n"/>
      <c r="AJ188" s="445" t="n"/>
      <c r="AK188" s="44" t="n"/>
      <c r="AL188" s="45" t="n"/>
    </row>
    <row r="189" ht="17.1" customHeight="1" s="37">
      <c r="B189" s="546">
        <f>B188+1</f>
        <v/>
      </c>
      <c r="C189" s="450" t="inlineStr">
        <is>
          <t>sf21</t>
        </is>
      </c>
      <c r="D189" s="257">
        <f>SUM(Y189:AH189)</f>
        <v/>
      </c>
      <c r="E189" s="54">
        <f>'0₦'!AF192</f>
        <v/>
      </c>
      <c r="F189" s="41">
        <f>'0₦'!AG192</f>
        <v/>
      </c>
      <c r="H189" s="410">
        <f>D189</f>
        <v/>
      </c>
      <c r="J189" s="42">
        <f>D189-H189</f>
        <v/>
      </c>
      <c r="L189" s="42">
        <f>D189-SUM(H189,J189)</f>
        <v/>
      </c>
      <c r="N189" s="42">
        <f>D189-SUM(H189,J189,L189,)</f>
        <v/>
      </c>
      <c r="P189" s="42">
        <f>D189-SUM(H189,J189,L189,N189)</f>
        <v/>
      </c>
      <c r="R189" s="42">
        <f>D189-SUM(H189,J189,L189,N189,P189)</f>
        <v/>
      </c>
      <c r="T189" s="42">
        <f>D189-SUM(H189,J189,L189,N189,P189,R189)</f>
        <v/>
      </c>
      <c r="V189" s="42">
        <f>D189-SUM(H189,J189,L189,N189,P189,R189,T189)</f>
        <v/>
      </c>
      <c r="X189" s="56">
        <f>D189-SUM(H189,J189,L189,N189,P189,R189,T189,V189)</f>
        <v/>
      </c>
      <c r="Y189" s="57">
        <f>12*COUNT(G189,I189,K189,M189,O189,Q189,U189,W189,S189)</f>
        <v/>
      </c>
      <c r="Z189" s="40">
        <f>IF(AND('0₦'!T192&lt;&gt;0,'0₦'!T192&lt;&gt;""),9,0) + 0</f>
        <v/>
      </c>
      <c r="AA189" s="445">
        <f>'0₦'!BI192 + 0</f>
        <v/>
      </c>
      <c r="AB189" s="446">
        <f>'0₦'!BE192</f>
        <v/>
      </c>
      <c r="AC189" s="450">
        <f>'0₦'!BC192 + 0</f>
        <v/>
      </c>
      <c r="AD189" s="42">
        <f>'0₦'!BD192</f>
        <v/>
      </c>
      <c r="AE189" s="42">
        <f>'0₦'!AX192</f>
        <v/>
      </c>
      <c r="AF189" s="446">
        <f>hcbi!AA193+hcbi!Y193</f>
        <v/>
      </c>
      <c r="AG189" s="42">
        <f>'0₦'!AW192</f>
        <v/>
      </c>
      <c r="AH189" s="450">
        <f>0</f>
        <v/>
      </c>
      <c r="AK189" s="44" t="n"/>
      <c r="AL189" s="45" t="n"/>
    </row>
    <row r="190" ht="17.1" customHeight="1" s="37">
      <c r="A190" s="547" t="n"/>
      <c r="B190" s="546">
        <f>B189+1</f>
        <v/>
      </c>
      <c r="C190" s="450" t="inlineStr">
        <is>
          <t>sf21</t>
        </is>
      </c>
      <c r="D190" s="257">
        <f>SUM(Y190:AH190)</f>
        <v/>
      </c>
      <c r="E190" s="54">
        <f>'0₦'!AF193</f>
        <v/>
      </c>
      <c r="F190" s="41">
        <f>'0₦'!AG193</f>
        <v/>
      </c>
      <c r="H190" s="410">
        <f>D190</f>
        <v/>
      </c>
      <c r="J190" s="42">
        <f>D190-H190</f>
        <v/>
      </c>
      <c r="L190" s="42">
        <f>D190-SUM(H190,J190)</f>
        <v/>
      </c>
      <c r="N190" s="42">
        <f>D190-SUM(H190,J190,L190,)</f>
        <v/>
      </c>
      <c r="P190" s="42">
        <f>D190-SUM(H190,J190,L190,N190)</f>
        <v/>
      </c>
      <c r="R190" s="42">
        <f>D190-SUM(H190,J190,L190,N190,P190)</f>
        <v/>
      </c>
      <c r="T190" s="42">
        <f>D190-SUM(H190,J190,L190,N190,P190,R190)</f>
        <v/>
      </c>
      <c r="V190" s="42">
        <f>D190-SUM(H190,J190,L190,N190,P190,R190,T190)</f>
        <v/>
      </c>
      <c r="X190" s="56">
        <f>D190-SUM(H190,J190,L190,N190,P190,R190,T190,V190)</f>
        <v/>
      </c>
      <c r="Y190" s="57">
        <f>12*COUNT(G190,I190,K190,M190,O190,Q190,U190,W190,S190)</f>
        <v/>
      </c>
      <c r="Z190" s="40">
        <f>IF(AND('0₦'!T193&lt;&gt;0,'0₦'!T193&lt;&gt;""),9,0) + 0</f>
        <v/>
      </c>
      <c r="AA190" s="445">
        <f>'0₦'!BI193 + 0</f>
        <v/>
      </c>
      <c r="AB190" s="446">
        <f>'0₦'!BE193</f>
        <v/>
      </c>
      <c r="AC190" s="450">
        <f>'0₦'!BC193 + 0</f>
        <v/>
      </c>
      <c r="AD190" s="42">
        <f>'0₦'!BD193</f>
        <v/>
      </c>
      <c r="AE190" s="42">
        <f>'0₦'!AX193</f>
        <v/>
      </c>
      <c r="AF190" s="446">
        <f>hcbi!AA194+hcbi!Y194</f>
        <v/>
      </c>
      <c r="AG190" s="42">
        <f>'0₦'!AW193</f>
        <v/>
      </c>
      <c r="AH190" s="450">
        <f>0</f>
        <v/>
      </c>
      <c r="AI190" s="445" t="n"/>
      <c r="AJ190" s="445" t="n"/>
      <c r="AK190" s="44" t="n"/>
      <c r="AL190" s="45" t="n"/>
    </row>
    <row r="191" ht="17.1" customHeight="1" s="37">
      <c r="A191" s="441">
        <f>A184+0.1</f>
        <v/>
      </c>
      <c r="B191" s="546">
        <f>B190+1</f>
        <v/>
      </c>
      <c r="C191" s="450" t="inlineStr">
        <is>
          <t>sf21</t>
        </is>
      </c>
      <c r="D191" s="257">
        <f>SUM(Y191:AH191)</f>
        <v/>
      </c>
      <c r="E191" s="54">
        <f>'0₦'!AF194</f>
        <v/>
      </c>
      <c r="F191" s="41">
        <f>'0₦'!AG194</f>
        <v/>
      </c>
      <c r="H191" s="410">
        <f>D191</f>
        <v/>
      </c>
      <c r="J191" s="42">
        <f>D191-H191</f>
        <v/>
      </c>
      <c r="L191" s="42">
        <f>D191-SUM(H191,J191)</f>
        <v/>
      </c>
      <c r="N191" s="42">
        <f>D191-SUM(H191,J191,L191,)</f>
        <v/>
      </c>
      <c r="P191" s="42">
        <f>D191-SUM(H191,J191,L191,N191)</f>
        <v/>
      </c>
      <c r="R191" s="42">
        <f>D191-SUM(H191,J191,L191,N191,P191)</f>
        <v/>
      </c>
      <c r="T191" s="42">
        <f>D191-SUM(H191,J191,L191,N191,P191,R191)</f>
        <v/>
      </c>
      <c r="V191" s="42">
        <f>D191-SUM(H191,J191,L191,N191,P191,R191,T191)</f>
        <v/>
      </c>
      <c r="X191" s="56">
        <f>D191-SUM(H191,J191,L191,N191,P191,R191,T191,V191)</f>
        <v/>
      </c>
      <c r="Y191" s="57">
        <f>12*COUNT(G191,I191,K191,M191,O191,Q191,U191,W191,S191)</f>
        <v/>
      </c>
      <c r="Z191" s="40">
        <f>IF(AND('0₦'!T194&lt;&gt;0,'0₦'!T194&lt;&gt;""),9,0) + 0</f>
        <v/>
      </c>
      <c r="AA191" s="445">
        <f>'0₦'!BI194 + 0</f>
        <v/>
      </c>
      <c r="AB191" s="446">
        <f>'0₦'!BE194</f>
        <v/>
      </c>
      <c r="AC191" s="450">
        <f>'0₦'!BC194 + 0</f>
        <v/>
      </c>
      <c r="AD191" s="42">
        <f>'0₦'!BD194</f>
        <v/>
      </c>
      <c r="AE191" s="42">
        <f>'0₦'!AX194</f>
        <v/>
      </c>
      <c r="AF191" s="446">
        <f>hcbi!AA195+hcbi!Y195</f>
        <v/>
      </c>
      <c r="AG191" s="42">
        <f>'0₦'!AW194</f>
        <v/>
      </c>
      <c r="AH191" s="450">
        <f>0</f>
        <v/>
      </c>
      <c r="AK191" s="44" t="n"/>
      <c r="AL191" s="45" t="n"/>
    </row>
    <row r="192" ht="17.1" customHeight="1" s="37">
      <c r="B192" s="546">
        <f>B191+1</f>
        <v/>
      </c>
      <c r="C192" s="450" t="inlineStr">
        <is>
          <t>sf21</t>
        </is>
      </c>
      <c r="D192" s="257">
        <f>SUM(Y192:AH192)</f>
        <v/>
      </c>
      <c r="E192" s="54">
        <f>'0₦'!AF195</f>
        <v/>
      </c>
      <c r="F192" s="41">
        <f>'0₦'!AG195</f>
        <v/>
      </c>
      <c r="H192" s="410">
        <f>D192</f>
        <v/>
      </c>
      <c r="J192" s="42">
        <f>D192-H192</f>
        <v/>
      </c>
      <c r="L192" s="42">
        <f>D192-SUM(H192,J192)</f>
        <v/>
      </c>
      <c r="N192" s="42">
        <f>D192-SUM(H192,J192,L192,)</f>
        <v/>
      </c>
      <c r="P192" s="42">
        <f>D192-SUM(H192,J192,L192,N192)</f>
        <v/>
      </c>
      <c r="R192" s="42">
        <f>D192-SUM(H192,J192,L192,N192,P192)</f>
        <v/>
      </c>
      <c r="T192" s="42">
        <f>D192-SUM(H192,J192,L192,N192,P192,R192)</f>
        <v/>
      </c>
      <c r="V192" s="42">
        <f>D192-SUM(H192,J192,L192,N192,P192,R192,T192)</f>
        <v/>
      </c>
      <c r="X192" s="56">
        <f>D192-SUM(H192,J192,L192,N192,P192,R192,T192,V192)</f>
        <v/>
      </c>
      <c r="Y192" s="57">
        <f>12*COUNT(G192,I192,K192,M192,O192,Q192,U192,W192,S192)</f>
        <v/>
      </c>
      <c r="Z192" s="40">
        <f>IF(AND('0₦'!T195&lt;&gt;0,'0₦'!T195&lt;&gt;""),9,0) + 0</f>
        <v/>
      </c>
      <c r="AA192" s="445">
        <f>'0₦'!BI195 + 0</f>
        <v/>
      </c>
      <c r="AB192" s="446">
        <f>'0₦'!BE195</f>
        <v/>
      </c>
      <c r="AC192" s="450">
        <f>'0₦'!BC195 + 0</f>
        <v/>
      </c>
      <c r="AD192" s="42">
        <f>'0₦'!BD195</f>
        <v/>
      </c>
      <c r="AE192" s="42">
        <f>'0₦'!AX195</f>
        <v/>
      </c>
      <c r="AF192" s="446">
        <f>hcbi!AA196+hcbi!Y196</f>
        <v/>
      </c>
      <c r="AG192" s="42">
        <f>'0₦'!AW195</f>
        <v/>
      </c>
      <c r="AH192" s="450">
        <f>0</f>
        <v/>
      </c>
      <c r="AI192" s="445" t="n"/>
      <c r="AJ192" s="445" t="n"/>
      <c r="AK192" s="44" t="n"/>
      <c r="AL192" s="45" t="n"/>
    </row>
    <row r="193" ht="17.1" customHeight="1" s="37">
      <c r="B193" s="546">
        <f>B192+1</f>
        <v/>
      </c>
      <c r="C193" s="450" t="inlineStr">
        <is>
          <t>sf21</t>
        </is>
      </c>
      <c r="D193" s="257">
        <f>SUM(Y193:AH193)</f>
        <v/>
      </c>
      <c r="E193" s="54">
        <f>'0₦'!AF196</f>
        <v/>
      </c>
      <c r="F193" s="41">
        <f>'0₦'!AG196</f>
        <v/>
      </c>
      <c r="H193" s="410">
        <f>D193</f>
        <v/>
      </c>
      <c r="J193" s="42">
        <f>D193-H193</f>
        <v/>
      </c>
      <c r="L193" s="42">
        <f>D193-SUM(H193,J193)</f>
        <v/>
      </c>
      <c r="N193" s="42">
        <f>D193-SUM(H193,J193,L193,)</f>
        <v/>
      </c>
      <c r="P193" s="42">
        <f>D193-SUM(H193,J193,L193,N193)</f>
        <v/>
      </c>
      <c r="R193" s="42">
        <f>D193-SUM(H193,J193,L193,N193,P193)</f>
        <v/>
      </c>
      <c r="T193" s="42">
        <f>D193-SUM(H193,J193,L193,N193,P193,R193)</f>
        <v/>
      </c>
      <c r="V193" s="42">
        <f>D193-SUM(H193,J193,L193,N193,P193,R193,T193)</f>
        <v/>
      </c>
      <c r="X193" s="56">
        <f>D193-SUM(H193,J193,L193,N193,P193,R193,T193,V193)</f>
        <v/>
      </c>
      <c r="Y193" s="57">
        <f>12*COUNT(G193,I193,K193,M193,O193,Q193,U193,W193,S193)</f>
        <v/>
      </c>
      <c r="Z193" s="40">
        <f>IF(AND('0₦'!T196&lt;&gt;0,'0₦'!T196&lt;&gt;""),9,0) + 0</f>
        <v/>
      </c>
      <c r="AA193" s="445">
        <f>'0₦'!BI196 + 0</f>
        <v/>
      </c>
      <c r="AB193" s="446">
        <f>'0₦'!BE196</f>
        <v/>
      </c>
      <c r="AC193" s="450">
        <f>'0₦'!BC196 + 0</f>
        <v/>
      </c>
      <c r="AD193" s="42">
        <f>'0₦'!BD196</f>
        <v/>
      </c>
      <c r="AE193" s="42">
        <f>'0₦'!AX196</f>
        <v/>
      </c>
      <c r="AF193" s="446">
        <f>hcbi!AA197+hcbi!Y197</f>
        <v/>
      </c>
      <c r="AG193" s="42">
        <f>'0₦'!AW196</f>
        <v/>
      </c>
      <c r="AH193" s="450">
        <f>0</f>
        <v/>
      </c>
      <c r="AL193" s="45" t="n"/>
    </row>
    <row r="194" ht="17.1" customHeight="1" s="37">
      <c r="B194" s="546">
        <f>B193+1</f>
        <v/>
      </c>
      <c r="C194" s="450" t="inlineStr">
        <is>
          <t>sf21</t>
        </is>
      </c>
      <c r="D194" s="257">
        <f>SUM(Y194:AH194)</f>
        <v/>
      </c>
      <c r="E194" s="54">
        <f>'0₦'!AF197</f>
        <v/>
      </c>
      <c r="F194" s="41">
        <f>'0₦'!AG197</f>
        <v/>
      </c>
      <c r="H194" s="410">
        <f>D194</f>
        <v/>
      </c>
      <c r="J194" s="42">
        <f>D194-H194</f>
        <v/>
      </c>
      <c r="L194" s="42">
        <f>D194-SUM(H194,J194)</f>
        <v/>
      </c>
      <c r="N194" s="42">
        <f>D194-SUM(H194,J194,L194,)</f>
        <v/>
      </c>
      <c r="P194" s="42">
        <f>D194-SUM(H194,J194,L194,N194)</f>
        <v/>
      </c>
      <c r="R194" s="42">
        <f>D194-SUM(H194,J194,L194,N194,P194)</f>
        <v/>
      </c>
      <c r="T194" s="42">
        <f>D194-SUM(H194,J194,L194,N194,P194,R194)</f>
        <v/>
      </c>
      <c r="V194" s="42">
        <f>D194-SUM(H194,J194,L194,N194,P194,R194,T194)</f>
        <v/>
      </c>
      <c r="X194" s="56">
        <f>D194-SUM(H194,J194,L194,N194,P194,R194,T194,V194)</f>
        <v/>
      </c>
      <c r="Y194" s="57">
        <f>12*COUNT(G194,I194,K194,M194,O194,Q194,U194,W194,S194)</f>
        <v/>
      </c>
      <c r="Z194" s="40">
        <f>IF(AND('0₦'!T197&lt;&gt;0,'0₦'!T197&lt;&gt;""),9,0) + 0</f>
        <v/>
      </c>
      <c r="AA194" s="445">
        <f>'0₦'!BI197 + 0</f>
        <v/>
      </c>
      <c r="AB194" s="446">
        <f>'0₦'!BE197</f>
        <v/>
      </c>
      <c r="AC194" s="450">
        <f>'0₦'!BC197 + 0</f>
        <v/>
      </c>
      <c r="AD194" s="42">
        <f>'0₦'!BD197</f>
        <v/>
      </c>
      <c r="AE194" s="42">
        <f>'0₦'!AX197</f>
        <v/>
      </c>
      <c r="AF194" s="446">
        <f>hcbi!AA198+hcbi!Y198</f>
        <v/>
      </c>
      <c r="AG194" s="42">
        <f>'0₦'!AW197</f>
        <v/>
      </c>
      <c r="AH194" s="450">
        <f>0</f>
        <v/>
      </c>
      <c r="AI194" s="445" t="n"/>
      <c r="AJ194" s="445" t="n"/>
      <c r="AK194" s="44" t="n"/>
      <c r="AL194" s="45" t="n"/>
    </row>
    <row r="195" ht="17.1" customHeight="1" s="37">
      <c r="B195" s="546">
        <f>B194+1</f>
        <v/>
      </c>
      <c r="C195" s="450" t="inlineStr">
        <is>
          <t>sf21</t>
        </is>
      </c>
      <c r="D195" s="257">
        <f>SUM(Y195:AH195)</f>
        <v/>
      </c>
      <c r="E195" s="54">
        <f>'0₦'!AF198</f>
        <v/>
      </c>
      <c r="F195" s="41">
        <f>'0₦'!AG198</f>
        <v/>
      </c>
      <c r="H195" s="410">
        <f>D195</f>
        <v/>
      </c>
      <c r="J195" s="42">
        <f>D195-H195</f>
        <v/>
      </c>
      <c r="L195" s="42">
        <f>D195-SUM(H195,J195)</f>
        <v/>
      </c>
      <c r="N195" s="42">
        <f>D195-SUM(H195,J195,L195,)</f>
        <v/>
      </c>
      <c r="P195" s="42">
        <f>D195-SUM(H195,J195,L195,N195)</f>
        <v/>
      </c>
      <c r="R195" s="42">
        <f>D195-SUM(H195,J195,L195,N195,P195)</f>
        <v/>
      </c>
      <c r="T195" s="42">
        <f>D195-SUM(H195,J195,L195,N195,P195,R195)</f>
        <v/>
      </c>
      <c r="V195" s="42">
        <f>D195-SUM(H195,J195,L195,N195,P195,R195,T195)</f>
        <v/>
      </c>
      <c r="X195" s="56">
        <f>D195-SUM(H195,J195,L195,N195,P195,R195,T195,V195)</f>
        <v/>
      </c>
      <c r="Y195" s="57">
        <f>12*COUNT(G195,I195,K195,M195,O195,Q195,U195,W195,S195)</f>
        <v/>
      </c>
      <c r="Z195" s="40">
        <f>IF(AND('0₦'!T198&lt;&gt;0,'0₦'!T198&lt;&gt;""),9,0) + 0</f>
        <v/>
      </c>
      <c r="AA195" s="445">
        <f>'0₦'!BI198 + 0</f>
        <v/>
      </c>
      <c r="AB195" s="446">
        <f>'0₦'!BE198</f>
        <v/>
      </c>
      <c r="AC195" s="450">
        <f>'0₦'!BC198 + 0</f>
        <v/>
      </c>
      <c r="AD195" s="42">
        <f>'0₦'!BD198</f>
        <v/>
      </c>
      <c r="AE195" s="42">
        <f>'0₦'!AX198</f>
        <v/>
      </c>
      <c r="AF195" s="446">
        <f>hcbi!AA199+hcbi!Y199</f>
        <v/>
      </c>
      <c r="AG195" s="42">
        <f>'0₦'!AW198</f>
        <v/>
      </c>
      <c r="AH195" s="450">
        <f>0</f>
        <v/>
      </c>
      <c r="AK195" s="44" t="n"/>
      <c r="AL195" s="45" t="n"/>
    </row>
    <row r="196" ht="17.1" customHeight="1" s="37">
      <c r="B196" s="546">
        <f>B195+1</f>
        <v/>
      </c>
      <c r="C196" s="450" t="inlineStr">
        <is>
          <t>sf21</t>
        </is>
      </c>
      <c r="D196" s="257">
        <f>SUM(Y196:AH196)</f>
        <v/>
      </c>
      <c r="E196" s="54">
        <f>'0₦'!AF199</f>
        <v/>
      </c>
      <c r="F196" s="41">
        <f>'0₦'!AG199</f>
        <v/>
      </c>
      <c r="H196" s="410">
        <f>D196</f>
        <v/>
      </c>
      <c r="J196" s="42">
        <f>D196-H196</f>
        <v/>
      </c>
      <c r="L196" s="42">
        <f>D196-SUM(H196,J196)</f>
        <v/>
      </c>
      <c r="N196" s="42">
        <f>D196-SUM(H196,J196,L196,)</f>
        <v/>
      </c>
      <c r="P196" s="42">
        <f>D196-SUM(H196,J196,L196,N196)</f>
        <v/>
      </c>
      <c r="R196" s="42">
        <f>D196-SUM(H196,J196,L196,N196,P196)</f>
        <v/>
      </c>
      <c r="T196" s="42">
        <f>D196-SUM(H196,J196,L196,N196,P196,R196)</f>
        <v/>
      </c>
      <c r="V196" s="42">
        <f>D196-SUM(H196,J196,L196,N196,P196,R196,T196)</f>
        <v/>
      </c>
      <c r="X196" s="56">
        <f>D196-SUM(H196,J196,L196,N196,P196,R196,T196,V196)</f>
        <v/>
      </c>
      <c r="Y196" s="57">
        <f>12*COUNT(G196,I196,K196,M196,O196,Q196,U196,W196,S196)</f>
        <v/>
      </c>
      <c r="Z196" s="40">
        <f>IF(AND('0₦'!T199&lt;&gt;0,'0₦'!T199&lt;&gt;""),9,0) + 0</f>
        <v/>
      </c>
      <c r="AA196" s="445">
        <f>'0₦'!BI199 + 0</f>
        <v/>
      </c>
      <c r="AB196" s="446">
        <f>'0₦'!BE199</f>
        <v/>
      </c>
      <c r="AC196" s="450">
        <f>'0₦'!BC199 + 0</f>
        <v/>
      </c>
      <c r="AD196" s="42">
        <f>'0₦'!BD199</f>
        <v/>
      </c>
      <c r="AE196" s="42">
        <f>'0₦'!AX199</f>
        <v/>
      </c>
      <c r="AF196" s="446">
        <f>hcbi!AA200+hcbi!Y200</f>
        <v/>
      </c>
      <c r="AG196" s="42">
        <f>'0₦'!AW199</f>
        <v/>
      </c>
      <c r="AH196" s="450">
        <f>0</f>
        <v/>
      </c>
      <c r="AI196" s="445" t="n"/>
      <c r="AJ196" s="445" t="n"/>
      <c r="AL196" s="45" t="n"/>
    </row>
    <row r="197" ht="17.1" customHeight="1" s="37">
      <c r="A197" s="547" t="n"/>
      <c r="B197" s="546">
        <f>B196+1</f>
        <v/>
      </c>
      <c r="C197" s="450" t="inlineStr">
        <is>
          <t>sf21</t>
        </is>
      </c>
      <c r="D197" s="257">
        <f>SUM(Y197:AH197)</f>
        <v/>
      </c>
      <c r="E197" s="54">
        <f>'0₦'!AF200</f>
        <v/>
      </c>
      <c r="F197" s="41">
        <f>'0₦'!AG200</f>
        <v/>
      </c>
      <c r="H197" s="410">
        <f>D197</f>
        <v/>
      </c>
      <c r="J197" s="42">
        <f>D197-H197</f>
        <v/>
      </c>
      <c r="L197" s="42">
        <f>D197-SUM(H197,J197)</f>
        <v/>
      </c>
      <c r="N197" s="42">
        <f>D197-SUM(H197,J197,L197,)</f>
        <v/>
      </c>
      <c r="P197" s="42">
        <f>D197-SUM(H197,J197,L197,N197)</f>
        <v/>
      </c>
      <c r="R197" s="42">
        <f>D197-SUM(H197,J197,L197,N197,P197)</f>
        <v/>
      </c>
      <c r="T197" s="42">
        <f>D197-SUM(H197,J197,L197,N197,P197,R197)</f>
        <v/>
      </c>
      <c r="V197" s="42">
        <f>D197-SUM(H197,J197,L197,N197,P197,R197,T197)</f>
        <v/>
      </c>
      <c r="X197" s="56">
        <f>D197-SUM(H197,J197,L197,N197,P197,R197,T197,V197)</f>
        <v/>
      </c>
      <c r="Y197" s="57">
        <f>12*COUNT(G197,I197,K197,M197,O197,Q197,U197,W197,S197)</f>
        <v/>
      </c>
      <c r="Z197" s="40">
        <f>IF(AND('0₦'!T200&lt;&gt;0,'0₦'!T200&lt;&gt;""),9,0) + 0</f>
        <v/>
      </c>
      <c r="AA197" s="445">
        <f>'0₦'!BI200 + 0</f>
        <v/>
      </c>
      <c r="AB197" s="446">
        <f>'0₦'!BE200</f>
        <v/>
      </c>
      <c r="AC197" s="450">
        <f>'0₦'!BC200 + 0</f>
        <v/>
      </c>
      <c r="AD197" s="42">
        <f>'0₦'!BD200</f>
        <v/>
      </c>
      <c r="AE197" s="42">
        <f>'0₦'!AX200</f>
        <v/>
      </c>
      <c r="AF197" s="446">
        <f>hcbi!AA201+hcbi!Y201 + 10</f>
        <v/>
      </c>
      <c r="AG197" s="42">
        <f>'0₦'!AW200</f>
        <v/>
      </c>
      <c r="AH197" s="450">
        <f>0</f>
        <v/>
      </c>
      <c r="AK197" s="44" t="n"/>
      <c r="AL197" s="45" t="n"/>
    </row>
    <row r="198" ht="17.1" customHeight="1" s="37">
      <c r="A198" s="441">
        <f>A191+0.1</f>
        <v/>
      </c>
      <c r="B198" s="546">
        <f>B197+1</f>
        <v/>
      </c>
      <c r="C198" s="450" t="inlineStr">
        <is>
          <t>sf21</t>
        </is>
      </c>
      <c r="D198" s="257">
        <f>SUM(Y198:AH198)</f>
        <v/>
      </c>
      <c r="E198" s="54">
        <f>'0₦'!AF201</f>
        <v/>
      </c>
      <c r="F198" s="41">
        <f>'0₦'!AG201</f>
        <v/>
      </c>
      <c r="H198" s="410">
        <f>D198</f>
        <v/>
      </c>
      <c r="J198" s="42">
        <f>D198-H198</f>
        <v/>
      </c>
      <c r="L198" s="42">
        <f>D198-SUM(H198,J198)</f>
        <v/>
      </c>
      <c r="N198" s="42">
        <f>D198-SUM(H198,J198,L198,)</f>
        <v/>
      </c>
      <c r="P198" s="42">
        <f>D198-SUM(H198,J198,L198,N198)</f>
        <v/>
      </c>
      <c r="R198" s="42">
        <f>D198-SUM(H198,J198,L198,N198,P198)</f>
        <v/>
      </c>
      <c r="T198" s="42">
        <f>D198-SUM(H198,J198,L198,N198,P198,R198)</f>
        <v/>
      </c>
      <c r="V198" s="42">
        <f>D198-SUM(H198,J198,L198,N198,P198,R198,T198)</f>
        <v/>
      </c>
      <c r="X198" s="56">
        <f>D198-SUM(H198,J198,L198,N198,P198,R198,T198,V198)</f>
        <v/>
      </c>
      <c r="Y198" s="57">
        <f>12*COUNT(G198,I198,K198,M198,O198,Q198,U198,W198,S198)</f>
        <v/>
      </c>
      <c r="Z198" s="40">
        <f>IF(AND('0₦'!T201&lt;&gt;0,'0₦'!T201&lt;&gt;""),9,0) + 0</f>
        <v/>
      </c>
      <c r="AA198" s="445">
        <f>'0₦'!BI201 + 0</f>
        <v/>
      </c>
      <c r="AB198" s="446">
        <f>'0₦'!BE201</f>
        <v/>
      </c>
      <c r="AC198" s="450">
        <f>'0₦'!BC201 + 0</f>
        <v/>
      </c>
      <c r="AD198" s="42">
        <f>'0₦'!BD201</f>
        <v/>
      </c>
      <c r="AE198" s="42">
        <f>'0₦'!AX201</f>
        <v/>
      </c>
      <c r="AF198" s="446">
        <f>hcbi!AA202+hcbi!Y202</f>
        <v/>
      </c>
      <c r="AG198" s="42">
        <f>'0₦'!AW201</f>
        <v/>
      </c>
      <c r="AH198" s="450">
        <f>0</f>
        <v/>
      </c>
      <c r="AI198" s="445" t="n"/>
      <c r="AJ198" s="448" t="n"/>
      <c r="AK198" s="44" t="n"/>
      <c r="AL198" s="45" t="n"/>
    </row>
    <row r="199" ht="17.1" customHeight="1" s="37">
      <c r="B199" s="546">
        <f>B198+1</f>
        <v/>
      </c>
      <c r="C199" s="450" t="inlineStr">
        <is>
          <t>sf21</t>
        </is>
      </c>
      <c r="D199" s="257">
        <f>SUM(Y199:AH199)</f>
        <v/>
      </c>
      <c r="E199" s="54">
        <f>'0₦'!AF202</f>
        <v/>
      </c>
      <c r="F199" s="41">
        <f>'0₦'!AG202</f>
        <v/>
      </c>
      <c r="H199" s="410">
        <f>D199</f>
        <v/>
      </c>
      <c r="J199" s="42">
        <f>D199-H199</f>
        <v/>
      </c>
      <c r="L199" s="42">
        <f>D199-SUM(H199,J199)</f>
        <v/>
      </c>
      <c r="N199" s="42">
        <f>D199-SUM(H199,J199,L199,)</f>
        <v/>
      </c>
      <c r="P199" s="42">
        <f>D199-SUM(H199,J199,L199,N199)</f>
        <v/>
      </c>
      <c r="R199" s="42">
        <f>D199-SUM(H199,J199,L199,N199,P199)</f>
        <v/>
      </c>
      <c r="T199" s="42">
        <f>D199-SUM(H199,J199,L199,N199,P199,R199)</f>
        <v/>
      </c>
      <c r="V199" s="42">
        <f>D199-SUM(H199,J199,L199,N199,P199,R199,T199)</f>
        <v/>
      </c>
      <c r="X199" s="56">
        <f>D199-SUM(H199,J199,L199,N199,P199,R199,T199,V199)</f>
        <v/>
      </c>
      <c r="Y199" s="57">
        <f>12*COUNT(G199,I199,K199,M199,O199,Q199,U199,W199,S199)</f>
        <v/>
      </c>
      <c r="Z199" s="40">
        <f>IF(AND('0₦'!T202&lt;&gt;0,'0₦'!T202&lt;&gt;""),9,0) + 0</f>
        <v/>
      </c>
      <c r="AA199" s="445">
        <f>'0₦'!BI202 + 0</f>
        <v/>
      </c>
      <c r="AB199" s="446">
        <f>'0₦'!BE202</f>
        <v/>
      </c>
      <c r="AC199" s="450">
        <f>'0₦'!BC202 + 0</f>
        <v/>
      </c>
      <c r="AD199" s="42">
        <f>'0₦'!BD202</f>
        <v/>
      </c>
      <c r="AE199" s="42">
        <f>'0₦'!AX202</f>
        <v/>
      </c>
      <c r="AF199" s="446">
        <f>hcbi!AA203+hcbi!Y203</f>
        <v/>
      </c>
      <c r="AG199" s="42">
        <f>'0₦'!AW202</f>
        <v/>
      </c>
      <c r="AH199" s="450">
        <f>0</f>
        <v/>
      </c>
      <c r="AK199" s="44" t="n"/>
      <c r="AL199" s="45" t="n"/>
    </row>
    <row r="200" ht="17.1" customHeight="1" s="37">
      <c r="B200" s="546">
        <f>B199+1</f>
        <v/>
      </c>
      <c r="C200" s="450" t="inlineStr">
        <is>
          <t>sf21</t>
        </is>
      </c>
      <c r="D200" s="257">
        <f>SUM(Y200:AH200)</f>
        <v/>
      </c>
      <c r="E200" s="54">
        <f>'0₦'!AF203</f>
        <v/>
      </c>
      <c r="F200" s="41">
        <f>'0₦'!AG203</f>
        <v/>
      </c>
      <c r="H200" s="410">
        <f>D200</f>
        <v/>
      </c>
      <c r="J200" s="42">
        <f>D200-H200</f>
        <v/>
      </c>
      <c r="L200" s="42">
        <f>D200-SUM(H200,J200)</f>
        <v/>
      </c>
      <c r="N200" s="42">
        <f>D200-SUM(H200,J200,L200,)</f>
        <v/>
      </c>
      <c r="P200" s="42">
        <f>D200-SUM(H200,J200,L200,N200)</f>
        <v/>
      </c>
      <c r="R200" s="42">
        <f>D200-SUM(H200,J200,L200,N200,P200)</f>
        <v/>
      </c>
      <c r="T200" s="42">
        <f>D200-SUM(H200,J200,L200,N200,P200,R200)</f>
        <v/>
      </c>
      <c r="V200" s="42">
        <f>D200-SUM(H200,J200,L200,N200,P200,R200,T200)</f>
        <v/>
      </c>
      <c r="X200" s="56">
        <f>D200-SUM(H200,J200,L200,N200,P200,R200,T200,V200)</f>
        <v/>
      </c>
      <c r="Y200" s="57">
        <f>12*COUNT(G200,I200,K200,M200,O200,Q200,U200,W200,S200)</f>
        <v/>
      </c>
      <c r="Z200" s="40">
        <f>IF(AND('0₦'!T203&lt;&gt;0,'0₦'!T203&lt;&gt;""),9,0) + 0</f>
        <v/>
      </c>
      <c r="AA200" s="445">
        <f>'0₦'!BI203 + 0</f>
        <v/>
      </c>
      <c r="AB200" s="446">
        <f>'0₦'!BE203</f>
        <v/>
      </c>
      <c r="AC200" s="450">
        <f>'0₦'!BC203 + 0</f>
        <v/>
      </c>
      <c r="AD200" s="42">
        <f>'0₦'!BD203</f>
        <v/>
      </c>
      <c r="AE200" s="42">
        <f>'0₦'!AX203</f>
        <v/>
      </c>
      <c r="AF200" s="446">
        <f>hcbi!AA204+hcbi!Y204</f>
        <v/>
      </c>
      <c r="AG200" s="42">
        <f>'0₦'!AW203</f>
        <v/>
      </c>
      <c r="AH200" s="450">
        <f>0</f>
        <v/>
      </c>
      <c r="AI200" s="445" t="n"/>
      <c r="AJ200" s="445" t="n"/>
      <c r="AK200" s="44" t="n"/>
      <c r="AL200" s="45" t="n"/>
    </row>
    <row r="201" ht="17.1" customHeight="1" s="37">
      <c r="B201" s="546">
        <f>B200+1</f>
        <v/>
      </c>
      <c r="C201" s="450" t="inlineStr">
        <is>
          <t>sf21</t>
        </is>
      </c>
      <c r="D201" s="257">
        <f>SUM(Y201:AH201)</f>
        <v/>
      </c>
      <c r="E201" s="54">
        <f>'0₦'!AF204</f>
        <v/>
      </c>
      <c r="F201" s="41">
        <f>'0₦'!AG204</f>
        <v/>
      </c>
      <c r="H201" s="410">
        <f>D201</f>
        <v/>
      </c>
      <c r="J201" s="42">
        <f>D201-H201</f>
        <v/>
      </c>
      <c r="L201" s="42">
        <f>D201-SUM(H201,J201)</f>
        <v/>
      </c>
      <c r="N201" s="42">
        <f>D201-SUM(H201,J201,L201,)</f>
        <v/>
      </c>
      <c r="P201" s="42">
        <f>D201-SUM(H201,J201,L201,N201)</f>
        <v/>
      </c>
      <c r="R201" s="42">
        <f>D201-SUM(H201,J201,L201,N201,P201)</f>
        <v/>
      </c>
      <c r="T201" s="42">
        <f>D201-SUM(H201,J201,L201,N201,P201,R201)</f>
        <v/>
      </c>
      <c r="V201" s="42">
        <f>D201-SUM(H201,J201,L201,N201,P201,R201,T201)</f>
        <v/>
      </c>
      <c r="X201" s="56">
        <f>D201-SUM(H201,J201,L201,N201,P201,R201,T201,V201)</f>
        <v/>
      </c>
      <c r="Y201" s="57">
        <f>12*COUNT(G201,I201,K201,M201,O201,Q201,U201,W201,S201)</f>
        <v/>
      </c>
      <c r="Z201" s="40">
        <f>IF(AND('0₦'!T204&lt;&gt;0,'0₦'!T204&lt;&gt;""),9,0) + 0</f>
        <v/>
      </c>
      <c r="AA201" s="445">
        <f>'0₦'!BI204 + 0</f>
        <v/>
      </c>
      <c r="AB201" s="446">
        <f>'0₦'!BE204</f>
        <v/>
      </c>
      <c r="AC201" s="450">
        <f>'0₦'!BC204 + 0</f>
        <v/>
      </c>
      <c r="AD201" s="42">
        <f>'0₦'!BD204</f>
        <v/>
      </c>
      <c r="AE201" s="42">
        <f>'0₦'!AX204</f>
        <v/>
      </c>
      <c r="AF201" s="446">
        <f>hcbi!AA205+hcbi!Y205 + 20</f>
        <v/>
      </c>
      <c r="AG201" s="42">
        <f>'0₦'!AW204</f>
        <v/>
      </c>
      <c r="AH201" s="450">
        <f>0</f>
        <v/>
      </c>
      <c r="AK201" s="44" t="n"/>
      <c r="AL201" s="45" t="n"/>
    </row>
    <row r="202" ht="17.1" customHeight="1" s="37">
      <c r="B202" s="546">
        <f>B201+1</f>
        <v/>
      </c>
      <c r="C202" s="450" t="inlineStr">
        <is>
          <t>sf21</t>
        </is>
      </c>
      <c r="D202" s="257">
        <f>SUM(Y202:AH202)</f>
        <v/>
      </c>
      <c r="E202" s="54">
        <f>'0₦'!AF205</f>
        <v/>
      </c>
      <c r="F202" s="41">
        <f>'0₦'!AG205</f>
        <v/>
      </c>
      <c r="H202" s="410">
        <f>D202</f>
        <v/>
      </c>
      <c r="J202" s="42">
        <f>D202-H202</f>
        <v/>
      </c>
      <c r="L202" s="42">
        <f>D202-SUM(H202,J202)</f>
        <v/>
      </c>
      <c r="N202" s="42">
        <f>D202-SUM(H202,J202,L202,)</f>
        <v/>
      </c>
      <c r="P202" s="42">
        <f>D202-SUM(H202,J202,L202,N202)</f>
        <v/>
      </c>
      <c r="R202" s="42">
        <f>D202-SUM(H202,J202,L202,N202,P202)</f>
        <v/>
      </c>
      <c r="T202" s="42">
        <f>D202-SUM(H202,J202,L202,N202,P202,R202)</f>
        <v/>
      </c>
      <c r="V202" s="42">
        <f>D202-SUM(H202,J202,L202,N202,P202,R202,T202)</f>
        <v/>
      </c>
      <c r="X202" s="56">
        <f>D202-SUM(H202,J202,L202,N202,P202,R202,T202,V202)</f>
        <v/>
      </c>
      <c r="Y202" s="57">
        <f>12*COUNT(G202,I202,K202,M202,O202,Q202,U202,W202,S202)</f>
        <v/>
      </c>
      <c r="Z202" s="40">
        <f>IF(AND('0₦'!T205&lt;&gt;0,'0₦'!T205&lt;&gt;""),9,0) + 0</f>
        <v/>
      </c>
      <c r="AA202" s="445">
        <f>'0₦'!BI205 + 0</f>
        <v/>
      </c>
      <c r="AB202" s="446">
        <f>'0₦'!BE205</f>
        <v/>
      </c>
      <c r="AC202" s="450">
        <f>'0₦'!BC205 + 0</f>
        <v/>
      </c>
      <c r="AD202" s="42">
        <f>'0₦'!BD205</f>
        <v/>
      </c>
      <c r="AE202" s="42">
        <f>'0₦'!AX205</f>
        <v/>
      </c>
      <c r="AF202" s="446">
        <f>hcbi!AA206+hcbi!Y206 + 10</f>
        <v/>
      </c>
      <c r="AG202" s="42">
        <f>'0₦'!AW205</f>
        <v/>
      </c>
      <c r="AH202" s="450">
        <f>0</f>
        <v/>
      </c>
      <c r="AI202" s="445" t="n"/>
      <c r="AJ202" s="445" t="n"/>
      <c r="AK202" s="44" t="n"/>
      <c r="AL202" s="45" t="n"/>
      <c r="AN202" s="93" t="n"/>
    </row>
    <row r="203" ht="17.1" customHeight="1" s="37">
      <c r="B203" s="546">
        <f>B202+1</f>
        <v/>
      </c>
      <c r="C203" s="450" t="inlineStr">
        <is>
          <t>sf21</t>
        </is>
      </c>
      <c r="D203" s="257">
        <f>SUM(Y203:AH203)</f>
        <v/>
      </c>
      <c r="E203" s="54">
        <f>'0₦'!AF206</f>
        <v/>
      </c>
      <c r="F203" s="41">
        <f>'0₦'!AG206</f>
        <v/>
      </c>
      <c r="H203" s="410">
        <f>D203</f>
        <v/>
      </c>
      <c r="J203" s="42">
        <f>D203-H203</f>
        <v/>
      </c>
      <c r="L203" s="42">
        <f>D203-SUM(H203,J203)</f>
        <v/>
      </c>
      <c r="N203" s="42">
        <f>D203-SUM(H203,J203,L203,)</f>
        <v/>
      </c>
      <c r="P203" s="42">
        <f>D203-SUM(H203,J203,L203,N203)</f>
        <v/>
      </c>
      <c r="R203" s="42">
        <f>D203-SUM(H203,J203,L203,N203,P203)</f>
        <v/>
      </c>
      <c r="T203" s="42">
        <f>D203-SUM(H203,J203,L203,N203,P203,R203)</f>
        <v/>
      </c>
      <c r="V203" s="42">
        <f>D203-SUM(H203,J203,L203,N203,P203,R203,T203)</f>
        <v/>
      </c>
      <c r="X203" s="56">
        <f>D203-SUM(H203,J203,L203,N203,P203,R203,T203,V203)</f>
        <v/>
      </c>
      <c r="Y203" s="57">
        <f>12*COUNT(G203,I203,K203,M203,O203,Q203,U203,W203,S203)</f>
        <v/>
      </c>
      <c r="Z203" s="40">
        <f>IF(AND('0₦'!T206&lt;&gt;0,'0₦'!T206&lt;&gt;""),9,0) + 0</f>
        <v/>
      </c>
      <c r="AA203" s="445">
        <f>'0₦'!BI206 + 0</f>
        <v/>
      </c>
      <c r="AB203" s="446">
        <f>'0₦'!BE206</f>
        <v/>
      </c>
      <c r="AC203" s="450">
        <f>'0₦'!BC206 + 0</f>
        <v/>
      </c>
      <c r="AD203" s="42">
        <f>'0₦'!BD206</f>
        <v/>
      </c>
      <c r="AE203" s="42">
        <f>'0₦'!AX206</f>
        <v/>
      </c>
      <c r="AF203" s="446">
        <f>hcbi!AA207+hcbi!Y207</f>
        <v/>
      </c>
      <c r="AG203" s="42">
        <f>'0₦'!AW206</f>
        <v/>
      </c>
      <c r="AH203" s="450">
        <f>0</f>
        <v/>
      </c>
      <c r="AK203" s="44" t="n"/>
      <c r="AL203" s="45" t="n"/>
    </row>
    <row r="204" ht="17.1" customHeight="1" s="37">
      <c r="A204" s="547" t="n"/>
      <c r="B204" s="546">
        <f>B203+1</f>
        <v/>
      </c>
      <c r="C204" s="450" t="inlineStr">
        <is>
          <t>sf21</t>
        </is>
      </c>
      <c r="D204" s="257">
        <f>SUM(Y204:AH204)</f>
        <v/>
      </c>
      <c r="E204" s="54">
        <f>'0₦'!AF207</f>
        <v/>
      </c>
      <c r="F204" s="41">
        <f>'0₦'!AG207</f>
        <v/>
      </c>
      <c r="H204" s="410">
        <f>D204</f>
        <v/>
      </c>
      <c r="J204" s="42">
        <f>D204-H204</f>
        <v/>
      </c>
      <c r="L204" s="42">
        <f>D204-SUM(H204,J204)</f>
        <v/>
      </c>
      <c r="N204" s="42">
        <f>D204-SUM(H204,J204,L204,)</f>
        <v/>
      </c>
      <c r="P204" s="42">
        <f>D204-SUM(H204,J204,L204,N204)</f>
        <v/>
      </c>
      <c r="R204" s="42">
        <f>D204-SUM(H204,J204,L204,N204,P204)</f>
        <v/>
      </c>
      <c r="T204" s="42">
        <f>D204-SUM(H204,J204,L204,N204,P204,R204)</f>
        <v/>
      </c>
      <c r="V204" s="42">
        <f>D204-SUM(H204,J204,L204,N204,P204,R204,T204)</f>
        <v/>
      </c>
      <c r="X204" s="56">
        <f>D204-SUM(H204,J204,L204,N204,P204,R204,T204,V204)</f>
        <v/>
      </c>
      <c r="Y204" s="57">
        <f>12*COUNT(G204,I204,K204,M204,O204,Q204,U204,W204,S204)</f>
        <v/>
      </c>
      <c r="Z204" s="40">
        <f>IF(AND('0₦'!T207&lt;&gt;0,'0₦'!T207&lt;&gt;""),9,0) + 0</f>
        <v/>
      </c>
      <c r="AA204" s="445">
        <f>'0₦'!BI207 + 0</f>
        <v/>
      </c>
      <c r="AB204" s="446">
        <f>'0₦'!BE207</f>
        <v/>
      </c>
      <c r="AC204" s="450">
        <f>'0₦'!BC207 + 0</f>
        <v/>
      </c>
      <c r="AD204" s="42">
        <f>'0₦'!BD207</f>
        <v/>
      </c>
      <c r="AE204" s="42">
        <f>'0₦'!AX207</f>
        <v/>
      </c>
      <c r="AF204" s="446">
        <f>hcbi!AA208+hcbi!Y208</f>
        <v/>
      </c>
      <c r="AG204" s="42">
        <f>'0₦'!AW207</f>
        <v/>
      </c>
      <c r="AH204" s="450">
        <f>0</f>
        <v/>
      </c>
      <c r="AI204" s="445" t="n"/>
      <c r="AJ204" s="445" t="n"/>
      <c r="AK204" s="44" t="n"/>
      <c r="AL204" s="45" t="n"/>
    </row>
    <row r="205" ht="17.1" customHeight="1" s="37">
      <c r="A205" s="441">
        <f>A198+0.1</f>
        <v/>
      </c>
      <c r="B205" s="546">
        <f>B204+1</f>
        <v/>
      </c>
      <c r="C205" s="450" t="inlineStr">
        <is>
          <t>sf21</t>
        </is>
      </c>
      <c r="D205" s="257">
        <f>SUM(Y205:AH205)</f>
        <v/>
      </c>
      <c r="E205" s="54">
        <f>'0₦'!AF208</f>
        <v/>
      </c>
      <c r="F205" s="41">
        <f>'0₦'!AG208</f>
        <v/>
      </c>
      <c r="H205" s="410">
        <f>D205</f>
        <v/>
      </c>
      <c r="J205" s="42">
        <f>D205-H205</f>
        <v/>
      </c>
      <c r="L205" s="42">
        <f>D205-SUM(H205,J205)</f>
        <v/>
      </c>
      <c r="N205" s="42">
        <f>D205-SUM(H205,J205,L205,)</f>
        <v/>
      </c>
      <c r="P205" s="42">
        <f>D205-SUM(H205,J205,L205,N205)</f>
        <v/>
      </c>
      <c r="R205" s="42">
        <f>D205-SUM(H205,J205,L205,N205,P205)</f>
        <v/>
      </c>
      <c r="T205" s="42">
        <f>D205-SUM(H205,J205,L205,N205,P205,R205)</f>
        <v/>
      </c>
      <c r="V205" s="42">
        <f>D205-SUM(H205,J205,L205,N205,P205,R205,T205)</f>
        <v/>
      </c>
      <c r="X205" s="56">
        <f>D205-SUM(H205,J205,L205,N205,P205,R205,T205,V205)</f>
        <v/>
      </c>
      <c r="Y205" s="57">
        <f>12*COUNT(G205,I205,K205,M205,O205,Q205,U205,W205,S205)</f>
        <v/>
      </c>
      <c r="Z205" s="40">
        <f>IF(AND('0₦'!T208&lt;&gt;0,'0₦'!T208&lt;&gt;""),9,0) + 0</f>
        <v/>
      </c>
      <c r="AA205" s="445">
        <f>'0₦'!BI208 + 0</f>
        <v/>
      </c>
      <c r="AB205" s="446">
        <f>'0₦'!BE208</f>
        <v/>
      </c>
      <c r="AC205" s="450">
        <f>'0₦'!BC208 + 0</f>
        <v/>
      </c>
      <c r="AD205" s="42">
        <f>'0₦'!BD208</f>
        <v/>
      </c>
      <c r="AE205" s="42">
        <f>'0₦'!AX208</f>
        <v/>
      </c>
      <c r="AF205" s="446">
        <f>hcbi!AA209+hcbi!Y209</f>
        <v/>
      </c>
      <c r="AG205" s="42">
        <f>'0₦'!AW208</f>
        <v/>
      </c>
      <c r="AH205" s="450">
        <f>0</f>
        <v/>
      </c>
      <c r="AK205" s="44" t="n"/>
      <c r="AL205" s="45" t="n"/>
    </row>
    <row r="206" ht="17.1" customHeight="1" s="37">
      <c r="B206" s="546">
        <f>B205+1</f>
        <v/>
      </c>
      <c r="C206" s="450" t="inlineStr">
        <is>
          <t>sf21</t>
        </is>
      </c>
      <c r="D206" s="257">
        <f>SUM(Y206:AH206)</f>
        <v/>
      </c>
      <c r="E206" s="54">
        <f>'0₦'!AF209</f>
        <v/>
      </c>
      <c r="F206" s="41">
        <f>'0₦'!AG209</f>
        <v/>
      </c>
      <c r="H206" s="410">
        <f>D206</f>
        <v/>
      </c>
      <c r="J206" s="42">
        <f>D206-H206</f>
        <v/>
      </c>
      <c r="L206" s="42">
        <f>D206-SUM(H206,J206)</f>
        <v/>
      </c>
      <c r="N206" s="42">
        <f>D206-SUM(H206,J206,L206,)</f>
        <v/>
      </c>
      <c r="P206" s="42">
        <f>D206-SUM(H206,J206,L206,N206)</f>
        <v/>
      </c>
      <c r="R206" s="42">
        <f>D206-SUM(H206,J206,L206,N206,P206)</f>
        <v/>
      </c>
      <c r="T206" s="42">
        <f>D206-SUM(H206,J206,L206,N206,P206,R206)</f>
        <v/>
      </c>
      <c r="V206" s="42">
        <f>D206-SUM(H206,J206,L206,N206,P206,R206,T206)</f>
        <v/>
      </c>
      <c r="X206" s="56">
        <f>D206-SUM(H206,J206,L206,N206,P206,R206,T206,V206)</f>
        <v/>
      </c>
      <c r="Y206" s="57">
        <f>12*COUNT(G206,I206,K206,M206,O206,Q206,U206,W206,S206)</f>
        <v/>
      </c>
      <c r="Z206" s="40">
        <f>IF(AND('0₦'!T209&lt;&gt;0,'0₦'!T209&lt;&gt;""),9,0) + 0</f>
        <v/>
      </c>
      <c r="AA206" s="445">
        <f>'0₦'!BI209 + 0</f>
        <v/>
      </c>
      <c r="AB206" s="446">
        <f>'0₦'!BE209</f>
        <v/>
      </c>
      <c r="AC206" s="450">
        <f>'0₦'!BC209 + 0</f>
        <v/>
      </c>
      <c r="AD206" s="42">
        <f>'0₦'!BD209</f>
        <v/>
      </c>
      <c r="AE206" s="42">
        <f>'0₦'!AX209</f>
        <v/>
      </c>
      <c r="AF206" s="446">
        <f>hcbi!AA210+hcbi!Y210</f>
        <v/>
      </c>
      <c r="AG206" s="42">
        <f>'0₦'!AW209</f>
        <v/>
      </c>
      <c r="AH206" s="450">
        <f>0</f>
        <v/>
      </c>
      <c r="AI206" s="445" t="n"/>
      <c r="AJ206" s="445" t="n"/>
      <c r="AK206" s="44" t="n"/>
      <c r="AL206" s="45" t="n"/>
    </row>
    <row r="207" ht="17.1" customHeight="1" s="37">
      <c r="B207" s="546">
        <f>B206+1</f>
        <v/>
      </c>
      <c r="C207" s="450" t="inlineStr">
        <is>
          <t>sf21</t>
        </is>
      </c>
      <c r="D207" s="257">
        <f>SUM(Y207:AH207)</f>
        <v/>
      </c>
      <c r="E207" s="54">
        <f>'0₦'!AF210</f>
        <v/>
      </c>
      <c r="F207" s="41">
        <f>'0₦'!AG210</f>
        <v/>
      </c>
      <c r="H207" s="410">
        <f>D207</f>
        <v/>
      </c>
      <c r="J207" s="42">
        <f>D207-H207</f>
        <v/>
      </c>
      <c r="L207" s="42">
        <f>D207-SUM(H207,J207)</f>
        <v/>
      </c>
      <c r="N207" s="42">
        <f>D207-SUM(H207,J207,L207,)</f>
        <v/>
      </c>
      <c r="P207" s="42">
        <f>D207-SUM(H207,J207,L207,N207)</f>
        <v/>
      </c>
      <c r="R207" s="42">
        <f>D207-SUM(H207,J207,L207,N207,P207)</f>
        <v/>
      </c>
      <c r="T207" s="42">
        <f>D207-SUM(H207,J207,L207,N207,P207,R207)</f>
        <v/>
      </c>
      <c r="V207" s="42">
        <f>D207-SUM(H207,J207,L207,N207,P207,R207,T207)</f>
        <v/>
      </c>
      <c r="X207" s="56">
        <f>D207-SUM(H207,J207,L207,N207,P207,R207,T207,V207)</f>
        <v/>
      </c>
      <c r="Y207" s="57">
        <f>12*COUNT(G207,I207,K207,M207,O207,Q207,U207,W207,S207)</f>
        <v/>
      </c>
      <c r="Z207" s="40">
        <f>IF(AND('0₦'!T210&lt;&gt;0,'0₦'!T210&lt;&gt;""),9,0) + 0</f>
        <v/>
      </c>
      <c r="AA207" s="445">
        <f>'0₦'!BI210 + 0</f>
        <v/>
      </c>
      <c r="AB207" s="446">
        <f>'0₦'!BE210</f>
        <v/>
      </c>
      <c r="AC207" s="450">
        <f>'0₦'!BC210 + 0</f>
        <v/>
      </c>
      <c r="AD207" s="42">
        <f>'0₦'!BD210</f>
        <v/>
      </c>
      <c r="AE207" s="42">
        <f>'0₦'!AX210</f>
        <v/>
      </c>
      <c r="AF207" s="446">
        <f>hcbi!AA211+hcbi!Y211</f>
        <v/>
      </c>
      <c r="AG207" s="42">
        <f>'0₦'!AW210</f>
        <v/>
      </c>
      <c r="AH207" s="450">
        <f>0</f>
        <v/>
      </c>
      <c r="AK207" s="44" t="n"/>
      <c r="AL207" s="45" t="n"/>
    </row>
    <row r="208" ht="17.1" customHeight="1" s="37">
      <c r="B208" s="546">
        <f>B207+1</f>
        <v/>
      </c>
      <c r="C208" s="450" t="inlineStr">
        <is>
          <t>sf21</t>
        </is>
      </c>
      <c r="D208" s="257">
        <f>SUM(Y208:AH208)</f>
        <v/>
      </c>
      <c r="E208" s="54">
        <f>'0₦'!AF211</f>
        <v/>
      </c>
      <c r="F208" s="41">
        <f>'0₦'!AG211</f>
        <v/>
      </c>
      <c r="H208" s="410">
        <f>D208</f>
        <v/>
      </c>
      <c r="J208" s="42">
        <f>D208-H208</f>
        <v/>
      </c>
      <c r="L208" s="42">
        <f>D208-SUM(H208,J208)</f>
        <v/>
      </c>
      <c r="N208" s="42">
        <f>D208-SUM(H208,J208,L208,)</f>
        <v/>
      </c>
      <c r="P208" s="42">
        <f>D208-SUM(H208,J208,L208,N208)</f>
        <v/>
      </c>
      <c r="R208" s="42">
        <f>D208-SUM(H208,J208,L208,N208,P208)</f>
        <v/>
      </c>
      <c r="T208" s="42">
        <f>D208-SUM(H208,J208,L208,N208,P208,R208)</f>
        <v/>
      </c>
      <c r="V208" s="42">
        <f>D208-SUM(H208,J208,L208,N208,P208,R208,T208)</f>
        <v/>
      </c>
      <c r="X208" s="56">
        <f>D208-SUM(H208,J208,L208,N208,P208,R208,T208,V208)</f>
        <v/>
      </c>
      <c r="Y208" s="57">
        <f>12*COUNT(G208,I208,K208,M208,O208,Q208,U208,W208,S208)</f>
        <v/>
      </c>
      <c r="Z208" s="40">
        <f>IF(AND('0₦'!T211&lt;&gt;0,'0₦'!T211&lt;&gt;""),9,0) + 0</f>
        <v/>
      </c>
      <c r="AA208" s="445">
        <f>'0₦'!BI211 + 0</f>
        <v/>
      </c>
      <c r="AB208" s="446">
        <f>'0₦'!BE211</f>
        <v/>
      </c>
      <c r="AC208" s="450">
        <f>'0₦'!BC211 + 0</f>
        <v/>
      </c>
      <c r="AD208" s="42">
        <f>'0₦'!BD211</f>
        <v/>
      </c>
      <c r="AE208" s="42">
        <f>'0₦'!AX211</f>
        <v/>
      </c>
      <c r="AF208" s="446">
        <f>hcbi!AA212+hcbi!Y212</f>
        <v/>
      </c>
      <c r="AG208" s="42">
        <f>'0₦'!AW211</f>
        <v/>
      </c>
      <c r="AH208" s="450">
        <f>0</f>
        <v/>
      </c>
      <c r="AI208" s="445" t="n"/>
      <c r="AJ208" s="445" t="n"/>
      <c r="AK208" s="44" t="n"/>
      <c r="AL208" s="45" t="n"/>
    </row>
    <row r="209" ht="17.1" customHeight="1" s="37">
      <c r="B209" s="546">
        <f>B208+1</f>
        <v/>
      </c>
      <c r="C209" s="450" t="inlineStr">
        <is>
          <t>sf21</t>
        </is>
      </c>
      <c r="D209" s="257">
        <f>SUM(Y209:AH209)</f>
        <v/>
      </c>
      <c r="E209" s="54">
        <f>'0₦'!AF212</f>
        <v/>
      </c>
      <c r="F209" s="41">
        <f>'0₦'!AG212</f>
        <v/>
      </c>
      <c r="H209" s="410">
        <f>D209</f>
        <v/>
      </c>
      <c r="J209" s="42">
        <f>D209-H209</f>
        <v/>
      </c>
      <c r="L209" s="42">
        <f>D209-SUM(H209,J209)</f>
        <v/>
      </c>
      <c r="N209" s="42">
        <f>D209-SUM(H209,J209,L209,)</f>
        <v/>
      </c>
      <c r="P209" s="42">
        <f>D209-SUM(H209,J209,L209,N209)</f>
        <v/>
      </c>
      <c r="R209" s="42">
        <f>D209-SUM(H209,J209,L209,N209,P209)</f>
        <v/>
      </c>
      <c r="T209" s="42">
        <f>D209-SUM(H209,J209,L209,N209,P209,R209)</f>
        <v/>
      </c>
      <c r="V209" s="42">
        <f>D209-SUM(H209,J209,L209,N209,P209,R209,T209)</f>
        <v/>
      </c>
      <c r="X209" s="56">
        <f>D209-SUM(H209,J209,L209,N209,P209,R209,T209,V209)</f>
        <v/>
      </c>
      <c r="Y209" s="57">
        <f>12*COUNT(G209,I209,K209,M209,O209,Q209,U209,W209,S209)</f>
        <v/>
      </c>
      <c r="Z209" s="40">
        <f>IF(AND('0₦'!T212&lt;&gt;0,'0₦'!T212&lt;&gt;""),9,0) + 0</f>
        <v/>
      </c>
      <c r="AA209" s="445">
        <f>'0₦'!BI212 + 0</f>
        <v/>
      </c>
      <c r="AB209" s="446">
        <f>'0₦'!BE212</f>
        <v/>
      </c>
      <c r="AC209" s="450">
        <f>'0₦'!BC212 + 0</f>
        <v/>
      </c>
      <c r="AD209" s="42">
        <f>'0₦'!BD212</f>
        <v/>
      </c>
      <c r="AE209" s="42">
        <f>'0₦'!AX212</f>
        <v/>
      </c>
      <c r="AF209" s="446">
        <f>hcbi!AA213+hcbi!Y213</f>
        <v/>
      </c>
      <c r="AG209" s="42">
        <f>'0₦'!AW212</f>
        <v/>
      </c>
      <c r="AH209" s="450">
        <f>0</f>
        <v/>
      </c>
      <c r="AK209" s="44" t="n"/>
      <c r="AL209" s="45" t="n"/>
    </row>
    <row r="210" ht="17.1" customHeight="1" s="37">
      <c r="B210" s="546">
        <f>B209+1</f>
        <v/>
      </c>
      <c r="C210" s="450" t="inlineStr">
        <is>
          <t>sf21</t>
        </is>
      </c>
      <c r="D210" s="257">
        <f>SUM(Y210:AH210)</f>
        <v/>
      </c>
      <c r="E210" s="54">
        <f>'0₦'!AF213</f>
        <v/>
      </c>
      <c r="F210" s="41">
        <f>'0₦'!AG213</f>
        <v/>
      </c>
      <c r="H210" s="410">
        <f>D210</f>
        <v/>
      </c>
      <c r="J210" s="42">
        <f>D210-H210</f>
        <v/>
      </c>
      <c r="L210" s="42">
        <f>D210-SUM(H210,J210)</f>
        <v/>
      </c>
      <c r="N210" s="42">
        <f>D210-SUM(H210,J210,L210,)</f>
        <v/>
      </c>
      <c r="P210" s="42">
        <f>D210-SUM(H210,J210,L210,N210)</f>
        <v/>
      </c>
      <c r="R210" s="42">
        <f>D210-SUM(H210,J210,L210,N210,P210)</f>
        <v/>
      </c>
      <c r="T210" s="42">
        <f>D210-SUM(H210,J210,L210,N210,P210,R210)</f>
        <v/>
      </c>
      <c r="V210" s="42">
        <f>D210-SUM(H210,J210,L210,N210,P210,R210,T210)</f>
        <v/>
      </c>
      <c r="X210" s="56">
        <f>D210-SUM(H210,J210,L210,N210,P210,R210,T210,V210)</f>
        <v/>
      </c>
      <c r="Y210" s="57">
        <f>12*COUNT(G210,I210,K210,M210,O210,Q210,U210,W210,S210)</f>
        <v/>
      </c>
      <c r="Z210" s="40">
        <f>IF(AND('0₦'!T213&lt;&gt;0,'0₦'!T213&lt;&gt;""),9,0) + 0</f>
        <v/>
      </c>
      <c r="AA210" s="445">
        <f>'0₦'!BI213 + 0</f>
        <v/>
      </c>
      <c r="AB210" s="446">
        <f>'0₦'!BE213</f>
        <v/>
      </c>
      <c r="AC210" s="450">
        <f>'0₦'!BC213 + 0</f>
        <v/>
      </c>
      <c r="AD210" s="42">
        <f>'0₦'!BD213</f>
        <v/>
      </c>
      <c r="AE210" s="42">
        <f>'0₦'!AX213</f>
        <v/>
      </c>
      <c r="AF210" s="446">
        <f>hcbi!AA214+hcbi!Y214</f>
        <v/>
      </c>
      <c r="AG210" s="42">
        <f>'0₦'!AW213</f>
        <v/>
      </c>
      <c r="AH210" s="450">
        <f>0</f>
        <v/>
      </c>
      <c r="AI210" s="445" t="n"/>
      <c r="AJ210" s="445" t="n"/>
      <c r="AK210" s="44" t="n"/>
      <c r="AL210" s="45" t="n"/>
    </row>
    <row r="211" ht="17.1" customHeight="1" s="37">
      <c r="A211" s="547" t="n"/>
      <c r="B211" s="546">
        <f>B210+1</f>
        <v/>
      </c>
      <c r="C211" s="450" t="inlineStr">
        <is>
          <t>sf21</t>
        </is>
      </c>
      <c r="D211" s="257">
        <f>SUM(Y211:AH211)</f>
        <v/>
      </c>
      <c r="E211" s="54">
        <f>'0₦'!AF214</f>
        <v/>
      </c>
      <c r="F211" s="41">
        <f>'0₦'!AG214</f>
        <v/>
      </c>
      <c r="H211" s="410">
        <f>D211</f>
        <v/>
      </c>
      <c r="J211" s="42">
        <f>D211-H211</f>
        <v/>
      </c>
      <c r="L211" s="42">
        <f>D211-SUM(H211,J211)</f>
        <v/>
      </c>
      <c r="N211" s="42">
        <f>D211-SUM(H211,J211,L211,)</f>
        <v/>
      </c>
      <c r="P211" s="42">
        <f>D211-SUM(H211,J211,L211,N211)</f>
        <v/>
      </c>
      <c r="R211" s="42">
        <f>D211-SUM(H211,J211,L211,N211,P211)</f>
        <v/>
      </c>
      <c r="T211" s="42">
        <f>D211-SUM(H211,J211,L211,N211,P211,R211)</f>
        <v/>
      </c>
      <c r="V211" s="42">
        <f>D211-SUM(H211,J211,L211,N211,P211,R211,T211)</f>
        <v/>
      </c>
      <c r="X211" s="56">
        <f>D211-SUM(H211,J211,L211,N211,P211,R211,T211,V211)</f>
        <v/>
      </c>
      <c r="Y211" s="57">
        <f>12*COUNT(G211,I211,K211,M211,O211,Q211,U211,W211,S211)</f>
        <v/>
      </c>
      <c r="Z211" s="40">
        <f>IF(AND('0₦'!T214&lt;&gt;0,'0₦'!T214&lt;&gt;""),9,0) + 0</f>
        <v/>
      </c>
      <c r="AA211" s="445">
        <f>'0₦'!BI214 + 0</f>
        <v/>
      </c>
      <c r="AB211" s="446">
        <f>'0₦'!BE214</f>
        <v/>
      </c>
      <c r="AC211" s="450">
        <f>'0₦'!BC214 + 0</f>
        <v/>
      </c>
      <c r="AD211" s="42">
        <f>'0₦'!BD214</f>
        <v/>
      </c>
      <c r="AE211" s="42">
        <f>'0₦'!AX214</f>
        <v/>
      </c>
      <c r="AF211" s="446">
        <f>hcbi!AA215+hcbi!Y215</f>
        <v/>
      </c>
      <c r="AG211" s="42">
        <f>'0₦'!AW214</f>
        <v/>
      </c>
      <c r="AH211" s="450">
        <f>0</f>
        <v/>
      </c>
      <c r="AK211" s="44" t="n"/>
      <c r="AL211" s="45" t="n"/>
    </row>
    <row r="212" ht="17.1" customHeight="1" s="37">
      <c r="A212" s="441">
        <f>A184+1</f>
        <v/>
      </c>
      <c r="B212" s="546">
        <f>B211+1</f>
        <v/>
      </c>
      <c r="C212" s="450" t="inlineStr">
        <is>
          <t>sf21</t>
        </is>
      </c>
      <c r="D212" s="257">
        <f>SUM(Y212:AH212)</f>
        <v/>
      </c>
      <c r="E212" s="54">
        <f>'0₦'!AF215</f>
        <v/>
      </c>
      <c r="F212" s="41">
        <f>'0₦'!AG215</f>
        <v/>
      </c>
      <c r="H212" s="410">
        <f>D212</f>
        <v/>
      </c>
      <c r="J212" s="42">
        <f>D212-H212</f>
        <v/>
      </c>
      <c r="L212" s="42">
        <f>D212-SUM(H212,J212)</f>
        <v/>
      </c>
      <c r="N212" s="42">
        <f>D212-SUM(H212,J212,L212,)</f>
        <v/>
      </c>
      <c r="P212" s="42">
        <f>D212-SUM(H212,J212,L212,N212)</f>
        <v/>
      </c>
      <c r="R212" s="42">
        <f>D212-SUM(H212,J212,L212,N212,P212)</f>
        <v/>
      </c>
      <c r="T212" s="42">
        <f>D212-SUM(H212,J212,L212,N212,P212,R212)</f>
        <v/>
      </c>
      <c r="V212" s="42">
        <f>D212-SUM(H212,J212,L212,N212,P212,R212,T212)</f>
        <v/>
      </c>
      <c r="X212" s="56">
        <f>D212-SUM(H212,J212,L212,N212,P212,R212,T212,V212)</f>
        <v/>
      </c>
      <c r="Y212" s="57">
        <f>12*COUNT(G212,I212,K212,M212,O212,Q212,U212,W212,S212)</f>
        <v/>
      </c>
      <c r="Z212" s="40">
        <f>IF(AND('0₦'!T215&lt;&gt;0,'0₦'!T215&lt;&gt;""),9,0) + 0</f>
        <v/>
      </c>
      <c r="AA212" s="445">
        <f>'0₦'!BI215 + 0</f>
        <v/>
      </c>
      <c r="AB212" s="446">
        <f>'0₦'!BE215</f>
        <v/>
      </c>
      <c r="AC212" s="450">
        <f>'0₦'!BC215 + 0</f>
        <v/>
      </c>
      <c r="AD212" s="42">
        <f>'0₦'!BD215</f>
        <v/>
      </c>
      <c r="AE212" s="42">
        <f>'0₦'!AX215</f>
        <v/>
      </c>
      <c r="AF212" s="446">
        <f>hcbi!AA216+hcbi!Y216</f>
        <v/>
      </c>
      <c r="AG212" s="42">
        <f>'0₦'!AW215</f>
        <v/>
      </c>
      <c r="AH212" s="450">
        <f>0</f>
        <v/>
      </c>
      <c r="AI212" s="445" t="n"/>
      <c r="AJ212" s="445" t="n"/>
      <c r="AK212" s="44" t="n"/>
      <c r="AL212" s="45" t="n"/>
    </row>
    <row r="213" ht="17.1" customHeight="1" s="37">
      <c r="B213" s="546">
        <f>B212+1</f>
        <v/>
      </c>
      <c r="C213" s="450" t="inlineStr">
        <is>
          <t>sf21</t>
        </is>
      </c>
      <c r="D213" s="257">
        <f>SUM(Y213:AH213)</f>
        <v/>
      </c>
      <c r="E213" s="54">
        <f>'0₦'!AF216</f>
        <v/>
      </c>
      <c r="F213" s="41">
        <f>'0₦'!AG216</f>
        <v/>
      </c>
      <c r="H213" s="410">
        <f>D213</f>
        <v/>
      </c>
      <c r="J213" s="42">
        <f>D213-H213</f>
        <v/>
      </c>
      <c r="L213" s="42">
        <f>D213-SUM(H213,J213)</f>
        <v/>
      </c>
      <c r="N213" s="42">
        <f>D213-SUM(H213,J213,L213,)</f>
        <v/>
      </c>
      <c r="P213" s="42">
        <f>D213-SUM(H213,J213,L213,N213)</f>
        <v/>
      </c>
      <c r="R213" s="42">
        <f>D213-SUM(H213,J213,L213,N213,P213)</f>
        <v/>
      </c>
      <c r="T213" s="42">
        <f>D213-SUM(H213,J213,L213,N213,P213,R213)</f>
        <v/>
      </c>
      <c r="V213" s="42">
        <f>D213-SUM(H213,J213,L213,N213,P213,R213,T213)</f>
        <v/>
      </c>
      <c r="X213" s="56">
        <f>D213-SUM(H213,J213,L213,N213,P213,R213,T213,V213)</f>
        <v/>
      </c>
      <c r="Y213" s="57">
        <f>12*COUNT(G213,I213,K213,M213,O213,Q213,U213,W213,S213)</f>
        <v/>
      </c>
      <c r="Z213" s="40">
        <f>IF(AND('0₦'!T216&lt;&gt;0,'0₦'!T216&lt;&gt;""),9,0) + 0</f>
        <v/>
      </c>
      <c r="AA213" s="445">
        <f>'0₦'!BI216 + 0</f>
        <v/>
      </c>
      <c r="AB213" s="446">
        <f>'0₦'!BE216</f>
        <v/>
      </c>
      <c r="AC213" s="450">
        <f>'0₦'!BC216 + 0</f>
        <v/>
      </c>
      <c r="AD213" s="42">
        <f>'0₦'!BD216</f>
        <v/>
      </c>
      <c r="AE213" s="42">
        <f>'0₦'!AX216</f>
        <v/>
      </c>
      <c r="AF213" s="446">
        <f>hcbi!AA217+hcbi!Y217</f>
        <v/>
      </c>
      <c r="AG213" s="42">
        <f>'0₦'!AW216</f>
        <v/>
      </c>
      <c r="AH213" s="450">
        <f>0</f>
        <v/>
      </c>
      <c r="AK213" s="44" t="n"/>
      <c r="AL213" s="45" t="n"/>
    </row>
    <row r="214" ht="17.1" customHeight="1" s="37">
      <c r="B214" s="546">
        <f>B213+1</f>
        <v/>
      </c>
      <c r="C214" s="450" t="inlineStr">
        <is>
          <t>sf21</t>
        </is>
      </c>
      <c r="D214" s="257">
        <f>SUM(Y214:AH214)</f>
        <v/>
      </c>
      <c r="E214" s="54">
        <f>'0₦'!AF217</f>
        <v/>
      </c>
      <c r="F214" s="41">
        <f>'0₦'!AG217</f>
        <v/>
      </c>
      <c r="H214" s="410">
        <f>D214</f>
        <v/>
      </c>
      <c r="J214" s="42">
        <f>D214-H214</f>
        <v/>
      </c>
      <c r="L214" s="42">
        <f>D214-SUM(H214,J214)</f>
        <v/>
      </c>
      <c r="N214" s="42">
        <f>D214-SUM(H214,J214,L214,)</f>
        <v/>
      </c>
      <c r="P214" s="42">
        <f>D214-SUM(H214,J214,L214,N214)</f>
        <v/>
      </c>
      <c r="R214" s="42">
        <f>D214-SUM(H214,J214,L214,N214,P214)</f>
        <v/>
      </c>
      <c r="T214" s="42">
        <f>D214-SUM(H214,J214,L214,N214,P214,R214)</f>
        <v/>
      </c>
      <c r="V214" s="42">
        <f>D214-SUM(H214,J214,L214,N214,P214,R214,T214)</f>
        <v/>
      </c>
      <c r="X214" s="56">
        <f>D214-SUM(H214,J214,L214,N214,P214,R214,T214,V214)</f>
        <v/>
      </c>
      <c r="Y214" s="57">
        <f>12*COUNT(G214,I214,K214,M214,O214,Q214,U214,W214,S214)</f>
        <v/>
      </c>
      <c r="Z214" s="40">
        <f>IF(AND('0₦'!T217&lt;&gt;0,'0₦'!T217&lt;&gt;""),9,0) + 0</f>
        <v/>
      </c>
      <c r="AA214" s="445">
        <f>'0₦'!BI217 + 0</f>
        <v/>
      </c>
      <c r="AB214" s="446">
        <f>'0₦'!BE217</f>
        <v/>
      </c>
      <c r="AC214" s="450">
        <f>'0₦'!BC217 + 0</f>
        <v/>
      </c>
      <c r="AD214" s="42">
        <f>'0₦'!BD217</f>
        <v/>
      </c>
      <c r="AE214" s="42">
        <f>'0₦'!AX217</f>
        <v/>
      </c>
      <c r="AF214" s="446">
        <f>hcbi!AA218+hcbi!Y218</f>
        <v/>
      </c>
      <c r="AG214" s="42">
        <f>'0₦'!AW217</f>
        <v/>
      </c>
      <c r="AH214" s="450">
        <f>0</f>
        <v/>
      </c>
      <c r="AI214" s="445" t="n"/>
      <c r="AJ214" s="445" t="n"/>
      <c r="AK214" s="44" t="n"/>
      <c r="AL214" s="45" t="n"/>
    </row>
    <row r="215" ht="17.1" customHeight="1" s="37">
      <c r="B215" s="546">
        <f>B214+1</f>
        <v/>
      </c>
      <c r="C215" s="450" t="inlineStr">
        <is>
          <t>sf21</t>
        </is>
      </c>
      <c r="D215" s="257">
        <f>SUM(Y215:AH215)</f>
        <v/>
      </c>
      <c r="E215" s="54">
        <f>'0₦'!AF218</f>
        <v/>
      </c>
      <c r="F215" s="41">
        <f>'0₦'!AG218</f>
        <v/>
      </c>
      <c r="H215" s="410">
        <f>D215</f>
        <v/>
      </c>
      <c r="J215" s="42">
        <f>D215-H215</f>
        <v/>
      </c>
      <c r="L215" s="42">
        <f>D215-SUM(H215,J215)</f>
        <v/>
      </c>
      <c r="N215" s="42">
        <f>D215-SUM(H215,J215,L215,)</f>
        <v/>
      </c>
      <c r="P215" s="42">
        <f>D215-SUM(H215,J215,L215,N215)</f>
        <v/>
      </c>
      <c r="R215" s="42">
        <f>D215-SUM(H215,J215,L215,N215,P215)</f>
        <v/>
      </c>
      <c r="T215" s="42">
        <f>D215-SUM(H215,J215,L215,N215,P215,R215)</f>
        <v/>
      </c>
      <c r="V215" s="42">
        <f>D215-SUM(H215,J215,L215,N215,P215,R215,T215)</f>
        <v/>
      </c>
      <c r="X215" s="56">
        <f>D215-SUM(H215,J215,L215,N215,P215,R215,T215,V215)</f>
        <v/>
      </c>
      <c r="Y215" s="57">
        <f>12*COUNT(G215,I215,K215,M215,O215,Q215,U215,W215,S215)</f>
        <v/>
      </c>
      <c r="Z215" s="40">
        <f>IF(AND('0₦'!T218&lt;&gt;0,'0₦'!T218&lt;&gt;""),9,0) + 0</f>
        <v/>
      </c>
      <c r="AA215" s="445">
        <f>'0₦'!BI218 + 0</f>
        <v/>
      </c>
      <c r="AB215" s="446">
        <f>'0₦'!BE218</f>
        <v/>
      </c>
      <c r="AC215" s="450">
        <f>'0₦'!BC218 + 0</f>
        <v/>
      </c>
      <c r="AD215" s="42">
        <f>'0₦'!BD218</f>
        <v/>
      </c>
      <c r="AE215" s="42">
        <f>'0₦'!AX218</f>
        <v/>
      </c>
      <c r="AF215" s="446">
        <f>hcbi!AA219+hcbi!Y219</f>
        <v/>
      </c>
      <c r="AG215" s="42">
        <f>'0₦'!AW218</f>
        <v/>
      </c>
      <c r="AH215" s="450">
        <f>0</f>
        <v/>
      </c>
      <c r="AK215" s="44" t="n"/>
      <c r="AL215" s="45" t="n"/>
      <c r="AS215" s="277" t="n"/>
    </row>
    <row r="216" ht="17.1" customHeight="1" s="37">
      <c r="B216" s="546">
        <f>B215+1</f>
        <v/>
      </c>
      <c r="C216" s="450" t="inlineStr">
        <is>
          <t>sf21</t>
        </is>
      </c>
      <c r="D216" s="257">
        <f>SUM(Y216:AH216)</f>
        <v/>
      </c>
      <c r="E216" s="54">
        <f>'0₦'!AF219</f>
        <v/>
      </c>
      <c r="F216" s="41">
        <f>'0₦'!AG219</f>
        <v/>
      </c>
      <c r="H216" s="410">
        <f>D216</f>
        <v/>
      </c>
      <c r="J216" s="42">
        <f>D216-H216</f>
        <v/>
      </c>
      <c r="L216" s="42">
        <f>D216-SUM(H216,J216)</f>
        <v/>
      </c>
      <c r="N216" s="42">
        <f>D216-SUM(H216,J216,L216,)</f>
        <v/>
      </c>
      <c r="P216" s="42">
        <f>D216-SUM(H216,J216,L216,N216)</f>
        <v/>
      </c>
      <c r="R216" s="42">
        <f>D216-SUM(H216,J216,L216,N216,P216)</f>
        <v/>
      </c>
      <c r="T216" s="42">
        <f>D216-SUM(H216,J216,L216,N216,P216,R216)</f>
        <v/>
      </c>
      <c r="V216" s="42">
        <f>D216-SUM(H216,J216,L216,N216,P216,R216,T216)</f>
        <v/>
      </c>
      <c r="X216" s="56">
        <f>D216-SUM(H216,J216,L216,N216,P216,R216,T216,V216)</f>
        <v/>
      </c>
      <c r="Y216" s="57">
        <f>12*COUNT(G216,I216,K216,M216,O216,Q216,U216,W216,S216)</f>
        <v/>
      </c>
      <c r="Z216" s="40">
        <f>IF(AND('0₦'!T219&lt;&gt;0,'0₦'!T219&lt;&gt;""),9,0) + 0</f>
        <v/>
      </c>
      <c r="AA216" s="445">
        <f>'0₦'!BI219 + 0</f>
        <v/>
      </c>
      <c r="AB216" s="446">
        <f>'0₦'!BE219</f>
        <v/>
      </c>
      <c r="AC216" s="450">
        <f>'0₦'!BC219 + 0</f>
        <v/>
      </c>
      <c r="AD216" s="42">
        <f>'0₦'!BD219</f>
        <v/>
      </c>
      <c r="AE216" s="42">
        <f>'0₦'!AX219</f>
        <v/>
      </c>
      <c r="AF216" s="446">
        <f>hcbi!AA220+hcbi!Y220</f>
        <v/>
      </c>
      <c r="AG216" s="42">
        <f>'0₦'!AW219</f>
        <v/>
      </c>
      <c r="AH216" s="450">
        <f>0</f>
        <v/>
      </c>
      <c r="AI216" s="445" t="n"/>
      <c r="AJ216" s="445" t="n"/>
      <c r="AK216" s="44" t="n"/>
      <c r="AL216" s="45" t="n"/>
    </row>
    <row r="217" ht="17.1" customHeight="1" s="37">
      <c r="B217" s="546">
        <f>B216+1</f>
        <v/>
      </c>
      <c r="C217" s="450" t="inlineStr">
        <is>
          <t>sf21</t>
        </is>
      </c>
      <c r="D217" s="257">
        <f>SUM(Y217:AH217)</f>
        <v/>
      </c>
      <c r="E217" s="54">
        <f>'0₦'!AF220</f>
        <v/>
      </c>
      <c r="F217" s="41">
        <f>'0₦'!AG220</f>
        <v/>
      </c>
      <c r="H217" s="410">
        <f>D217</f>
        <v/>
      </c>
      <c r="J217" s="42">
        <f>D217-H217</f>
        <v/>
      </c>
      <c r="L217" s="42">
        <f>D217-SUM(H217,J217)</f>
        <v/>
      </c>
      <c r="N217" s="42">
        <f>D217-SUM(H217,J217,L217,)</f>
        <v/>
      </c>
      <c r="P217" s="42">
        <f>D217-SUM(H217,J217,L217,N217)</f>
        <v/>
      </c>
      <c r="R217" s="42">
        <f>D217-SUM(H217,J217,L217,N217,P217)</f>
        <v/>
      </c>
      <c r="T217" s="42">
        <f>D217-SUM(H217,J217,L217,N217,P217,R217)</f>
        <v/>
      </c>
      <c r="V217" s="42">
        <f>D217-SUM(H217,J217,L217,N217,P217,R217,T217)</f>
        <v/>
      </c>
      <c r="X217" s="56">
        <f>D217-SUM(H217,J217,L217,N217,P217,R217,T217,V217)</f>
        <v/>
      </c>
      <c r="Y217" s="57">
        <f>12*COUNT(G217,I217,K217,M217,O217,Q217,U217,W217,S217)</f>
        <v/>
      </c>
      <c r="Z217" s="40">
        <f>IF(AND('0₦'!T220&lt;&gt;0,'0₦'!T220&lt;&gt;""),9,0) + 0</f>
        <v/>
      </c>
      <c r="AA217" s="445">
        <f>'0₦'!BI220 + 0</f>
        <v/>
      </c>
      <c r="AB217" s="446">
        <f>'0₦'!BE220</f>
        <v/>
      </c>
      <c r="AC217" s="450">
        <f>'0₦'!BC220 + 0</f>
        <v/>
      </c>
      <c r="AD217" s="42">
        <f>'0₦'!BD220</f>
        <v/>
      </c>
      <c r="AE217" s="42">
        <f>'0₦'!AX220</f>
        <v/>
      </c>
      <c r="AF217" s="446">
        <f>hcbi!AA221+hcbi!Y221 +  20</f>
        <v/>
      </c>
      <c r="AG217" s="42">
        <f>'0₦'!AW220</f>
        <v/>
      </c>
      <c r="AH217" s="450">
        <f>0</f>
        <v/>
      </c>
      <c r="AK217" s="44" t="n"/>
      <c r="AL217" s="45" t="n"/>
    </row>
    <row r="218" ht="17.1" customHeight="1" s="37">
      <c r="A218" s="547" t="n"/>
      <c r="B218" s="546">
        <f>B217+1</f>
        <v/>
      </c>
      <c r="C218" s="450" t="inlineStr">
        <is>
          <t>sf21</t>
        </is>
      </c>
      <c r="D218" s="257">
        <f>SUM(Y218:AH218)</f>
        <v/>
      </c>
      <c r="E218" s="54">
        <f>'0₦'!AF221</f>
        <v/>
      </c>
      <c r="F218" s="41">
        <f>'0₦'!AG221</f>
        <v/>
      </c>
      <c r="H218" s="410">
        <f>D218</f>
        <v/>
      </c>
      <c r="J218" s="42">
        <f>D218-H218</f>
        <v/>
      </c>
      <c r="L218" s="42">
        <f>D218-SUM(H218,J218)</f>
        <v/>
      </c>
      <c r="N218" s="42">
        <f>D218-SUM(H218,J218,L218,)</f>
        <v/>
      </c>
      <c r="P218" s="42">
        <f>D218-SUM(H218,J218,L218,N218)</f>
        <v/>
      </c>
      <c r="R218" s="42">
        <f>D218-SUM(H218,J218,L218,N218,P218)</f>
        <v/>
      </c>
      <c r="T218" s="42">
        <f>D218-SUM(H218,J218,L218,N218,P218,R218)</f>
        <v/>
      </c>
      <c r="V218" s="42">
        <f>D218-SUM(H218,J218,L218,N218,P218,R218,T218)</f>
        <v/>
      </c>
      <c r="X218" s="56">
        <f>D218-SUM(H218,J218,L218,N218,P218,R218,T218,V218)</f>
        <v/>
      </c>
      <c r="Y218" s="57">
        <f>12*COUNT(G218,I218,K218,M218,O218,Q218,U218,W218,S218)</f>
        <v/>
      </c>
      <c r="Z218" s="40">
        <f>IF(AND('0₦'!T221&lt;&gt;0,'0₦'!T221&lt;&gt;""),9,0) + 0</f>
        <v/>
      </c>
      <c r="AA218" s="445">
        <f>'0₦'!BI221 + 0</f>
        <v/>
      </c>
      <c r="AB218" s="446">
        <f>'0₦'!BE221</f>
        <v/>
      </c>
      <c r="AC218" s="450">
        <f>'0₦'!BC221 + 0</f>
        <v/>
      </c>
      <c r="AD218" s="42">
        <f>'0₦'!BD221</f>
        <v/>
      </c>
      <c r="AE218" s="42">
        <f>'0₦'!AX221</f>
        <v/>
      </c>
      <c r="AF218" s="446">
        <f>hcbi!AA222+hcbi!Y222</f>
        <v/>
      </c>
      <c r="AG218" s="42">
        <f>'0₦'!AW221</f>
        <v/>
      </c>
      <c r="AH218" s="450">
        <f>0</f>
        <v/>
      </c>
      <c r="AI218" s="445" t="n"/>
      <c r="AJ218" s="445" t="n"/>
      <c r="AK218" s="44" t="n"/>
      <c r="AL218" s="45" t="n"/>
    </row>
    <row r="219" ht="17.1" customHeight="1" s="37">
      <c r="A219" s="441">
        <f>A212+0.1</f>
        <v/>
      </c>
      <c r="B219" s="546">
        <f>B218+1</f>
        <v/>
      </c>
      <c r="C219" s="450" t="inlineStr">
        <is>
          <t>sf21</t>
        </is>
      </c>
      <c r="D219" s="257">
        <f>SUM(Y219:AH219)</f>
        <v/>
      </c>
      <c r="E219" s="54">
        <f>'0₦'!AF222</f>
        <v/>
      </c>
      <c r="F219" s="41">
        <f>'0₦'!AG222</f>
        <v/>
      </c>
      <c r="H219" s="410">
        <f>D219</f>
        <v/>
      </c>
      <c r="J219" s="42">
        <f>D219-H219</f>
        <v/>
      </c>
      <c r="L219" s="42">
        <f>D219-SUM(H219,J219)</f>
        <v/>
      </c>
      <c r="N219" s="42">
        <f>D219-SUM(H219,J219,L219,)</f>
        <v/>
      </c>
      <c r="P219" s="42">
        <f>D219-SUM(H219,J219,L219,N219)</f>
        <v/>
      </c>
      <c r="R219" s="42">
        <f>D219-SUM(H219,J219,L219,N219,P219)</f>
        <v/>
      </c>
      <c r="T219" s="42">
        <f>D219-SUM(H219,J219,L219,N219,P219,R219)</f>
        <v/>
      </c>
      <c r="V219" s="42">
        <f>D219-SUM(H219,J219,L219,N219,P219,R219,T219)</f>
        <v/>
      </c>
      <c r="X219" s="56">
        <f>D219-SUM(H219,J219,L219,N219,P219,R219,T219,V219)</f>
        <v/>
      </c>
      <c r="Y219" s="57">
        <f>12*COUNT(G219,I219,K219,M219,O219,Q219,U219,W219,S219)</f>
        <v/>
      </c>
      <c r="Z219" s="40">
        <f>IF(AND('0₦'!T222&lt;&gt;0,'0₦'!T222&lt;&gt;""),9,0) + 0</f>
        <v/>
      </c>
      <c r="AA219" s="445">
        <f>'0₦'!BI222 + 0</f>
        <v/>
      </c>
      <c r="AB219" s="446">
        <f>'0₦'!BE222</f>
        <v/>
      </c>
      <c r="AC219" s="450">
        <f>'0₦'!BC222 + 0</f>
        <v/>
      </c>
      <c r="AD219" s="42">
        <f>'0₦'!BD222</f>
        <v/>
      </c>
      <c r="AE219" s="42">
        <f>'0₦'!AX222</f>
        <v/>
      </c>
      <c r="AF219" s="446">
        <f>hcbi!AA223+hcbi!Y223</f>
        <v/>
      </c>
      <c r="AG219" s="42">
        <f>'0₦'!AW222</f>
        <v/>
      </c>
      <c r="AH219" s="450">
        <f>0</f>
        <v/>
      </c>
      <c r="AK219" s="44" t="n"/>
      <c r="AL219" s="45" t="n"/>
    </row>
    <row r="220" ht="17.1" customHeight="1" s="37">
      <c r="B220" s="549">
        <f>B219+1</f>
        <v/>
      </c>
      <c r="C220" s="450" t="inlineStr">
        <is>
          <t>sf21</t>
        </is>
      </c>
      <c r="D220" s="257">
        <f>SUM(Y220:AH220)</f>
        <v/>
      </c>
      <c r="E220" s="54">
        <f>'0₦'!AF223</f>
        <v/>
      </c>
      <c r="F220" s="41">
        <f>'0₦'!AG223</f>
        <v/>
      </c>
      <c r="H220" s="410">
        <f>D220</f>
        <v/>
      </c>
      <c r="J220" s="42">
        <f>D220-H220</f>
        <v/>
      </c>
      <c r="L220" s="42">
        <f>D220-SUM(H220,J220)</f>
        <v/>
      </c>
      <c r="N220" s="42">
        <f>D220-SUM(H220,J220,L220,)</f>
        <v/>
      </c>
      <c r="P220" s="42">
        <f>D220-SUM(H220,J220,L220,N220)</f>
        <v/>
      </c>
      <c r="R220" s="42">
        <f>D220-SUM(H220,J220,L220,N220,P220)</f>
        <v/>
      </c>
      <c r="T220" s="42">
        <f>D220-SUM(H220,J220,L220,N220,P220,R220)</f>
        <v/>
      </c>
      <c r="V220" s="42">
        <f>D220-SUM(H220,J220,L220,N220,P220,R220,T220)</f>
        <v/>
      </c>
      <c r="X220" s="56">
        <f>D220-SUM(H220,J220,L220,N220,P220,R220,T220,V220)</f>
        <v/>
      </c>
      <c r="Y220" s="57">
        <f>12*COUNT(G220,I220,K220,M220,O220,Q220,U220,W220,S220)</f>
        <v/>
      </c>
      <c r="Z220" s="40">
        <f>IF(AND('0₦'!T223&lt;&gt;0,'0₦'!T223&lt;&gt;""),9,0) + 0</f>
        <v/>
      </c>
      <c r="AA220" s="445">
        <f>'0₦'!BI223 + 0</f>
        <v/>
      </c>
      <c r="AB220" s="446">
        <f>'0₦'!BE223</f>
        <v/>
      </c>
      <c r="AC220" s="450">
        <f>'0₦'!BC223 + 0</f>
        <v/>
      </c>
      <c r="AD220" s="42">
        <f>'0₦'!BD223</f>
        <v/>
      </c>
      <c r="AE220" s="42">
        <f>'0₦'!AX223</f>
        <v/>
      </c>
      <c r="AF220" s="446">
        <f>hcbi!AA224+hcbi!Y224</f>
        <v/>
      </c>
      <c r="AG220" s="42">
        <f>'0₦'!AW223</f>
        <v/>
      </c>
      <c r="AH220" s="450">
        <f>0</f>
        <v/>
      </c>
      <c r="AI220" s="445" t="n"/>
      <c r="AJ220" s="445" t="n"/>
      <c r="AK220" s="44" t="n"/>
      <c r="AL220" s="45" t="n"/>
    </row>
    <row r="221" ht="17.1" customHeight="1" s="37">
      <c r="B221" s="546">
        <f>B220+1</f>
        <v/>
      </c>
      <c r="C221" s="450" t="inlineStr">
        <is>
          <t>sf21</t>
        </is>
      </c>
      <c r="D221" s="257">
        <f>SUM(Y221:AH221)</f>
        <v/>
      </c>
      <c r="E221" s="54">
        <f>'0₦'!AF224</f>
        <v/>
      </c>
      <c r="F221" s="41">
        <f>'0₦'!AG224</f>
        <v/>
      </c>
      <c r="H221" s="410">
        <f>D221</f>
        <v/>
      </c>
      <c r="J221" s="42">
        <f>D221-H221</f>
        <v/>
      </c>
      <c r="L221" s="42">
        <f>D221-SUM(H221,J221)</f>
        <v/>
      </c>
      <c r="N221" s="42">
        <f>D221-SUM(H221,J221,L221,)</f>
        <v/>
      </c>
      <c r="P221" s="42">
        <f>D221-SUM(H221,J221,L221,N221)</f>
        <v/>
      </c>
      <c r="R221" s="42">
        <f>D221-SUM(H221,J221,L221,N221,P221)</f>
        <v/>
      </c>
      <c r="T221" s="42">
        <f>D221-SUM(H221,J221,L221,N221,P221,R221)</f>
        <v/>
      </c>
      <c r="V221" s="42">
        <f>D221-SUM(H221,J221,L221,N221,P221,R221,T221)</f>
        <v/>
      </c>
      <c r="X221" s="56">
        <f>D221-SUM(H221,J221,L221,N221,P221,R221,T221,V221)</f>
        <v/>
      </c>
      <c r="Y221" s="57">
        <f>12*COUNT(G221,I221,K221,M221,O221,Q221,U221,W221,S221)</f>
        <v/>
      </c>
      <c r="Z221" s="40">
        <f>IF(AND('0₦'!T224&lt;&gt;0,'0₦'!T224&lt;&gt;""),9,0) + 0</f>
        <v/>
      </c>
      <c r="AA221" s="445">
        <f>'0₦'!BI224 + 0</f>
        <v/>
      </c>
      <c r="AB221" s="446">
        <f>'0₦'!BE224</f>
        <v/>
      </c>
      <c r="AC221" s="450">
        <f>'0₦'!BC224 + 0</f>
        <v/>
      </c>
      <c r="AD221" s="42">
        <f>'0₦'!BD224</f>
        <v/>
      </c>
      <c r="AE221" s="42">
        <f>'0₦'!AX224</f>
        <v/>
      </c>
      <c r="AF221" s="446">
        <f>hcbi!AA225+hcbi!Y225</f>
        <v/>
      </c>
      <c r="AG221" s="42">
        <f>'0₦'!AW224</f>
        <v/>
      </c>
      <c r="AH221" s="450">
        <f>0</f>
        <v/>
      </c>
      <c r="AK221" s="44" t="n"/>
      <c r="AL221" s="45" t="n"/>
    </row>
    <row r="222" ht="17.1" customHeight="1" s="37">
      <c r="B222" s="546">
        <f>B221+1</f>
        <v/>
      </c>
      <c r="C222" s="450" t="inlineStr">
        <is>
          <t>sf21</t>
        </is>
      </c>
      <c r="D222" s="257">
        <f>SUM(Y222:AH222)</f>
        <v/>
      </c>
      <c r="E222" s="54">
        <f>'0₦'!AF225</f>
        <v/>
      </c>
      <c r="F222" s="41">
        <f>'0₦'!AG225</f>
        <v/>
      </c>
      <c r="H222" s="410">
        <f>D222</f>
        <v/>
      </c>
      <c r="J222" s="42">
        <f>D222-H222</f>
        <v/>
      </c>
      <c r="L222" s="42">
        <f>D222-SUM(H222,J222)</f>
        <v/>
      </c>
      <c r="N222" s="42">
        <f>D222-SUM(H222,J222,L222,)</f>
        <v/>
      </c>
      <c r="P222" s="42">
        <f>D222-SUM(H222,J222,L222,N222)</f>
        <v/>
      </c>
      <c r="R222" s="42">
        <f>D222-SUM(H222,J222,L222,N222,P222)</f>
        <v/>
      </c>
      <c r="T222" s="42">
        <f>D222-SUM(H222,J222,L222,N222,P222,R222)</f>
        <v/>
      </c>
      <c r="V222" s="42">
        <f>D222-SUM(H222,J222,L222,N222,P222,R222,T222)</f>
        <v/>
      </c>
      <c r="X222" s="56">
        <f>D222-SUM(H222,J222,L222,N222,P222,R222,T222,V222)</f>
        <v/>
      </c>
      <c r="Y222" s="57">
        <f>12*COUNT(G222,I222,K222,M222,O222,Q222,U222,W222,S222)</f>
        <v/>
      </c>
      <c r="Z222" s="40">
        <f>IF(AND('0₦'!T225&lt;&gt;0,'0₦'!T225&lt;&gt;""),9,0) + 0</f>
        <v/>
      </c>
      <c r="AA222" s="445">
        <f>'0₦'!BI225 + 0</f>
        <v/>
      </c>
      <c r="AB222" s="446">
        <f>'0₦'!BE225</f>
        <v/>
      </c>
      <c r="AC222" s="450">
        <f>'0₦'!BC225 + 0</f>
        <v/>
      </c>
      <c r="AD222" s="42">
        <f>'0₦'!BD225</f>
        <v/>
      </c>
      <c r="AE222" s="42">
        <f>'0₦'!AX225</f>
        <v/>
      </c>
      <c r="AF222" s="446">
        <f>hcbi!AA226+hcbi!Y226 + 20</f>
        <v/>
      </c>
      <c r="AG222" s="42">
        <f>'0₦'!AW225</f>
        <v/>
      </c>
      <c r="AH222" s="450">
        <f>0</f>
        <v/>
      </c>
      <c r="AI222" s="445" t="n"/>
      <c r="AJ222" s="445" t="n"/>
      <c r="AK222" s="44" t="n"/>
      <c r="AL222" s="45" t="n"/>
    </row>
    <row r="223" ht="17.1" customHeight="1" s="37">
      <c r="B223" s="546">
        <f>B222+1</f>
        <v/>
      </c>
      <c r="C223" s="450" t="inlineStr">
        <is>
          <t>sf21</t>
        </is>
      </c>
      <c r="D223" s="257">
        <f>SUM(Y223:AH223)</f>
        <v/>
      </c>
      <c r="E223" s="54">
        <f>'0₦'!AF226</f>
        <v/>
      </c>
      <c r="F223" s="41">
        <f>'0₦'!AG226</f>
        <v/>
      </c>
      <c r="H223" s="410">
        <f>D223</f>
        <v/>
      </c>
      <c r="J223" s="42">
        <f>D223-H223</f>
        <v/>
      </c>
      <c r="L223" s="42">
        <f>D223-SUM(H223,J223)</f>
        <v/>
      </c>
      <c r="N223" s="42">
        <f>D223-SUM(H223,J223,L223,)</f>
        <v/>
      </c>
      <c r="P223" s="42">
        <f>D223-SUM(H223,J223,L223,N223)</f>
        <v/>
      </c>
      <c r="R223" s="42">
        <f>D223-SUM(H223,J223,L223,N223,P223)</f>
        <v/>
      </c>
      <c r="T223" s="42">
        <f>D223-SUM(H223,J223,L223,N223,P223,R223)</f>
        <v/>
      </c>
      <c r="V223" s="42">
        <f>D223-SUM(H223,J223,L223,N223,P223,R223,T223)</f>
        <v/>
      </c>
      <c r="X223" s="56">
        <f>D223-SUM(H223,J223,L223,N223,P223,R223,T223,V223)</f>
        <v/>
      </c>
      <c r="Y223" s="57">
        <f>12*COUNT(G223,I223,K223,M223,O223,Q223,U223,W223,S223)</f>
        <v/>
      </c>
      <c r="Z223" s="40">
        <f>IF(AND('0₦'!T226&lt;&gt;0,'0₦'!T226&lt;&gt;""),9,0) + 0</f>
        <v/>
      </c>
      <c r="AA223" s="445">
        <f>'0₦'!BI226 + 0</f>
        <v/>
      </c>
      <c r="AB223" s="446">
        <f>'0₦'!BE226</f>
        <v/>
      </c>
      <c r="AC223" s="450">
        <f>'0₦'!BC226 + 0</f>
        <v/>
      </c>
      <c r="AD223" s="42">
        <f>'0₦'!BD226</f>
        <v/>
      </c>
      <c r="AE223" s="42">
        <f>'0₦'!AX226</f>
        <v/>
      </c>
      <c r="AF223" s="446">
        <f>hcbi!AA227+hcbi!Y227</f>
        <v/>
      </c>
      <c r="AG223" s="42">
        <f>'0₦'!AW226</f>
        <v/>
      </c>
      <c r="AH223" s="450">
        <f>0</f>
        <v/>
      </c>
      <c r="AK223" s="44" t="n"/>
      <c r="AL223" s="45" t="n"/>
    </row>
    <row r="224" ht="17.1" customHeight="1" s="37">
      <c r="B224" s="546">
        <f>B223+1</f>
        <v/>
      </c>
      <c r="C224" s="450" t="inlineStr">
        <is>
          <t>sf21</t>
        </is>
      </c>
      <c r="D224" s="257">
        <f>SUM(Y224:AH224)</f>
        <v/>
      </c>
      <c r="E224" s="54">
        <f>'0₦'!AF227</f>
        <v/>
      </c>
      <c r="F224" s="41">
        <f>'0₦'!AG227</f>
        <v/>
      </c>
      <c r="H224" s="410">
        <f>D224</f>
        <v/>
      </c>
      <c r="J224" s="42">
        <f>D224-H224</f>
        <v/>
      </c>
      <c r="L224" s="42">
        <f>D224-SUM(H224,J224)</f>
        <v/>
      </c>
      <c r="N224" s="42">
        <f>D224-SUM(H224,J224,L224,)</f>
        <v/>
      </c>
      <c r="P224" s="42">
        <f>D224-SUM(H224,J224,L224,N224)</f>
        <v/>
      </c>
      <c r="R224" s="42">
        <f>D224-SUM(H224,J224,L224,N224,P224)</f>
        <v/>
      </c>
      <c r="T224" s="42">
        <f>D224-SUM(H224,J224,L224,N224,P224,R224)</f>
        <v/>
      </c>
      <c r="V224" s="42">
        <f>D224-SUM(H224,J224,L224,N224,P224,R224,T224)</f>
        <v/>
      </c>
      <c r="X224" s="56">
        <f>D224-SUM(H224,J224,L224,N224,P224,R224,T224,V224)</f>
        <v/>
      </c>
      <c r="Y224" s="57">
        <f>12*COUNT(G224,I224,K224,M224,O224,Q224,U224,W224,S224)</f>
        <v/>
      </c>
      <c r="Z224" s="40">
        <f>IF(AND('0₦'!T227&lt;&gt;0,'0₦'!T227&lt;&gt;""),9,0) + 0</f>
        <v/>
      </c>
      <c r="AA224" s="445">
        <f>'0₦'!BI227 + 0</f>
        <v/>
      </c>
      <c r="AB224" s="446">
        <f>'0₦'!BE227</f>
        <v/>
      </c>
      <c r="AC224" s="450">
        <f>'0₦'!BC227 + 0</f>
        <v/>
      </c>
      <c r="AD224" s="42">
        <f>'0₦'!BD227</f>
        <v/>
      </c>
      <c r="AE224" s="42">
        <f>'0₦'!AX227</f>
        <v/>
      </c>
      <c r="AF224" s="446">
        <f>hcbi!AA228+hcbi!Y228 + 20</f>
        <v/>
      </c>
      <c r="AG224" s="42">
        <f>'0₦'!AW227</f>
        <v/>
      </c>
      <c r="AH224" s="450">
        <f>0</f>
        <v/>
      </c>
      <c r="AI224" s="445" t="n"/>
      <c r="AJ224" s="445" t="n"/>
      <c r="AK224" s="61" t="n"/>
      <c r="AL224" s="45" t="n"/>
    </row>
    <row r="225" ht="17.1" customHeight="1" s="37">
      <c r="A225" s="547" t="n"/>
      <c r="B225" s="546">
        <f>B224+1</f>
        <v/>
      </c>
      <c r="C225" s="450" t="inlineStr">
        <is>
          <t>sf21</t>
        </is>
      </c>
      <c r="D225" s="257">
        <f>SUM(Y225:AH225)</f>
        <v/>
      </c>
      <c r="E225" s="54">
        <f>'0₦'!AF228</f>
        <v/>
      </c>
      <c r="F225" s="41">
        <f>'0₦'!AG228</f>
        <v/>
      </c>
      <c r="H225" s="410">
        <f>D225</f>
        <v/>
      </c>
      <c r="J225" s="42">
        <f>D225-H225</f>
        <v/>
      </c>
      <c r="L225" s="42">
        <f>D225-SUM(H225,J225)</f>
        <v/>
      </c>
      <c r="N225" s="42">
        <f>D225-SUM(H225,J225,L225,)</f>
        <v/>
      </c>
      <c r="P225" s="42">
        <f>D225-SUM(H225,J225,L225,N225)</f>
        <v/>
      </c>
      <c r="R225" s="42">
        <f>D225-SUM(H225,J225,L225,N225,P225)</f>
        <v/>
      </c>
      <c r="T225" s="42">
        <f>D225-SUM(H225,J225,L225,N225,P225,R225)</f>
        <v/>
      </c>
      <c r="V225" s="42">
        <f>D225-SUM(H225,J225,L225,N225,P225,R225,T225)</f>
        <v/>
      </c>
      <c r="X225" s="56">
        <f>D225-SUM(H225,J225,L225,N225,P225,R225,T225,V225)</f>
        <v/>
      </c>
      <c r="Y225" s="57">
        <f>12*COUNT(G225,I225,K225,M225,O225,Q225,U225,W225,S225)</f>
        <v/>
      </c>
      <c r="Z225" s="40">
        <f>IF(AND('0₦'!T228&lt;&gt;0,'0₦'!T228&lt;&gt;""),9,0) + 0</f>
        <v/>
      </c>
      <c r="AA225" s="445">
        <f>'0₦'!BI228 + 0</f>
        <v/>
      </c>
      <c r="AB225" s="446">
        <f>'0₦'!BE228</f>
        <v/>
      </c>
      <c r="AC225" s="450">
        <f>'0₦'!BC228 + 0</f>
        <v/>
      </c>
      <c r="AD225" s="42">
        <f>'0₦'!BD228</f>
        <v/>
      </c>
      <c r="AE225" s="42">
        <f>'0₦'!AX228</f>
        <v/>
      </c>
      <c r="AF225" s="446">
        <f>hcbi!AA229+hcbi!Y229</f>
        <v/>
      </c>
      <c r="AG225" s="42">
        <f>'0₦'!AW228</f>
        <v/>
      </c>
      <c r="AH225" s="450">
        <f>0</f>
        <v/>
      </c>
      <c r="AK225" s="44" t="n"/>
      <c r="AL225" s="45" t="n"/>
    </row>
    <row r="226" ht="17.1" customHeight="1" s="37">
      <c r="A226" s="441">
        <f>A219+0.1</f>
        <v/>
      </c>
      <c r="B226" s="546">
        <f>B225+1</f>
        <v/>
      </c>
      <c r="C226" s="450" t="inlineStr">
        <is>
          <t>sf21</t>
        </is>
      </c>
      <c r="D226" s="257">
        <f>SUM(Y226:AH226)</f>
        <v/>
      </c>
      <c r="E226" s="54">
        <f>'0₦'!AF229</f>
        <v/>
      </c>
      <c r="F226" s="41">
        <f>'0₦'!AG229</f>
        <v/>
      </c>
      <c r="H226" s="410">
        <f>D226</f>
        <v/>
      </c>
      <c r="J226" s="42">
        <f>D226-H226</f>
        <v/>
      </c>
      <c r="L226" s="42">
        <f>D226-SUM(H226,J226)</f>
        <v/>
      </c>
      <c r="N226" s="42">
        <f>D226-SUM(H226,J226,L226,)</f>
        <v/>
      </c>
      <c r="P226" s="42">
        <f>D226-SUM(H226,J226,L226,N226)</f>
        <v/>
      </c>
      <c r="R226" s="42">
        <f>D226-SUM(H226,J226,L226,N226,P226)</f>
        <v/>
      </c>
      <c r="T226" s="42">
        <f>D226-SUM(H226,J226,L226,N226,P226,R226)</f>
        <v/>
      </c>
      <c r="V226" s="42">
        <f>D226-SUM(H226,J226,L226,N226,P226,R226,T226)</f>
        <v/>
      </c>
      <c r="X226" s="56">
        <f>D226-SUM(H226,J226,L226,N226,P226,R226,T226,V226)</f>
        <v/>
      </c>
      <c r="Y226" s="57">
        <f>12*COUNT(G226,I226,K226,M226,O226,Q226,U226,W226,S226)</f>
        <v/>
      </c>
      <c r="Z226" s="40">
        <f>IF(AND('0₦'!T229&lt;&gt;0,'0₦'!T229&lt;&gt;""),9,0) + 0</f>
        <v/>
      </c>
      <c r="AA226" s="445">
        <f>'0₦'!BI229 + 0</f>
        <v/>
      </c>
      <c r="AB226" s="446">
        <f>'0₦'!BE229</f>
        <v/>
      </c>
      <c r="AC226" s="450">
        <f>'0₦'!BC229 + 0</f>
        <v/>
      </c>
      <c r="AD226" s="42">
        <f>'0₦'!BD229</f>
        <v/>
      </c>
      <c r="AE226" s="42">
        <f>'0₦'!AX229</f>
        <v/>
      </c>
      <c r="AF226" s="446">
        <f>hcbi!AA230+hcbi!Y230</f>
        <v/>
      </c>
      <c r="AG226" s="42">
        <f>'0₦'!AW229</f>
        <v/>
      </c>
      <c r="AH226" s="450">
        <f>0</f>
        <v/>
      </c>
      <c r="AI226" s="445" t="n"/>
      <c r="AJ226" s="445" t="n"/>
      <c r="AK226" s="44" t="n"/>
      <c r="AL226" s="45" t="n"/>
    </row>
    <row r="227" ht="17.1" customHeight="1" s="37">
      <c r="B227" s="546">
        <f>B226+1</f>
        <v/>
      </c>
      <c r="C227" s="450" t="inlineStr">
        <is>
          <t>sf21</t>
        </is>
      </c>
      <c r="D227" s="257">
        <f>SUM(Y227:AH227)</f>
        <v/>
      </c>
      <c r="E227" s="54">
        <f>'0₦'!AF230</f>
        <v/>
      </c>
      <c r="F227" s="41">
        <f>'0₦'!AG230</f>
        <v/>
      </c>
      <c r="H227" s="410">
        <f>D227</f>
        <v/>
      </c>
      <c r="J227" s="42">
        <f>D227-H227</f>
        <v/>
      </c>
      <c r="L227" s="42">
        <f>D227-SUM(H227,J227)</f>
        <v/>
      </c>
      <c r="N227" s="42">
        <f>D227-SUM(H227,J227,L227,)</f>
        <v/>
      </c>
      <c r="P227" s="42">
        <f>D227-SUM(H227,J227,L227,N227)</f>
        <v/>
      </c>
      <c r="R227" s="42">
        <f>D227-SUM(H227,J227,L227,N227,P227)</f>
        <v/>
      </c>
      <c r="T227" s="42">
        <f>D227-SUM(H227,J227,L227,N227,P227,R227)</f>
        <v/>
      </c>
      <c r="V227" s="42">
        <f>D227-SUM(H227,J227,L227,N227,P227,R227,T227)</f>
        <v/>
      </c>
      <c r="X227" s="56">
        <f>D227-SUM(H227,J227,L227,N227,P227,R227,T227,V227)</f>
        <v/>
      </c>
      <c r="Y227" s="57">
        <f>12*COUNT(G227,I227,K227,M227,O227,Q227,U227,W227,S227)</f>
        <v/>
      </c>
      <c r="Z227" s="40">
        <f>IF(AND('0₦'!T230&lt;&gt;0,'0₦'!T230&lt;&gt;""),9,0) + 0</f>
        <v/>
      </c>
      <c r="AA227" s="445">
        <f>'0₦'!BI230 + 0</f>
        <v/>
      </c>
      <c r="AB227" s="446">
        <f>'0₦'!BE230</f>
        <v/>
      </c>
      <c r="AC227" s="450">
        <f>'0₦'!BC230 + 0</f>
        <v/>
      </c>
      <c r="AD227" s="42">
        <f>'0₦'!BD230</f>
        <v/>
      </c>
      <c r="AE227" s="42">
        <f>'0₦'!AX230</f>
        <v/>
      </c>
      <c r="AF227" s="446">
        <f>hcbi!AA231+hcbi!Y231</f>
        <v/>
      </c>
      <c r="AG227" s="42">
        <f>'0₦'!AW230</f>
        <v/>
      </c>
      <c r="AH227" s="450">
        <f>0</f>
        <v/>
      </c>
      <c r="AK227" s="44" t="n"/>
      <c r="AL227" s="45" t="n"/>
    </row>
    <row r="228" ht="17.1" customHeight="1" s="37">
      <c r="B228" s="546">
        <f>B227+1</f>
        <v/>
      </c>
      <c r="C228" s="450" t="inlineStr">
        <is>
          <t>sf21</t>
        </is>
      </c>
      <c r="D228" s="257">
        <f>SUM(Y228:AH228)</f>
        <v/>
      </c>
      <c r="E228" s="54">
        <f>'0₦'!AF231</f>
        <v/>
      </c>
      <c r="F228" s="41">
        <f>'0₦'!AG231</f>
        <v/>
      </c>
      <c r="H228" s="410">
        <f>D228</f>
        <v/>
      </c>
      <c r="J228" s="42">
        <f>D228-H228</f>
        <v/>
      </c>
      <c r="L228" s="42">
        <f>D228-SUM(H228,J228)</f>
        <v/>
      </c>
      <c r="N228" s="42">
        <f>D228-SUM(H228,J228,L228,)</f>
        <v/>
      </c>
      <c r="P228" s="42">
        <f>D228-SUM(H228,J228,L228,N228)</f>
        <v/>
      </c>
      <c r="R228" s="42">
        <f>D228-SUM(H228,J228,L228,N228,P228)</f>
        <v/>
      </c>
      <c r="T228" s="42">
        <f>D228-SUM(H228,J228,L228,N228,P228,R228)</f>
        <v/>
      </c>
      <c r="V228" s="42">
        <f>D228-SUM(H228,J228,L228,N228,P228,R228,T228)</f>
        <v/>
      </c>
      <c r="X228" s="56">
        <f>D228-SUM(H228,J228,L228,N228,P228,R228,T228,V228)</f>
        <v/>
      </c>
      <c r="Y228" s="57">
        <f>12*COUNT(G228,I228,K228,M228,O228,Q228,U228,W228,S228)</f>
        <v/>
      </c>
      <c r="Z228" s="40">
        <f>IF(AND('0₦'!T231&lt;&gt;0,'0₦'!T231&lt;&gt;""),9,0) + 0</f>
        <v/>
      </c>
      <c r="AA228" s="445">
        <f>'0₦'!BI231 + 0</f>
        <v/>
      </c>
      <c r="AB228" s="446">
        <f>'0₦'!BE231</f>
        <v/>
      </c>
      <c r="AC228" s="450">
        <f>'0₦'!BC231 + 0</f>
        <v/>
      </c>
      <c r="AD228" s="42">
        <f>'0₦'!BD231</f>
        <v/>
      </c>
      <c r="AE228" s="42">
        <f>'0₦'!AX231</f>
        <v/>
      </c>
      <c r="AF228" s="446">
        <f>hcbi!AA232+hcbi!Y232</f>
        <v/>
      </c>
      <c r="AG228" s="42">
        <f>'0₦'!AW231</f>
        <v/>
      </c>
      <c r="AH228" s="450">
        <f>0</f>
        <v/>
      </c>
      <c r="AI228" s="445" t="n"/>
      <c r="AJ228" s="445" t="n"/>
      <c r="AK228" s="44" t="n"/>
      <c r="AL228" s="45" t="n"/>
    </row>
    <row r="229" ht="17.1" customHeight="1" s="37">
      <c r="B229" s="546">
        <f>B228+1</f>
        <v/>
      </c>
      <c r="C229" s="450" t="inlineStr">
        <is>
          <t>sf21</t>
        </is>
      </c>
      <c r="D229" s="257">
        <f>SUM(Y229:AH229)</f>
        <v/>
      </c>
      <c r="E229" s="54">
        <f>'0₦'!AF232</f>
        <v/>
      </c>
      <c r="F229" s="41">
        <f>'0₦'!AG232</f>
        <v/>
      </c>
      <c r="H229" s="410">
        <f>D229</f>
        <v/>
      </c>
      <c r="J229" s="42">
        <f>D229-H229</f>
        <v/>
      </c>
      <c r="L229" s="42">
        <f>D229-SUM(H229,J229)</f>
        <v/>
      </c>
      <c r="N229" s="42">
        <f>D229-SUM(H229,J229,L229,)</f>
        <v/>
      </c>
      <c r="P229" s="42">
        <f>D229-SUM(H229,J229,L229,N229)</f>
        <v/>
      </c>
      <c r="R229" s="42">
        <f>D229-SUM(H229,J229,L229,N229,P229)</f>
        <v/>
      </c>
      <c r="T229" s="42">
        <f>D229-SUM(H229,J229,L229,N229,P229,R229)</f>
        <v/>
      </c>
      <c r="V229" s="42">
        <f>D229-SUM(H229,J229,L229,N229,P229,R229,T229)</f>
        <v/>
      </c>
      <c r="X229" s="56">
        <f>D229-SUM(H229,J229,L229,N229,P229,R229,T229,V229)</f>
        <v/>
      </c>
      <c r="Y229" s="57">
        <f>12*COUNT(G229,I229,K229,M229,O229,Q229,U229,W229,S229)</f>
        <v/>
      </c>
      <c r="Z229" s="40">
        <f>IF(AND('0₦'!T232&lt;&gt;0,'0₦'!T232&lt;&gt;""),9,0) + 0</f>
        <v/>
      </c>
      <c r="AA229" s="445">
        <f>'0₦'!BI232 + 0</f>
        <v/>
      </c>
      <c r="AB229" s="446">
        <f>'0₦'!BE232</f>
        <v/>
      </c>
      <c r="AC229" s="450">
        <f>'0₦'!BC232 + 0</f>
        <v/>
      </c>
      <c r="AD229" s="42">
        <f>'0₦'!BD232</f>
        <v/>
      </c>
      <c r="AE229" s="42">
        <f>'0₦'!AX232</f>
        <v/>
      </c>
      <c r="AF229" s="446">
        <f>hcbi!AA233+hcbi!Y233</f>
        <v/>
      </c>
      <c r="AG229" s="42">
        <f>'0₦'!AW232</f>
        <v/>
      </c>
      <c r="AH229" s="450">
        <f>0</f>
        <v/>
      </c>
      <c r="AK229" s="44" t="n"/>
      <c r="AL229" s="45" t="n"/>
    </row>
    <row r="230" ht="17.1" customHeight="1" s="37">
      <c r="B230" s="546">
        <f>B229+1</f>
        <v/>
      </c>
      <c r="C230" s="450" t="inlineStr">
        <is>
          <t>sf21</t>
        </is>
      </c>
      <c r="D230" s="257">
        <f>SUM(Y230:AH230)</f>
        <v/>
      </c>
      <c r="E230" s="54">
        <f>'0₦'!AF233</f>
        <v/>
      </c>
      <c r="F230" s="41">
        <f>'0₦'!AG233</f>
        <v/>
      </c>
      <c r="H230" s="410">
        <f>D230</f>
        <v/>
      </c>
      <c r="J230" s="42">
        <f>D230-H230</f>
        <v/>
      </c>
      <c r="L230" s="42">
        <f>D230-SUM(H230,J230)</f>
        <v/>
      </c>
      <c r="N230" s="42">
        <f>D230-SUM(H230,J230,L230,)</f>
        <v/>
      </c>
      <c r="P230" s="42">
        <f>D230-SUM(H230,J230,L230,N230)</f>
        <v/>
      </c>
      <c r="R230" s="42">
        <f>D230-SUM(H230,J230,L230,N230,P230)</f>
        <v/>
      </c>
      <c r="T230" s="42">
        <f>D230-SUM(H230,J230,L230,N230,P230,R230)</f>
        <v/>
      </c>
      <c r="V230" s="42">
        <f>D230-SUM(H230,J230,L230,N230,P230,R230,T230)</f>
        <v/>
      </c>
      <c r="X230" s="56">
        <f>D230-SUM(H230,J230,L230,N230,P230,R230,T230,V230)</f>
        <v/>
      </c>
      <c r="Y230" s="57">
        <f>12*COUNT(G230,I230,K230,M230,O230,Q230,U230,W230,S230)</f>
        <v/>
      </c>
      <c r="Z230" s="40">
        <f>IF(AND('0₦'!T233&lt;&gt;0,'0₦'!T233&lt;&gt;""),9,0) + 0</f>
        <v/>
      </c>
      <c r="AA230" s="445">
        <f>'0₦'!BI233 + 0</f>
        <v/>
      </c>
      <c r="AB230" s="446">
        <f>'0₦'!BE233</f>
        <v/>
      </c>
      <c r="AC230" s="450">
        <f>'0₦'!BC233 + 0</f>
        <v/>
      </c>
      <c r="AD230" s="42">
        <f>'0₦'!BD233</f>
        <v/>
      </c>
      <c r="AE230" s="42">
        <f>'0₦'!AX233</f>
        <v/>
      </c>
      <c r="AF230" s="446">
        <f>hcbi!AA234+hcbi!Y234</f>
        <v/>
      </c>
      <c r="AG230" s="42">
        <f>'0₦'!AW233</f>
        <v/>
      </c>
      <c r="AH230" s="450">
        <f>0</f>
        <v/>
      </c>
      <c r="AI230" s="445" t="n"/>
      <c r="AJ230" s="446" t="n"/>
      <c r="AK230" s="44" t="n"/>
      <c r="AL230" s="45" t="n"/>
    </row>
    <row r="231" ht="17.1" customHeight="1" s="37">
      <c r="B231" s="546">
        <f>B230+1</f>
        <v/>
      </c>
      <c r="C231" s="450" t="inlineStr">
        <is>
          <t>sf21</t>
        </is>
      </c>
      <c r="D231" s="257">
        <f>SUM(Y231:AH231)</f>
        <v/>
      </c>
      <c r="E231" s="54">
        <f>'0₦'!AF234</f>
        <v/>
      </c>
      <c r="F231" s="41">
        <f>'0₦'!AG234</f>
        <v/>
      </c>
      <c r="H231" s="410">
        <f>D231</f>
        <v/>
      </c>
      <c r="J231" s="42">
        <f>D231-H231</f>
        <v/>
      </c>
      <c r="L231" s="42">
        <f>D231-SUM(H231,J231)</f>
        <v/>
      </c>
      <c r="N231" s="42">
        <f>D231-SUM(H231,J231,L231,)</f>
        <v/>
      </c>
      <c r="P231" s="42">
        <f>D231-SUM(H231,J231,L231,N231)</f>
        <v/>
      </c>
      <c r="R231" s="42">
        <f>D231-SUM(H231,J231,L231,N231,P231)</f>
        <v/>
      </c>
      <c r="T231" s="42">
        <f>D231-SUM(H231,J231,L231,N231,P231,R231)</f>
        <v/>
      </c>
      <c r="V231" s="42">
        <f>D231-SUM(H231,J231,L231,N231,P231,R231,T231)</f>
        <v/>
      </c>
      <c r="X231" s="56">
        <f>D231-SUM(H231,J231,L231,N231,P231,R231,T231,V231)</f>
        <v/>
      </c>
      <c r="Y231" s="57">
        <f>12*COUNT(G231,I231,K231,M231,O231,Q231,U231,W231,S231)</f>
        <v/>
      </c>
      <c r="Z231" s="40">
        <f>IF(AND('0₦'!T234&lt;&gt;0,'0₦'!T234&lt;&gt;""),9,0) + 0</f>
        <v/>
      </c>
      <c r="AA231" s="445">
        <f>'0₦'!BI234 + 0</f>
        <v/>
      </c>
      <c r="AB231" s="446">
        <f>'0₦'!BE234</f>
        <v/>
      </c>
      <c r="AC231" s="450">
        <f>'0₦'!BC234 + 0</f>
        <v/>
      </c>
      <c r="AD231" s="42">
        <f>'0₦'!BD234</f>
        <v/>
      </c>
      <c r="AE231" s="42">
        <f>'0₦'!AX234</f>
        <v/>
      </c>
      <c r="AF231" s="446">
        <f>hcbi!AA235+hcbi!Y235</f>
        <v/>
      </c>
      <c r="AG231" s="42">
        <f>'0₦'!AW234</f>
        <v/>
      </c>
      <c r="AH231" s="450">
        <f>0</f>
        <v/>
      </c>
      <c r="AK231" s="44" t="n"/>
      <c r="AL231" s="45" t="n"/>
    </row>
    <row r="232" ht="17.1" customHeight="1" s="37">
      <c r="A232" s="547" t="n"/>
      <c r="B232" s="546">
        <f>B231+1</f>
        <v/>
      </c>
      <c r="C232" s="450" t="inlineStr">
        <is>
          <t>sf21</t>
        </is>
      </c>
      <c r="D232" s="257">
        <f>SUM(Y232:AH232)</f>
        <v/>
      </c>
      <c r="E232" s="54">
        <f>'0₦'!AF235</f>
        <v/>
      </c>
      <c r="F232" s="41">
        <f>'0₦'!AG235</f>
        <v/>
      </c>
      <c r="H232" s="410">
        <f>D232</f>
        <v/>
      </c>
      <c r="J232" s="42">
        <f>D232-H232</f>
        <v/>
      </c>
      <c r="L232" s="42">
        <f>D232-SUM(H232,J232)</f>
        <v/>
      </c>
      <c r="N232" s="42">
        <f>D232-SUM(H232,J232,L232,)</f>
        <v/>
      </c>
      <c r="P232" s="42">
        <f>D232-SUM(H232,J232,L232,N232)</f>
        <v/>
      </c>
      <c r="R232" s="42">
        <f>D232-SUM(H232,J232,L232,N232,P232)</f>
        <v/>
      </c>
      <c r="T232" s="42">
        <f>D232-SUM(H232,J232,L232,N232,P232,R232)</f>
        <v/>
      </c>
      <c r="V232" s="42">
        <f>D232-SUM(H232,J232,L232,N232,P232,R232,T232)</f>
        <v/>
      </c>
      <c r="X232" s="56">
        <f>D232-SUM(H232,J232,L232,N232,P232,R232,T232,V232)</f>
        <v/>
      </c>
      <c r="Y232" s="57">
        <f>12*COUNT(G232,I232,K232,M232,O232,Q232,U232,W232,S232)</f>
        <v/>
      </c>
      <c r="Z232" s="40">
        <f>IF(AND('0₦'!T235&lt;&gt;0,'0₦'!T235&lt;&gt;""),9,0) + 0</f>
        <v/>
      </c>
      <c r="AA232" s="445">
        <f>'0₦'!BI235 + 0</f>
        <v/>
      </c>
      <c r="AB232" s="446">
        <f>'0₦'!BE235</f>
        <v/>
      </c>
      <c r="AC232" s="450">
        <f>'0₦'!BC235 + 0</f>
        <v/>
      </c>
      <c r="AD232" s="42">
        <f>'0₦'!BD235</f>
        <v/>
      </c>
      <c r="AE232" s="42">
        <f>'0₦'!AX235</f>
        <v/>
      </c>
      <c r="AF232" s="446">
        <f>hcbi!AA236+hcbi!Y236</f>
        <v/>
      </c>
      <c r="AG232" s="42">
        <f>'0₦'!AW235</f>
        <v/>
      </c>
      <c r="AH232" s="450">
        <f>0</f>
        <v/>
      </c>
      <c r="AI232" s="445" t="n"/>
      <c r="AJ232" s="445" t="n"/>
      <c r="AK232" s="44" t="n"/>
      <c r="AL232" s="45" t="n"/>
    </row>
    <row r="233" ht="17.1" customHeight="1" s="37">
      <c r="A233" s="441">
        <f>A226+0.1</f>
        <v/>
      </c>
      <c r="B233" s="546">
        <f>B232+1</f>
        <v/>
      </c>
      <c r="C233" s="450" t="inlineStr">
        <is>
          <t>sf21</t>
        </is>
      </c>
      <c r="D233" s="257">
        <f>SUM(Y233:AH233)</f>
        <v/>
      </c>
      <c r="E233" s="54">
        <f>'0₦'!AF236</f>
        <v/>
      </c>
      <c r="F233" s="41">
        <f>'0₦'!AG236</f>
        <v/>
      </c>
      <c r="H233" s="410">
        <f>D233</f>
        <v/>
      </c>
      <c r="J233" s="42">
        <f>D233-H233</f>
        <v/>
      </c>
      <c r="L233" s="42">
        <f>D233-SUM(H233,J233)</f>
        <v/>
      </c>
      <c r="N233" s="42">
        <f>D233-SUM(H233,J233,L233,)</f>
        <v/>
      </c>
      <c r="P233" s="42">
        <f>D233-SUM(H233,J233,L233,N233)</f>
        <v/>
      </c>
      <c r="R233" s="42">
        <f>D233-SUM(H233,J233,L233,N233,P233)</f>
        <v/>
      </c>
      <c r="T233" s="42">
        <f>D233-SUM(H233,J233,L233,N233,P233,R233)</f>
        <v/>
      </c>
      <c r="V233" s="42">
        <f>D233-SUM(H233,J233,L233,N233,P233,R233,T233)</f>
        <v/>
      </c>
      <c r="X233" s="56">
        <f>D233-SUM(H233,J233,L233,N233,P233,R233,T233,V233)</f>
        <v/>
      </c>
      <c r="Y233" s="57">
        <f>12*COUNT(G233,I233,K233,M233,O233,Q233,U233,W233,S233)</f>
        <v/>
      </c>
      <c r="Z233" s="40">
        <f>IF(AND('0₦'!T236&lt;&gt;0,'0₦'!T236&lt;&gt;""),9,0) + 0</f>
        <v/>
      </c>
      <c r="AA233" s="445">
        <f>'0₦'!BI236 + 0</f>
        <v/>
      </c>
      <c r="AB233" s="446">
        <f>'0₦'!BE236</f>
        <v/>
      </c>
      <c r="AC233" s="450">
        <f>'0₦'!BC236 + 0</f>
        <v/>
      </c>
      <c r="AD233" s="42">
        <f>'0₦'!BD236</f>
        <v/>
      </c>
      <c r="AE233" s="42">
        <f>'0₦'!AX236</f>
        <v/>
      </c>
      <c r="AF233" s="446">
        <f>hcbi!AA237+hcbi!Y237</f>
        <v/>
      </c>
      <c r="AG233" s="42">
        <f>'0₦'!AW236</f>
        <v/>
      </c>
      <c r="AH233" s="450">
        <f>0</f>
        <v/>
      </c>
      <c r="AK233" s="44" t="n"/>
      <c r="AL233" s="45" t="n"/>
    </row>
    <row r="234" ht="17.1" customHeight="1" s="37">
      <c r="B234" s="546">
        <f>B233+1</f>
        <v/>
      </c>
      <c r="C234" s="450" t="inlineStr">
        <is>
          <t>sf21</t>
        </is>
      </c>
      <c r="D234" s="257">
        <f>SUM(Y234:AH234)</f>
        <v/>
      </c>
      <c r="E234" s="54">
        <f>'0₦'!AF237</f>
        <v/>
      </c>
      <c r="F234" s="41">
        <f>'0₦'!AG237</f>
        <v/>
      </c>
      <c r="H234" s="410">
        <f>D234</f>
        <v/>
      </c>
      <c r="J234" s="42">
        <f>D234-H234</f>
        <v/>
      </c>
      <c r="L234" s="42">
        <f>D234-SUM(H234,J234)</f>
        <v/>
      </c>
      <c r="N234" s="42">
        <f>D234-SUM(H234,J234,L234,)</f>
        <v/>
      </c>
      <c r="P234" s="42">
        <f>D234-SUM(H234,J234,L234,N234)</f>
        <v/>
      </c>
      <c r="R234" s="42">
        <f>D234-SUM(H234,J234,L234,N234,P234)</f>
        <v/>
      </c>
      <c r="T234" s="42">
        <f>D234-SUM(H234,J234,L234,N234,P234,R234)</f>
        <v/>
      </c>
      <c r="V234" s="42">
        <f>D234-SUM(H234,J234,L234,N234,P234,R234,T234)</f>
        <v/>
      </c>
      <c r="X234" s="56">
        <f>D234-SUM(H234,J234,L234,N234,P234,R234,T234,V234)</f>
        <v/>
      </c>
      <c r="Y234" s="57">
        <f>12*COUNT(G234,I234,K234,M234,O234,Q234,U234,W234,S234)</f>
        <v/>
      </c>
      <c r="Z234" s="40">
        <f>IF(AND('0₦'!T237&lt;&gt;0,'0₦'!T237&lt;&gt;""),9,0) + 0</f>
        <v/>
      </c>
      <c r="AA234" s="445">
        <f>'0₦'!BI237 + 0</f>
        <v/>
      </c>
      <c r="AB234" s="446">
        <f>'0₦'!BE237</f>
        <v/>
      </c>
      <c r="AC234" s="450">
        <f>'0₦'!BC237 + 0</f>
        <v/>
      </c>
      <c r="AD234" s="42">
        <f>'0₦'!BD237</f>
        <v/>
      </c>
      <c r="AE234" s="42">
        <f>'0₦'!AX237</f>
        <v/>
      </c>
      <c r="AF234" s="446">
        <f>hcbi!AA238+hcbi!Y238</f>
        <v/>
      </c>
      <c r="AG234" s="42">
        <f>'0₦'!AW237</f>
        <v/>
      </c>
      <c r="AH234" s="450">
        <f>0</f>
        <v/>
      </c>
      <c r="AI234" s="446" t="n"/>
      <c r="AJ234" s="445" t="n"/>
      <c r="AK234" s="44" t="n"/>
      <c r="AL234" s="45" t="n"/>
    </row>
    <row r="235" ht="17.1" customHeight="1" s="37">
      <c r="B235" s="546">
        <f>B234+1</f>
        <v/>
      </c>
      <c r="C235" s="450" t="inlineStr">
        <is>
          <t>sf21</t>
        </is>
      </c>
      <c r="D235" s="257">
        <f>SUM(Y235:AH235)</f>
        <v/>
      </c>
      <c r="E235" s="54">
        <f>'0₦'!AF238</f>
        <v/>
      </c>
      <c r="F235" s="41">
        <f>'0₦'!AG238</f>
        <v/>
      </c>
      <c r="H235" s="410">
        <f>D235</f>
        <v/>
      </c>
      <c r="J235" s="42">
        <f>D235-H235</f>
        <v/>
      </c>
      <c r="L235" s="42">
        <f>D235-SUM(H235,J235)</f>
        <v/>
      </c>
      <c r="N235" s="42">
        <f>D235-SUM(H235,J235,L235,)</f>
        <v/>
      </c>
      <c r="P235" s="42">
        <f>D235-SUM(H235,J235,L235,N235)</f>
        <v/>
      </c>
      <c r="R235" s="42">
        <f>D235-SUM(H235,J235,L235,N235,P235)</f>
        <v/>
      </c>
      <c r="T235" s="42">
        <f>D235-SUM(H235,J235,L235,N235,P235,R235)</f>
        <v/>
      </c>
      <c r="V235" s="42">
        <f>D235-SUM(H235,J235,L235,N235,P235,R235,T235)</f>
        <v/>
      </c>
      <c r="X235" s="56">
        <f>D235-SUM(H235,J235,L235,N235,P235,R235,T235,V235)</f>
        <v/>
      </c>
      <c r="Y235" s="57">
        <f>12*COUNT(G235,I235,K235,M235,O235,Q235,U235,W235,S235)</f>
        <v/>
      </c>
      <c r="Z235" s="40">
        <f>IF(AND('0₦'!T238&lt;&gt;0,'0₦'!T238&lt;&gt;""),9,0) + 0</f>
        <v/>
      </c>
      <c r="AA235" s="445">
        <f>'0₦'!BI238 + 0</f>
        <v/>
      </c>
      <c r="AB235" s="446">
        <f>'0₦'!BE238</f>
        <v/>
      </c>
      <c r="AC235" s="450">
        <f>'0₦'!BC238 + 0</f>
        <v/>
      </c>
      <c r="AD235" s="42">
        <f>'0₦'!BD238</f>
        <v/>
      </c>
      <c r="AE235" s="42">
        <f>'0₦'!AX238</f>
        <v/>
      </c>
      <c r="AF235" s="446">
        <f>hcbi!AA239+hcbi!Y239</f>
        <v/>
      </c>
      <c r="AG235" s="42">
        <f>'0₦'!AW238</f>
        <v/>
      </c>
      <c r="AH235" s="450">
        <f>0</f>
        <v/>
      </c>
      <c r="AK235" s="44" t="n"/>
      <c r="AL235" s="45" t="n"/>
    </row>
    <row r="236" ht="17.1" customHeight="1" s="37">
      <c r="B236" s="546">
        <f>B235+1</f>
        <v/>
      </c>
      <c r="C236" s="450" t="inlineStr">
        <is>
          <t>sf21</t>
        </is>
      </c>
      <c r="D236" s="257">
        <f>SUM(Y236:AH236)</f>
        <v/>
      </c>
      <c r="E236" s="54">
        <f>'0₦'!AF239</f>
        <v/>
      </c>
      <c r="F236" s="41">
        <f>'0₦'!AG239</f>
        <v/>
      </c>
      <c r="H236" s="410">
        <f>D236</f>
        <v/>
      </c>
      <c r="J236" s="42">
        <f>D236-H236</f>
        <v/>
      </c>
      <c r="L236" s="42">
        <f>D236-SUM(H236,J236)</f>
        <v/>
      </c>
      <c r="N236" s="42">
        <f>D236-SUM(H236,J236,L236,)</f>
        <v/>
      </c>
      <c r="P236" s="42">
        <f>D236-SUM(H236,J236,L236,N236)</f>
        <v/>
      </c>
      <c r="R236" s="42">
        <f>D236-SUM(H236,J236,L236,N236,P236)</f>
        <v/>
      </c>
      <c r="T236" s="42">
        <f>D236-SUM(H236,J236,L236,N236,P236,R236)</f>
        <v/>
      </c>
      <c r="V236" s="42">
        <f>D236-SUM(H236,J236,L236,N236,P236,R236,T236)</f>
        <v/>
      </c>
      <c r="X236" s="56">
        <f>D236-SUM(H236,J236,L236,N236,P236,R236,T236,V236)</f>
        <v/>
      </c>
      <c r="Y236" s="57">
        <f>12*COUNT(G236,I236,K236,M236,O236,Q236,U236,W236,S236)</f>
        <v/>
      </c>
      <c r="Z236" s="40">
        <f>IF(AND('0₦'!T239&lt;&gt;0,'0₦'!T239&lt;&gt;""),9,0) + 0</f>
        <v/>
      </c>
      <c r="AA236" s="445">
        <f>'0₦'!BI239 + 0</f>
        <v/>
      </c>
      <c r="AB236" s="446">
        <f>'0₦'!BE239</f>
        <v/>
      </c>
      <c r="AC236" s="450">
        <f>'0₦'!BC239 + 0</f>
        <v/>
      </c>
      <c r="AD236" s="42">
        <f>'0₦'!BD239</f>
        <v/>
      </c>
      <c r="AE236" s="42">
        <f>'0₦'!AX239</f>
        <v/>
      </c>
      <c r="AF236" s="446">
        <f>hcbi!AA240+hcbi!Y240</f>
        <v/>
      </c>
      <c r="AG236" s="42">
        <f>'0₦'!AW239</f>
        <v/>
      </c>
      <c r="AH236" s="450">
        <f>0</f>
        <v/>
      </c>
      <c r="AI236" s="445" t="n"/>
      <c r="AJ236" s="447" t="n"/>
      <c r="AK236" s="44" t="n"/>
      <c r="AL236" s="45" t="n"/>
    </row>
    <row r="237" ht="17.1" customHeight="1" s="37">
      <c r="B237" s="546">
        <f>B236+1</f>
        <v/>
      </c>
      <c r="C237" s="450" t="inlineStr">
        <is>
          <t>sf21</t>
        </is>
      </c>
      <c r="D237" s="257">
        <f>SUM(Y237:AH237)</f>
        <v/>
      </c>
      <c r="E237" s="54">
        <f>'0₦'!AF240</f>
        <v/>
      </c>
      <c r="F237" s="41">
        <f>'0₦'!AG240</f>
        <v/>
      </c>
      <c r="H237" s="410">
        <f>D237</f>
        <v/>
      </c>
      <c r="J237" s="42">
        <f>D237-H237</f>
        <v/>
      </c>
      <c r="L237" s="42">
        <f>D237-SUM(H237,J237)</f>
        <v/>
      </c>
      <c r="N237" s="42">
        <f>D237-SUM(H237,J237,L237,)</f>
        <v/>
      </c>
      <c r="P237" s="42">
        <f>D237-SUM(H237,J237,L237,N237)</f>
        <v/>
      </c>
      <c r="R237" s="42">
        <f>D237-SUM(H237,J237,L237,N237,P237)</f>
        <v/>
      </c>
      <c r="T237" s="42">
        <f>D237-SUM(H237,J237,L237,N237,P237,R237)</f>
        <v/>
      </c>
      <c r="V237" s="42">
        <f>D237-SUM(H237,J237,L237,N237,P237,R237,T237)</f>
        <v/>
      </c>
      <c r="X237" s="56">
        <f>D237-SUM(H237,J237,L237,N237,P237,R237,T237,V237)</f>
        <v/>
      </c>
      <c r="Y237" s="57">
        <f>12*COUNT(G237,I237,K237,M237,O237,Q237,U237,W237,S237)</f>
        <v/>
      </c>
      <c r="Z237" s="40">
        <f>IF(AND('0₦'!T240&lt;&gt;0,'0₦'!T240&lt;&gt;""),9,0) + 0</f>
        <v/>
      </c>
      <c r="AA237" s="445">
        <f>'0₦'!BI240 + 0</f>
        <v/>
      </c>
      <c r="AB237" s="446">
        <f>'0₦'!BE240</f>
        <v/>
      </c>
      <c r="AC237" s="450">
        <f>'0₦'!BC240 + 0</f>
        <v/>
      </c>
      <c r="AD237" s="42">
        <f>'0₦'!BD240</f>
        <v/>
      </c>
      <c r="AE237" s="42">
        <f>'0₦'!AX240</f>
        <v/>
      </c>
      <c r="AF237" s="446">
        <f>hcbi!AA241+hcbi!Y241</f>
        <v/>
      </c>
      <c r="AG237" s="42">
        <f>'0₦'!AW240</f>
        <v/>
      </c>
      <c r="AH237" s="450">
        <f>0</f>
        <v/>
      </c>
      <c r="AJ237" s="548" t="n"/>
      <c r="AK237" s="44" t="n"/>
      <c r="AL237" s="45" t="n"/>
    </row>
    <row r="238" ht="17.1" customHeight="1" s="37">
      <c r="B238" s="546">
        <f>B237+1</f>
        <v/>
      </c>
      <c r="C238" s="450" t="inlineStr">
        <is>
          <t>sf21</t>
        </is>
      </c>
      <c r="D238" s="257">
        <f>SUM(Y238:AH238)</f>
        <v/>
      </c>
      <c r="E238" s="54">
        <f>'0₦'!AF241</f>
        <v/>
      </c>
      <c r="F238" s="41">
        <f>'0₦'!AG241</f>
        <v/>
      </c>
      <c r="H238" s="410">
        <f>D238</f>
        <v/>
      </c>
      <c r="J238" s="42">
        <f>D238-H238</f>
        <v/>
      </c>
      <c r="L238" s="42">
        <f>D238-SUM(H238,J238)</f>
        <v/>
      </c>
      <c r="N238" s="42">
        <f>D238-SUM(H238,J238,L238,)</f>
        <v/>
      </c>
      <c r="P238" s="42">
        <f>D238-SUM(H238,J238,L238,N238)</f>
        <v/>
      </c>
      <c r="R238" s="42">
        <f>D238-SUM(H238,J238,L238,N238,P238)</f>
        <v/>
      </c>
      <c r="T238" s="42">
        <f>D238-SUM(H238,J238,L238,N238,P238,R238)</f>
        <v/>
      </c>
      <c r="V238" s="42">
        <f>D238-SUM(H238,J238,L238,N238,P238,R238,T238)</f>
        <v/>
      </c>
      <c r="X238" s="56">
        <f>D238-SUM(H238,J238,L238,N238,P238,R238,T238,V238)</f>
        <v/>
      </c>
      <c r="Y238" s="57">
        <f>12*COUNT(G238,I238,K238,M238,O238,Q238,U238,W238,S238)</f>
        <v/>
      </c>
      <c r="Z238" s="40">
        <f>IF(AND('0₦'!T241&lt;&gt;0,'0₦'!T241&lt;&gt;""),9,0) + 0</f>
        <v/>
      </c>
      <c r="AA238" s="445">
        <f>'0₦'!BI241 + 0</f>
        <v/>
      </c>
      <c r="AB238" s="446">
        <f>'0₦'!BE241</f>
        <v/>
      </c>
      <c r="AC238" s="450">
        <f>'0₦'!BC241 + 0</f>
        <v/>
      </c>
      <c r="AD238" s="42">
        <f>'0₦'!BD241</f>
        <v/>
      </c>
      <c r="AE238" s="42">
        <f>'0₦'!AX241</f>
        <v/>
      </c>
      <c r="AF238" s="446">
        <f>hcbi!AA242+hcbi!Y242</f>
        <v/>
      </c>
      <c r="AG238" s="42">
        <f>'0₦'!AW241</f>
        <v/>
      </c>
      <c r="AH238" s="450">
        <f>0</f>
        <v/>
      </c>
      <c r="AI238" s="445" t="n"/>
      <c r="AJ238" s="445" t="n"/>
      <c r="AK238" s="44" t="n"/>
      <c r="AL238" s="45" t="n"/>
    </row>
    <row r="239" ht="17.1" customHeight="1" s="37">
      <c r="A239" s="547" t="n"/>
      <c r="B239" s="546">
        <f>B238+1</f>
        <v/>
      </c>
      <c r="C239" s="450" t="inlineStr">
        <is>
          <t>sf21</t>
        </is>
      </c>
      <c r="D239" s="257">
        <f>SUM(Y239:AH239)</f>
        <v/>
      </c>
      <c r="E239" s="54">
        <f>'0₦'!AF242</f>
        <v/>
      </c>
      <c r="F239" s="41">
        <f>'0₦'!AG242</f>
        <v/>
      </c>
      <c r="H239" s="410">
        <f>D239</f>
        <v/>
      </c>
      <c r="J239" s="42">
        <f>D239-H239</f>
        <v/>
      </c>
      <c r="L239" s="42">
        <f>D239-SUM(H239,J239)</f>
        <v/>
      </c>
      <c r="N239" s="42">
        <f>D239-SUM(H239,J239,L239,)</f>
        <v/>
      </c>
      <c r="P239" s="42">
        <f>D239-SUM(H239,J239,L239,N239)</f>
        <v/>
      </c>
      <c r="R239" s="42">
        <f>D239-SUM(H239,J239,L239,N239,P239)</f>
        <v/>
      </c>
      <c r="T239" s="42">
        <f>D239-SUM(H239,J239,L239,N239,P239,R239)</f>
        <v/>
      </c>
      <c r="V239" s="42">
        <f>D239-SUM(H239,J239,L239,N239,P239,R239,T239)</f>
        <v/>
      </c>
      <c r="X239" s="56">
        <f>D239-SUM(H239,J239,L239,N239,P239,R239,T239,V239)</f>
        <v/>
      </c>
      <c r="Y239" s="57">
        <f>12*COUNT(G239,I239,K239,M239,O239,Q239,U239,W239,S239)</f>
        <v/>
      </c>
      <c r="Z239" s="40">
        <f>IF(AND('0₦'!T242&lt;&gt;0,'0₦'!T242&lt;&gt;""),9,0) + 0</f>
        <v/>
      </c>
      <c r="AA239" s="445">
        <f>'0₦'!BI242 + 0</f>
        <v/>
      </c>
      <c r="AB239" s="446">
        <f>'0₦'!BE242</f>
        <v/>
      </c>
      <c r="AC239" s="450">
        <f>'0₦'!BC242 + 0</f>
        <v/>
      </c>
      <c r="AD239" s="42">
        <f>'0₦'!BD242</f>
        <v/>
      </c>
      <c r="AE239" s="42">
        <f>'0₦'!AX242</f>
        <v/>
      </c>
      <c r="AF239" s="446">
        <f>hcbi!AA243+hcbi!Y243</f>
        <v/>
      </c>
      <c r="AG239" s="42">
        <f>'0₦'!AW242</f>
        <v/>
      </c>
      <c r="AH239" s="450">
        <f>0</f>
        <v/>
      </c>
      <c r="AK239" s="44" t="n"/>
      <c r="AL239" s="45" t="n"/>
    </row>
    <row r="240" ht="17.1" customHeight="1" s="37">
      <c r="A240" s="441">
        <f>A212+1</f>
        <v/>
      </c>
      <c r="B240" s="546">
        <f>B239+1</f>
        <v/>
      </c>
      <c r="C240" s="450" t="inlineStr">
        <is>
          <t>sf21</t>
        </is>
      </c>
      <c r="D240" s="257">
        <f>SUM(Y240:AH240)</f>
        <v/>
      </c>
      <c r="E240" s="54">
        <f>'0₦'!AF243</f>
        <v/>
      </c>
      <c r="F240" s="41">
        <f>'0₦'!AG243</f>
        <v/>
      </c>
      <c r="H240" s="410">
        <f>D240</f>
        <v/>
      </c>
      <c r="J240" s="42">
        <f>D240-H240</f>
        <v/>
      </c>
      <c r="L240" s="42">
        <f>D240-SUM(H240,J240)</f>
        <v/>
      </c>
      <c r="N240" s="42">
        <f>D240-SUM(H240,J240,L240,)</f>
        <v/>
      </c>
      <c r="P240" s="42">
        <f>D240-SUM(H240,J240,L240,N240)</f>
        <v/>
      </c>
      <c r="R240" s="42">
        <f>D240-SUM(H240,J240,L240,N240,P240)</f>
        <v/>
      </c>
      <c r="T240" s="42">
        <f>D240-SUM(H240,J240,L240,N240,P240,R240)</f>
        <v/>
      </c>
      <c r="V240" s="42">
        <f>D240-SUM(H240,J240,L240,N240,P240,R240,T240)</f>
        <v/>
      </c>
      <c r="X240" s="56">
        <f>D240-SUM(H240,J240,L240,N240,P240,R240,T240,V240)</f>
        <v/>
      </c>
      <c r="Y240" s="57">
        <f>12*COUNT(G240,I240,K240,M240,O240,Q240,U240,W240,S240)</f>
        <v/>
      </c>
      <c r="Z240" s="40">
        <f>IF(AND('0₦'!T243&lt;&gt;0,'0₦'!T243&lt;&gt;""),9,0) + 0</f>
        <v/>
      </c>
      <c r="AA240" s="445">
        <f>'0₦'!BI243 + 0</f>
        <v/>
      </c>
      <c r="AB240" s="446">
        <f>'0₦'!BE243</f>
        <v/>
      </c>
      <c r="AC240" s="450">
        <f>'0₦'!BC243 + 0</f>
        <v/>
      </c>
      <c r="AD240" s="42">
        <f>'0₦'!BD243</f>
        <v/>
      </c>
      <c r="AE240" s="42">
        <f>'0₦'!AX243</f>
        <v/>
      </c>
      <c r="AF240" s="446">
        <f>hcbi!AA244+hcbi!Y244</f>
        <v/>
      </c>
      <c r="AG240" s="42">
        <f>'0₦'!AW243</f>
        <v/>
      </c>
      <c r="AH240" s="450">
        <f>0</f>
        <v/>
      </c>
      <c r="AI240" s="445" t="n"/>
      <c r="AJ240" s="445" t="n"/>
      <c r="AK240" s="44" t="n"/>
      <c r="AL240" s="45" t="n"/>
    </row>
    <row r="241" ht="17.1" customHeight="1" s="37">
      <c r="B241" s="546">
        <f>B240+1</f>
        <v/>
      </c>
      <c r="C241" s="450" t="inlineStr">
        <is>
          <t>sf21</t>
        </is>
      </c>
      <c r="D241" s="257">
        <f>SUM(Y241:AH241)</f>
        <v/>
      </c>
      <c r="E241" s="54">
        <f>'0₦'!AF244</f>
        <v/>
      </c>
      <c r="F241" s="41">
        <f>'0₦'!AG244</f>
        <v/>
      </c>
      <c r="H241" s="410">
        <f>D241</f>
        <v/>
      </c>
      <c r="J241" s="42">
        <f>D241-H241</f>
        <v/>
      </c>
      <c r="L241" s="42">
        <f>D241-SUM(H241,J241)</f>
        <v/>
      </c>
      <c r="N241" s="42">
        <f>D241-SUM(H241,J241,L241,)</f>
        <v/>
      </c>
      <c r="P241" s="42">
        <f>D241-SUM(H241,J241,L241,N241)</f>
        <v/>
      </c>
      <c r="R241" s="42">
        <f>D241-SUM(H241,J241,L241,N241,P241)</f>
        <v/>
      </c>
      <c r="T241" s="42">
        <f>D241-SUM(H241,J241,L241,N241,P241,R241)</f>
        <v/>
      </c>
      <c r="V241" s="42">
        <f>D241-SUM(H241,J241,L241,N241,P241,R241,T241)</f>
        <v/>
      </c>
      <c r="X241" s="56">
        <f>D241-SUM(H241,J241,L241,N241,P241,R241,T241,V241)</f>
        <v/>
      </c>
      <c r="Y241" s="57">
        <f>12*COUNT(G241,I241,K241,M241,O241,Q241,U241,W241,S241)</f>
        <v/>
      </c>
      <c r="Z241" s="40">
        <f>IF(AND('0₦'!T244&lt;&gt;0,'0₦'!T244&lt;&gt;""),9,0) + 0</f>
        <v/>
      </c>
      <c r="AA241" s="445">
        <f>'0₦'!BI244 + 0</f>
        <v/>
      </c>
      <c r="AB241" s="446">
        <f>'0₦'!BE244</f>
        <v/>
      </c>
      <c r="AC241" s="450">
        <f>'0₦'!BC244 + 0</f>
        <v/>
      </c>
      <c r="AD241" s="42">
        <f>'0₦'!BD244</f>
        <v/>
      </c>
      <c r="AE241" s="42">
        <f>'0₦'!AX244</f>
        <v/>
      </c>
      <c r="AF241" s="446">
        <f>hcbi!AA245+hcbi!Y245</f>
        <v/>
      </c>
      <c r="AG241" s="42">
        <f>'0₦'!AW244</f>
        <v/>
      </c>
      <c r="AH241" s="450">
        <f>0</f>
        <v/>
      </c>
      <c r="AK241" s="44" t="n"/>
      <c r="AL241" s="45" t="n"/>
    </row>
    <row r="242" ht="17.1" customHeight="1" s="37">
      <c r="B242" s="546">
        <f>B241+1</f>
        <v/>
      </c>
      <c r="C242" s="450" t="inlineStr">
        <is>
          <t>sf21</t>
        </is>
      </c>
      <c r="D242" s="257">
        <f>SUM(Y242:AH242)</f>
        <v/>
      </c>
      <c r="E242" s="54">
        <f>'0₦'!AF245</f>
        <v/>
      </c>
      <c r="F242" s="41">
        <f>'0₦'!AG245</f>
        <v/>
      </c>
      <c r="H242" s="410">
        <f>D242</f>
        <v/>
      </c>
      <c r="J242" s="42">
        <f>D242-H242</f>
        <v/>
      </c>
      <c r="L242" s="42">
        <f>D242-SUM(H242,J242)</f>
        <v/>
      </c>
      <c r="N242" s="42">
        <f>D242-SUM(H242,J242,L242,)</f>
        <v/>
      </c>
      <c r="P242" s="42">
        <f>D242-SUM(H242,J242,L242,N242)</f>
        <v/>
      </c>
      <c r="R242" s="42">
        <f>D242-SUM(H242,J242,L242,N242,P242)</f>
        <v/>
      </c>
      <c r="T242" s="42">
        <f>D242-SUM(H242,J242,L242,N242,P242,R242)</f>
        <v/>
      </c>
      <c r="V242" s="42">
        <f>D242-SUM(H242,J242,L242,N242,P242,R242,T242)</f>
        <v/>
      </c>
      <c r="X242" s="56">
        <f>D242-SUM(H242,J242,L242,N242,P242,R242,T242,V242)</f>
        <v/>
      </c>
      <c r="Y242" s="57">
        <f>12*COUNT(G242,I242,K242,M242,O242,Q242,U242,W242,S242)</f>
        <v/>
      </c>
      <c r="Z242" s="40">
        <f>IF(AND('0₦'!T245&lt;&gt;0,'0₦'!T245&lt;&gt;""),9,0) + 0</f>
        <v/>
      </c>
      <c r="AA242" s="445">
        <f>'0₦'!BI245 + 0</f>
        <v/>
      </c>
      <c r="AB242" s="446">
        <f>'0₦'!BE245</f>
        <v/>
      </c>
      <c r="AC242" s="450">
        <f>'0₦'!BC245 + 0</f>
        <v/>
      </c>
      <c r="AD242" s="42">
        <f>'0₦'!BD245</f>
        <v/>
      </c>
      <c r="AE242" s="42">
        <f>'0₦'!AX245</f>
        <v/>
      </c>
      <c r="AF242" s="446">
        <f>hcbi!AA246+hcbi!Y246</f>
        <v/>
      </c>
      <c r="AG242" s="42">
        <f>'0₦'!AW245</f>
        <v/>
      </c>
      <c r="AH242" s="450">
        <f>0</f>
        <v/>
      </c>
      <c r="AI242" s="445" t="n"/>
      <c r="AJ242" s="445" t="n"/>
      <c r="AK242" s="44" t="n"/>
      <c r="AL242" s="45" t="n"/>
    </row>
    <row r="243" ht="17.1" customHeight="1" s="37">
      <c r="B243" s="546">
        <f>B242+1</f>
        <v/>
      </c>
      <c r="C243" s="450" t="inlineStr">
        <is>
          <t>sf21</t>
        </is>
      </c>
      <c r="D243" s="257">
        <f>SUM(Y243:AH243)</f>
        <v/>
      </c>
      <c r="E243" s="54">
        <f>'0₦'!AF246</f>
        <v/>
      </c>
      <c r="F243" s="41">
        <f>'0₦'!AG246</f>
        <v/>
      </c>
      <c r="H243" s="410">
        <f>D243</f>
        <v/>
      </c>
      <c r="J243" s="42">
        <f>D243-H243</f>
        <v/>
      </c>
      <c r="L243" s="42">
        <f>D243-SUM(H243,J243)</f>
        <v/>
      </c>
      <c r="N243" s="42">
        <f>D243-SUM(H243,J243,L243,)</f>
        <v/>
      </c>
      <c r="P243" s="42">
        <f>D243-SUM(H243,J243,L243,N243)</f>
        <v/>
      </c>
      <c r="R243" s="42">
        <f>D243-SUM(H243,J243,L243,N243,P243)</f>
        <v/>
      </c>
      <c r="T243" s="42">
        <f>D243-SUM(H243,J243,L243,N243,P243,R243)</f>
        <v/>
      </c>
      <c r="V243" s="42">
        <f>D243-SUM(H243,J243,L243,N243,P243,R243,T243)</f>
        <v/>
      </c>
      <c r="X243" s="56">
        <f>D243-SUM(H243,J243,L243,N243,P243,R243,T243,V243)</f>
        <v/>
      </c>
      <c r="Y243" s="57">
        <f>12*COUNT(G243,I243,K243,M243,O243,Q243,U243,W243,S243)</f>
        <v/>
      </c>
      <c r="Z243" s="40">
        <f>IF(AND('0₦'!T246&lt;&gt;0,'0₦'!T246&lt;&gt;""),9,0) + 0</f>
        <v/>
      </c>
      <c r="AA243" s="445">
        <f>'0₦'!BI246 + 0</f>
        <v/>
      </c>
      <c r="AB243" s="446">
        <f>'0₦'!BE246</f>
        <v/>
      </c>
      <c r="AC243" s="450">
        <f>'0₦'!BC246 + 0</f>
        <v/>
      </c>
      <c r="AD243" s="42">
        <f>'0₦'!BD246</f>
        <v/>
      </c>
      <c r="AE243" s="42">
        <f>'0₦'!AX246</f>
        <v/>
      </c>
      <c r="AF243" s="446">
        <f>hcbi!AA247+hcbi!Y247</f>
        <v/>
      </c>
      <c r="AG243" s="42">
        <f>'0₦'!AW246</f>
        <v/>
      </c>
      <c r="AH243" s="450">
        <f>0</f>
        <v/>
      </c>
      <c r="AK243" s="44" t="n"/>
      <c r="AL243" s="45" t="n"/>
    </row>
    <row r="244" ht="17.1" customHeight="1" s="37">
      <c r="B244" s="546">
        <f>B243+1</f>
        <v/>
      </c>
      <c r="C244" s="450" t="inlineStr">
        <is>
          <t>sf21</t>
        </is>
      </c>
      <c r="D244" s="257">
        <f>SUM(Y244:AH244)</f>
        <v/>
      </c>
      <c r="E244" s="54">
        <f>'0₦'!AF247</f>
        <v/>
      </c>
      <c r="F244" s="41">
        <f>'0₦'!AG247</f>
        <v/>
      </c>
      <c r="H244" s="410">
        <f>D244</f>
        <v/>
      </c>
      <c r="J244" s="42">
        <f>D244-H244</f>
        <v/>
      </c>
      <c r="L244" s="42">
        <f>D244-SUM(H244,J244)</f>
        <v/>
      </c>
      <c r="N244" s="42">
        <f>D244-SUM(H244,J244,L244,)</f>
        <v/>
      </c>
      <c r="P244" s="42">
        <f>D244-SUM(H244,J244,L244,N244)</f>
        <v/>
      </c>
      <c r="R244" s="42">
        <f>D244-SUM(H244,J244,L244,N244,P244)</f>
        <v/>
      </c>
      <c r="T244" s="42">
        <f>D244-SUM(H244,J244,L244,N244,P244,R244)</f>
        <v/>
      </c>
      <c r="V244" s="42">
        <f>D244-SUM(H244,J244,L244,N244,P244,R244,T244)</f>
        <v/>
      </c>
      <c r="X244" s="56">
        <f>D244-SUM(H244,J244,L244,N244,P244,R244,T244,V244)</f>
        <v/>
      </c>
      <c r="Y244" s="57">
        <f>12*COUNT(G244,I244,K244,M244,O244,Q244,U244,W244,S244)</f>
        <v/>
      </c>
      <c r="Z244" s="40">
        <f>IF(AND('0₦'!T247&lt;&gt;0,'0₦'!T247&lt;&gt;""),9,0) + 0</f>
        <v/>
      </c>
      <c r="AA244" s="445">
        <f>'0₦'!BI247 + 0</f>
        <v/>
      </c>
      <c r="AB244" s="446">
        <f>'0₦'!BE247</f>
        <v/>
      </c>
      <c r="AC244" s="450">
        <f>'0₦'!BC247 + 0</f>
        <v/>
      </c>
      <c r="AD244" s="42">
        <f>'0₦'!BD247</f>
        <v/>
      </c>
      <c r="AE244" s="42">
        <f>'0₦'!AX247</f>
        <v/>
      </c>
      <c r="AF244" s="446">
        <f>hcbi!AA248+hcbi!Y248</f>
        <v/>
      </c>
      <c r="AG244" s="42">
        <f>'0₦'!AW247</f>
        <v/>
      </c>
      <c r="AH244" s="450">
        <f>0</f>
        <v/>
      </c>
      <c r="AI244" s="445" t="n"/>
      <c r="AJ244" s="445" t="n"/>
      <c r="AK244" s="44" t="n"/>
      <c r="AL244" s="45" t="n"/>
    </row>
    <row r="245" ht="17.1" customHeight="1" s="37">
      <c r="B245" s="546">
        <f>B244+1</f>
        <v/>
      </c>
      <c r="C245" s="450" t="inlineStr">
        <is>
          <t>sf21</t>
        </is>
      </c>
      <c r="D245" s="257">
        <f>SUM(Y245:AH245)</f>
        <v/>
      </c>
      <c r="E245" s="54">
        <f>'0₦'!AF248</f>
        <v/>
      </c>
      <c r="F245" s="41">
        <f>'0₦'!AG248</f>
        <v/>
      </c>
      <c r="H245" s="410">
        <f>D245</f>
        <v/>
      </c>
      <c r="J245" s="42">
        <f>D245-H245</f>
        <v/>
      </c>
      <c r="L245" s="42">
        <f>D245-SUM(H245,J245)</f>
        <v/>
      </c>
      <c r="N245" s="42">
        <f>D245-SUM(H245,J245,L245,)</f>
        <v/>
      </c>
      <c r="P245" s="42">
        <f>D245-SUM(H245,J245,L245,N245)</f>
        <v/>
      </c>
      <c r="R245" s="42">
        <f>D245-SUM(H245,J245,L245,N245,P245)</f>
        <v/>
      </c>
      <c r="T245" s="42">
        <f>D245-SUM(H245,J245,L245,N245,P245,R245)</f>
        <v/>
      </c>
      <c r="V245" s="42">
        <f>D245-SUM(H245,J245,L245,N245,P245,R245,T245)</f>
        <v/>
      </c>
      <c r="X245" s="56">
        <f>D245-SUM(H245,J245,L245,N245,P245,R245,T245,V245)</f>
        <v/>
      </c>
      <c r="Y245" s="57">
        <f>12*COUNT(G245,I245,K245,M245,O245,Q245,U245,W245,S245)</f>
        <v/>
      </c>
      <c r="Z245" s="40">
        <f>IF(AND('0₦'!T248&lt;&gt;0,'0₦'!T248&lt;&gt;""),9,0) + 0</f>
        <v/>
      </c>
      <c r="AA245" s="445">
        <f>'0₦'!BI248 + 0</f>
        <v/>
      </c>
      <c r="AB245" s="446">
        <f>'0₦'!BE248</f>
        <v/>
      </c>
      <c r="AC245" s="450">
        <f>'0₦'!BC248 + 0</f>
        <v/>
      </c>
      <c r="AD245" s="42">
        <f>'0₦'!BD248</f>
        <v/>
      </c>
      <c r="AE245" s="42">
        <f>'0₦'!AX248</f>
        <v/>
      </c>
      <c r="AF245" s="446">
        <f>hcbi!AA249+hcbi!Y249</f>
        <v/>
      </c>
      <c r="AG245" s="42">
        <f>'0₦'!AW248</f>
        <v/>
      </c>
      <c r="AH245" s="450">
        <f>0</f>
        <v/>
      </c>
      <c r="AK245" s="44" t="n"/>
      <c r="AL245" s="45" t="n"/>
    </row>
    <row r="246" ht="17.1" customHeight="1" s="37">
      <c r="A246" s="547" t="n"/>
      <c r="B246" s="546">
        <f>B245+1</f>
        <v/>
      </c>
      <c r="C246" s="450" t="inlineStr">
        <is>
          <t>sf21</t>
        </is>
      </c>
      <c r="D246" s="257">
        <f>SUM(Y246:AH246)</f>
        <v/>
      </c>
      <c r="E246" s="54">
        <f>'0₦'!AF249</f>
        <v/>
      </c>
      <c r="F246" s="41">
        <f>'0₦'!AG249</f>
        <v/>
      </c>
      <c r="H246" s="410">
        <f>D246</f>
        <v/>
      </c>
      <c r="J246" s="42">
        <f>D246-H246</f>
        <v/>
      </c>
      <c r="L246" s="42">
        <f>D246-SUM(H246,J246)</f>
        <v/>
      </c>
      <c r="N246" s="42">
        <f>D246-SUM(H246,J246,L246,)</f>
        <v/>
      </c>
      <c r="P246" s="42">
        <f>D246-SUM(H246,J246,L246,N246)</f>
        <v/>
      </c>
      <c r="R246" s="42">
        <f>D246-SUM(H246,J246,L246,N246,P246)</f>
        <v/>
      </c>
      <c r="T246" s="42">
        <f>D246-SUM(H246,J246,L246,N246,P246,R246)</f>
        <v/>
      </c>
      <c r="V246" s="42">
        <f>D246-SUM(H246,J246,L246,N246,P246,R246,T246)</f>
        <v/>
      </c>
      <c r="X246" s="56">
        <f>D246-SUM(H246,J246,L246,N246,P246,R246,T246,V246)</f>
        <v/>
      </c>
      <c r="Y246" s="57">
        <f>12*COUNT(G246,I246,K246,M246,O246,Q246,U246,W246,S246)</f>
        <v/>
      </c>
      <c r="Z246" s="40">
        <f>IF(AND('0₦'!T249&lt;&gt;0,'0₦'!T249&lt;&gt;""),9,0) + 0</f>
        <v/>
      </c>
      <c r="AA246" s="445">
        <f>'0₦'!BI249 + 0</f>
        <v/>
      </c>
      <c r="AB246" s="446">
        <f>'0₦'!BE249</f>
        <v/>
      </c>
      <c r="AC246" s="450">
        <f>'0₦'!BC249 + 0</f>
        <v/>
      </c>
      <c r="AD246" s="42">
        <f>'0₦'!BD249</f>
        <v/>
      </c>
      <c r="AE246" s="42">
        <f>'0₦'!AX249</f>
        <v/>
      </c>
      <c r="AF246" s="446">
        <f>hcbi!AA250+hcbi!Y250</f>
        <v/>
      </c>
      <c r="AG246" s="42">
        <f>'0₦'!AW249</f>
        <v/>
      </c>
      <c r="AH246" s="450">
        <f>0</f>
        <v/>
      </c>
      <c r="AI246" s="445" t="n"/>
      <c r="AJ246" s="445" t="n"/>
      <c r="AK246" s="44" t="n"/>
      <c r="AL246" s="45" t="n"/>
    </row>
    <row r="247" ht="17.1" customHeight="1" s="37">
      <c r="A247" s="441">
        <f>A240+0.1</f>
        <v/>
      </c>
      <c r="B247" s="546">
        <f>B246+1</f>
        <v/>
      </c>
      <c r="C247" s="450" t="inlineStr">
        <is>
          <t>sf21</t>
        </is>
      </c>
      <c r="D247" s="257">
        <f>SUM(Y247:AH247)</f>
        <v/>
      </c>
      <c r="E247" s="54">
        <f>'0₦'!AF250</f>
        <v/>
      </c>
      <c r="F247" s="41">
        <f>'0₦'!AG250</f>
        <v/>
      </c>
      <c r="H247" s="410">
        <f>D247</f>
        <v/>
      </c>
      <c r="J247" s="42">
        <f>D247-H247</f>
        <v/>
      </c>
      <c r="L247" s="42">
        <f>D247-SUM(H247,J247)</f>
        <v/>
      </c>
      <c r="N247" s="42">
        <f>D247-SUM(H247,J247,L247,)</f>
        <v/>
      </c>
      <c r="P247" s="42">
        <f>D247-SUM(H247,J247,L247,N247)</f>
        <v/>
      </c>
      <c r="R247" s="42">
        <f>D247-SUM(H247,J247,L247,N247,P247)</f>
        <v/>
      </c>
      <c r="T247" s="42">
        <f>D247-SUM(H247,J247,L247,N247,P247,R247)</f>
        <v/>
      </c>
      <c r="V247" s="42">
        <f>D247-SUM(H247,J247,L247,N247,P247,R247,T247)</f>
        <v/>
      </c>
      <c r="X247" s="56">
        <f>D247-SUM(H247,J247,L247,N247,P247,R247,T247,V247)</f>
        <v/>
      </c>
      <c r="Y247" s="57">
        <f>12*COUNT(G247,I247,K247,M247,O247,Q247,U247,W247,S247)</f>
        <v/>
      </c>
      <c r="Z247" s="40">
        <f>IF(AND('0₦'!T250&lt;&gt;0,'0₦'!T250&lt;&gt;""),9,0) + 0</f>
        <v/>
      </c>
      <c r="AA247" s="445">
        <f>'0₦'!BI250 + 0</f>
        <v/>
      </c>
      <c r="AB247" s="446">
        <f>'0₦'!BE250</f>
        <v/>
      </c>
      <c r="AC247" s="450">
        <f>'0₦'!BC250 + 0</f>
        <v/>
      </c>
      <c r="AD247" s="42">
        <f>'0₦'!BD250</f>
        <v/>
      </c>
      <c r="AE247" s="42">
        <f>'0₦'!AX250</f>
        <v/>
      </c>
      <c r="AF247" s="446">
        <f>hcbi!AA251+hcbi!Y251</f>
        <v/>
      </c>
      <c r="AG247" s="42">
        <f>'0₦'!AW250</f>
        <v/>
      </c>
      <c r="AH247" s="450">
        <f>0</f>
        <v/>
      </c>
      <c r="AK247" s="44" t="n"/>
      <c r="AL247" s="45" t="n"/>
    </row>
    <row r="248" ht="17.1" customHeight="1" s="37">
      <c r="B248" s="546">
        <f>B247+1</f>
        <v/>
      </c>
      <c r="C248" s="450" t="inlineStr">
        <is>
          <t>sf21</t>
        </is>
      </c>
      <c r="D248" s="257">
        <f>SUM(Y248:AH248)</f>
        <v/>
      </c>
      <c r="E248" s="54">
        <f>'0₦'!AF251</f>
        <v/>
      </c>
      <c r="F248" s="41">
        <f>'0₦'!AG251</f>
        <v/>
      </c>
      <c r="H248" s="410">
        <f>D248</f>
        <v/>
      </c>
      <c r="J248" s="42">
        <f>D248-H248</f>
        <v/>
      </c>
      <c r="L248" s="42">
        <f>D248-SUM(H248,J248)</f>
        <v/>
      </c>
      <c r="N248" s="42">
        <f>D248-SUM(H248,J248,L248,)</f>
        <v/>
      </c>
      <c r="P248" s="42">
        <f>D248-SUM(H248,J248,L248,N248)</f>
        <v/>
      </c>
      <c r="R248" s="42">
        <f>D248-SUM(H248,J248,L248,N248,P248)</f>
        <v/>
      </c>
      <c r="T248" s="42">
        <f>D248-SUM(H248,J248,L248,N248,P248,R248)</f>
        <v/>
      </c>
      <c r="V248" s="42">
        <f>D248-SUM(H248,J248,L248,N248,P248,R248,T248)</f>
        <v/>
      </c>
      <c r="X248" s="56">
        <f>D248-SUM(H248,J248,L248,N248,P248,R248,T248,V248)</f>
        <v/>
      </c>
      <c r="Y248" s="57">
        <f>12*COUNT(G248,I248,K248,M248,O248,Q248,U248,W248,S248)</f>
        <v/>
      </c>
      <c r="Z248" s="40">
        <f>IF(AND('0₦'!T251&lt;&gt;0,'0₦'!T251&lt;&gt;""),9,0) + 0</f>
        <v/>
      </c>
      <c r="AA248" s="445">
        <f>'0₦'!BI251 + 0</f>
        <v/>
      </c>
      <c r="AB248" s="446">
        <f>'0₦'!BE251</f>
        <v/>
      </c>
      <c r="AC248" s="450">
        <f>'0₦'!BC251 + 0</f>
        <v/>
      </c>
      <c r="AD248" s="42">
        <f>'0₦'!BD251</f>
        <v/>
      </c>
      <c r="AE248" s="42">
        <f>'0₦'!AX251</f>
        <v/>
      </c>
      <c r="AF248" s="446">
        <f>hcbi!AA252+hcbi!Y252</f>
        <v/>
      </c>
      <c r="AG248" s="42">
        <f>'0₦'!AW251</f>
        <v/>
      </c>
      <c r="AH248" s="450">
        <f>0</f>
        <v/>
      </c>
      <c r="AI248" s="445" t="n"/>
      <c r="AJ248" s="445" t="n"/>
      <c r="AK248" s="44" t="n"/>
      <c r="AL248" s="45" t="n"/>
      <c r="AN248" s="93" t="n"/>
    </row>
    <row r="249" ht="17.1" customHeight="1" s="37">
      <c r="B249" s="546">
        <f>B248+1</f>
        <v/>
      </c>
      <c r="C249" s="450" t="inlineStr">
        <is>
          <t>sf21</t>
        </is>
      </c>
      <c r="D249" s="257">
        <f>SUM(Y249:AH249)</f>
        <v/>
      </c>
      <c r="E249" s="54">
        <f>'0₦'!AF252</f>
        <v/>
      </c>
      <c r="F249" s="41">
        <f>'0₦'!AG252</f>
        <v/>
      </c>
      <c r="H249" s="410">
        <f>D249</f>
        <v/>
      </c>
      <c r="J249" s="42">
        <f>D249-H249</f>
        <v/>
      </c>
      <c r="L249" s="42">
        <f>D249-SUM(H249,J249)</f>
        <v/>
      </c>
      <c r="N249" s="42">
        <f>D249-SUM(H249,J249,L249,)</f>
        <v/>
      </c>
      <c r="P249" s="42">
        <f>D249-SUM(H249,J249,L249,N249)</f>
        <v/>
      </c>
      <c r="R249" s="42">
        <f>D249-SUM(H249,J249,L249,N249,P249)</f>
        <v/>
      </c>
      <c r="T249" s="42">
        <f>D249-SUM(H249,J249,L249,N249,P249,R249)</f>
        <v/>
      </c>
      <c r="V249" s="42">
        <f>D249-SUM(H249,J249,L249,N249,P249,R249,T249)</f>
        <v/>
      </c>
      <c r="X249" s="56">
        <f>D249-SUM(H249,J249,L249,N249,P249,R249,T249,V249)</f>
        <v/>
      </c>
      <c r="Y249" s="57">
        <f>12*COUNT(G249,I249,K249,M249,O249,Q249,U249,W249,S249)</f>
        <v/>
      </c>
      <c r="Z249" s="40">
        <f>IF(AND('0₦'!T252&lt;&gt;0,'0₦'!T252&lt;&gt;""),9,0) + 0</f>
        <v/>
      </c>
      <c r="AA249" s="445">
        <f>'0₦'!BI252 + 0</f>
        <v/>
      </c>
      <c r="AB249" s="446">
        <f>'0₦'!BE252</f>
        <v/>
      </c>
      <c r="AC249" s="450">
        <f>'0₦'!BC252 + 0</f>
        <v/>
      </c>
      <c r="AD249" s="42">
        <f>'0₦'!BD252</f>
        <v/>
      </c>
      <c r="AE249" s="42">
        <f>'0₦'!AX252</f>
        <v/>
      </c>
      <c r="AF249" s="446">
        <f>hcbi!AA253+hcbi!Y253</f>
        <v/>
      </c>
      <c r="AG249" s="42">
        <f>'0₦'!AW252</f>
        <v/>
      </c>
      <c r="AH249" s="450">
        <f>0</f>
        <v/>
      </c>
      <c r="AK249" s="44" t="n"/>
      <c r="AL249" s="45" t="n"/>
    </row>
    <row r="250" ht="17.1" customHeight="1" s="37">
      <c r="B250" s="546">
        <f>B249+1</f>
        <v/>
      </c>
      <c r="C250" s="450" t="inlineStr">
        <is>
          <t>sf21</t>
        </is>
      </c>
      <c r="D250" s="257">
        <f>SUM(Y250:AH250)</f>
        <v/>
      </c>
      <c r="E250" s="54">
        <f>'0₦'!AF253</f>
        <v/>
      </c>
      <c r="F250" s="41">
        <f>'0₦'!AG253</f>
        <v/>
      </c>
      <c r="H250" s="410">
        <f>D250</f>
        <v/>
      </c>
      <c r="J250" s="42">
        <f>D250-H250</f>
        <v/>
      </c>
      <c r="L250" s="42">
        <f>D250-SUM(H250,J250)</f>
        <v/>
      </c>
      <c r="N250" s="42">
        <f>D250-SUM(H250,J250,L250,)</f>
        <v/>
      </c>
      <c r="P250" s="42">
        <f>D250-SUM(H250,J250,L250,N250)</f>
        <v/>
      </c>
      <c r="R250" s="42">
        <f>D250-SUM(H250,J250,L250,N250,P250)</f>
        <v/>
      </c>
      <c r="T250" s="42">
        <f>D250-SUM(H250,J250,L250,N250,P250,R250)</f>
        <v/>
      </c>
      <c r="V250" s="42">
        <f>D250-SUM(H250,J250,L250,N250,P250,R250,T250)</f>
        <v/>
      </c>
      <c r="X250" s="56">
        <f>D250-SUM(H250,J250,L250,N250,P250,R250,T250,V250)</f>
        <v/>
      </c>
      <c r="Y250" s="57">
        <f>12*COUNT(G250,I250,K250,M250,O250,Q250,U250,W250,S250)</f>
        <v/>
      </c>
      <c r="Z250" s="40">
        <f>IF(AND('0₦'!T253&lt;&gt;0,'0₦'!T253&lt;&gt;""),9,0) + 0</f>
        <v/>
      </c>
      <c r="AA250" s="445">
        <f>'0₦'!BI253 + 0</f>
        <v/>
      </c>
      <c r="AB250" s="446">
        <f>'0₦'!BE253</f>
        <v/>
      </c>
      <c r="AC250" s="450">
        <f>'0₦'!BC253 + 0</f>
        <v/>
      </c>
      <c r="AD250" s="42">
        <f>'0₦'!BD253</f>
        <v/>
      </c>
      <c r="AE250" s="42">
        <f>'0₦'!AX253</f>
        <v/>
      </c>
      <c r="AF250" s="446">
        <f>hcbi!AA254+hcbi!Y254</f>
        <v/>
      </c>
      <c r="AG250" s="42">
        <f>'0₦'!AW253</f>
        <v/>
      </c>
      <c r="AH250" s="450">
        <f>0</f>
        <v/>
      </c>
      <c r="AI250" s="445" t="n"/>
      <c r="AJ250" s="445" t="n"/>
      <c r="AK250" s="44" t="n"/>
      <c r="AL250" s="45" t="n"/>
    </row>
    <row r="251" ht="17.1" customHeight="1" s="37">
      <c r="B251" s="546">
        <f>B250+1</f>
        <v/>
      </c>
      <c r="C251" s="450" t="inlineStr">
        <is>
          <t>sf21</t>
        </is>
      </c>
      <c r="D251" s="257">
        <f>SUM(Y251:AH251)</f>
        <v/>
      </c>
      <c r="E251" s="54">
        <f>'0₦'!AF254</f>
        <v/>
      </c>
      <c r="F251" s="41">
        <f>'0₦'!AG254</f>
        <v/>
      </c>
      <c r="H251" s="410">
        <f>D251</f>
        <v/>
      </c>
      <c r="J251" s="42">
        <f>D251-H251</f>
        <v/>
      </c>
      <c r="L251" s="42">
        <f>D251-SUM(H251,J251)</f>
        <v/>
      </c>
      <c r="N251" s="42">
        <f>D251-SUM(H251,J251,L251,)</f>
        <v/>
      </c>
      <c r="P251" s="42">
        <f>D251-SUM(H251,J251,L251,N251)</f>
        <v/>
      </c>
      <c r="R251" s="42">
        <f>D251-SUM(H251,J251,L251,N251,P251)</f>
        <v/>
      </c>
      <c r="T251" s="42">
        <f>D251-SUM(H251,J251,L251,N251,P251,R251)</f>
        <v/>
      </c>
      <c r="V251" s="42">
        <f>D251-SUM(H251,J251,L251,N251,P251,R251,T251)</f>
        <v/>
      </c>
      <c r="X251" s="56">
        <f>D251-SUM(H251,J251,L251,N251,P251,R251,T251,V251)</f>
        <v/>
      </c>
      <c r="Y251" s="57">
        <f>12*COUNT(G251,I251,K251,M251,O251,Q251,U251,W251,S251)</f>
        <v/>
      </c>
      <c r="Z251" s="40">
        <f>IF(AND('0₦'!T254&lt;&gt;0,'0₦'!T254&lt;&gt;""),9,0) + 0</f>
        <v/>
      </c>
      <c r="AA251" s="445">
        <f>'0₦'!BI254 + 0</f>
        <v/>
      </c>
      <c r="AB251" s="446">
        <f>'0₦'!BE254</f>
        <v/>
      </c>
      <c r="AC251" s="450">
        <f>'0₦'!BC254 + 0</f>
        <v/>
      </c>
      <c r="AD251" s="42">
        <f>'0₦'!BD254</f>
        <v/>
      </c>
      <c r="AE251" s="42">
        <f>'0₦'!AX254</f>
        <v/>
      </c>
      <c r="AF251" s="446">
        <f>hcbi!AA255+hcbi!Y255</f>
        <v/>
      </c>
      <c r="AG251" s="42">
        <f>'0₦'!AW254</f>
        <v/>
      </c>
      <c r="AH251" s="450">
        <f>0</f>
        <v/>
      </c>
      <c r="AK251" s="44" t="n"/>
      <c r="AL251" s="45" t="n"/>
    </row>
    <row r="252" ht="17.1" customHeight="1" s="37">
      <c r="B252" s="546">
        <f>B251+1</f>
        <v/>
      </c>
      <c r="C252" s="450" t="inlineStr">
        <is>
          <t>sf21</t>
        </is>
      </c>
      <c r="D252" s="257">
        <f>SUM(Y252:AH252)</f>
        <v/>
      </c>
      <c r="E252" s="54">
        <f>'0₦'!AF255</f>
        <v/>
      </c>
      <c r="F252" s="41">
        <f>'0₦'!AG255</f>
        <v/>
      </c>
      <c r="H252" s="410">
        <f>D252</f>
        <v/>
      </c>
      <c r="J252" s="42">
        <f>D252-H252</f>
        <v/>
      </c>
      <c r="L252" s="42">
        <f>D252-SUM(H252,J252)</f>
        <v/>
      </c>
      <c r="N252" s="42">
        <f>D252-SUM(H252,J252,L252,)</f>
        <v/>
      </c>
      <c r="P252" s="42">
        <f>D252-SUM(H252,J252,L252,N252)</f>
        <v/>
      </c>
      <c r="R252" s="42">
        <f>D252-SUM(H252,J252,L252,N252,P252)</f>
        <v/>
      </c>
      <c r="T252" s="42">
        <f>D252-SUM(H252,J252,L252,N252,P252,R252)</f>
        <v/>
      </c>
      <c r="V252" s="42">
        <f>D252-SUM(H252,J252,L252,N252,P252,R252,T252)</f>
        <v/>
      </c>
      <c r="X252" s="56">
        <f>D252-SUM(H252,J252,L252,N252,P252,R252,T252,V252)</f>
        <v/>
      </c>
      <c r="Y252" s="57">
        <f>12*COUNT(G252,I252,K252,M252,O252,Q252,U252,W252,S252)</f>
        <v/>
      </c>
      <c r="Z252" s="40">
        <f>IF(AND('0₦'!T255&lt;&gt;0,'0₦'!T255&lt;&gt;""),9,0) + 0</f>
        <v/>
      </c>
      <c r="AA252" s="445">
        <f>'0₦'!BI255 + 0</f>
        <v/>
      </c>
      <c r="AB252" s="446">
        <f>'0₦'!BE255</f>
        <v/>
      </c>
      <c r="AC252" s="450">
        <f>'0₦'!BC255 + 0</f>
        <v/>
      </c>
      <c r="AD252" s="42">
        <f>'0₦'!BD255</f>
        <v/>
      </c>
      <c r="AE252" s="42">
        <f>'0₦'!AX255</f>
        <v/>
      </c>
      <c r="AF252" s="446">
        <f>hcbi!AA256+hcbi!Y256</f>
        <v/>
      </c>
      <c r="AG252" s="42">
        <f>'0₦'!AW255</f>
        <v/>
      </c>
      <c r="AH252" s="450">
        <f>0</f>
        <v/>
      </c>
      <c r="AI252" s="445" t="n"/>
      <c r="AJ252" s="445" t="n"/>
      <c r="AK252" s="44" t="n"/>
      <c r="AL252" s="45" t="n"/>
    </row>
    <row r="253" ht="17.1" customHeight="1" s="37">
      <c r="A253" s="547" t="n"/>
      <c r="B253" s="546">
        <f>B252+1</f>
        <v/>
      </c>
      <c r="C253" s="450" t="inlineStr">
        <is>
          <t>sf21</t>
        </is>
      </c>
      <c r="D253" s="257">
        <f>SUM(Y253:AH253)</f>
        <v/>
      </c>
      <c r="E253" s="54">
        <f>'0₦'!AF256</f>
        <v/>
      </c>
      <c r="F253" s="41">
        <f>'0₦'!AG256</f>
        <v/>
      </c>
      <c r="H253" s="410">
        <f>D253</f>
        <v/>
      </c>
      <c r="J253" s="42">
        <f>D253-H253</f>
        <v/>
      </c>
      <c r="L253" s="42">
        <f>D253-SUM(H253,J253)</f>
        <v/>
      </c>
      <c r="N253" s="42">
        <f>D253-SUM(H253,J253,L253,)</f>
        <v/>
      </c>
      <c r="P253" s="42">
        <f>D253-SUM(H253,J253,L253,N253)</f>
        <v/>
      </c>
      <c r="R253" s="42">
        <f>D253-SUM(H253,J253,L253,N253,P253)</f>
        <v/>
      </c>
      <c r="T253" s="42">
        <f>D253-SUM(H253,J253,L253,N253,P253,R253)</f>
        <v/>
      </c>
      <c r="V253" s="42">
        <f>D253-SUM(H253,J253,L253,N253,P253,R253,T253)</f>
        <v/>
      </c>
      <c r="X253" s="56">
        <f>D253-SUM(H253,J253,L253,N253,P253,R253,T253,V253)</f>
        <v/>
      </c>
      <c r="Y253" s="57">
        <f>12*COUNT(G253,I253,K253,M253,O253,Q253,U253,W253,S253)</f>
        <v/>
      </c>
      <c r="Z253" s="40">
        <f>IF(AND('0₦'!T256&lt;&gt;0,'0₦'!T256&lt;&gt;""),9,0) + 0</f>
        <v/>
      </c>
      <c r="AA253" s="445">
        <f>'0₦'!BI256 + 0</f>
        <v/>
      </c>
      <c r="AB253" s="446">
        <f>'0₦'!BE256</f>
        <v/>
      </c>
      <c r="AC253" s="450">
        <f>'0₦'!BC256 + 0</f>
        <v/>
      </c>
      <c r="AD253" s="42">
        <f>'0₦'!BD256</f>
        <v/>
      </c>
      <c r="AE253" s="42">
        <f>'0₦'!AX256</f>
        <v/>
      </c>
      <c r="AF253" s="446">
        <f>hcbi!AA257+hcbi!Y257</f>
        <v/>
      </c>
      <c r="AG253" s="42">
        <f>'0₦'!AW256</f>
        <v/>
      </c>
      <c r="AH253" s="450">
        <f>0</f>
        <v/>
      </c>
      <c r="AK253" s="44" t="n"/>
      <c r="AL253" s="45" t="n"/>
    </row>
    <row r="254" ht="17.1" customHeight="1" s="37">
      <c r="A254" s="441">
        <f>A247+0.1</f>
        <v/>
      </c>
      <c r="B254" s="546">
        <f>B253+1</f>
        <v/>
      </c>
      <c r="C254" s="450" t="inlineStr">
        <is>
          <t>sf21</t>
        </is>
      </c>
      <c r="D254" s="257">
        <f>SUM(Y254:AH254)</f>
        <v/>
      </c>
      <c r="E254" s="54">
        <f>'0₦'!AF257</f>
        <v/>
      </c>
      <c r="F254" s="41">
        <f>'0₦'!AG257</f>
        <v/>
      </c>
      <c r="H254" s="410">
        <f>D254</f>
        <v/>
      </c>
      <c r="J254" s="42">
        <f>D254-H254</f>
        <v/>
      </c>
      <c r="L254" s="42">
        <f>D254-SUM(H254,J254)</f>
        <v/>
      </c>
      <c r="N254" s="42">
        <f>D254-SUM(H254,J254,L254,)</f>
        <v/>
      </c>
      <c r="P254" s="42">
        <f>D254-SUM(H254,J254,L254,N254)</f>
        <v/>
      </c>
      <c r="R254" s="42">
        <f>D254-SUM(H254,J254,L254,N254,P254)</f>
        <v/>
      </c>
      <c r="T254" s="42">
        <f>D254-SUM(H254,J254,L254,N254,P254,R254)</f>
        <v/>
      </c>
      <c r="V254" s="42">
        <f>D254-SUM(H254,J254,L254,N254,P254,R254,T254)</f>
        <v/>
      </c>
      <c r="X254" s="56">
        <f>D254-SUM(H254,J254,L254,N254,P254,R254,T254,V254)</f>
        <v/>
      </c>
      <c r="Y254" s="57">
        <f>12*COUNT(G254,I254,K254,M254,O254,Q254,U254,W254,S254)</f>
        <v/>
      </c>
      <c r="Z254" s="40">
        <f>IF(AND('0₦'!T257&lt;&gt;0,'0₦'!T257&lt;&gt;""),9,0) + 0</f>
        <v/>
      </c>
      <c r="AA254" s="445">
        <f>'0₦'!BI257 + 0</f>
        <v/>
      </c>
      <c r="AB254" s="446">
        <f>'0₦'!BE257</f>
        <v/>
      </c>
      <c r="AC254" s="450">
        <f>'0₦'!BC257 + 0</f>
        <v/>
      </c>
      <c r="AD254" s="42">
        <f>'0₦'!BD257</f>
        <v/>
      </c>
      <c r="AE254" s="42">
        <f>'0₦'!AX257</f>
        <v/>
      </c>
      <c r="AF254" s="446">
        <f>hcbi!AA258+hcbi!Y258</f>
        <v/>
      </c>
      <c r="AG254" s="42">
        <f>'0₦'!AW257</f>
        <v/>
      </c>
      <c r="AH254" s="450">
        <f>0</f>
        <v/>
      </c>
      <c r="AI254" s="445" t="n"/>
      <c r="AJ254" s="445" t="n"/>
      <c r="AK254" s="44" t="n"/>
      <c r="AL254" s="45" t="n"/>
    </row>
    <row r="255" ht="17.1" customHeight="1" s="37">
      <c r="B255" s="546">
        <f>B254+1</f>
        <v/>
      </c>
      <c r="C255" s="450" t="inlineStr">
        <is>
          <t>sf21</t>
        </is>
      </c>
      <c r="D255" s="257">
        <f>SUM(Y255:AH255)</f>
        <v/>
      </c>
      <c r="E255" s="54">
        <f>'0₦'!AF258</f>
        <v/>
      </c>
      <c r="F255" s="41">
        <f>'0₦'!AG258</f>
        <v/>
      </c>
      <c r="H255" s="410">
        <f>D255</f>
        <v/>
      </c>
      <c r="J255" s="42">
        <f>D255-H255</f>
        <v/>
      </c>
      <c r="L255" s="42">
        <f>D255-SUM(H255,J255)</f>
        <v/>
      </c>
      <c r="N255" s="42">
        <f>D255-SUM(H255,J255,L255,)</f>
        <v/>
      </c>
      <c r="P255" s="42">
        <f>D255-SUM(H255,J255,L255,N255)</f>
        <v/>
      </c>
      <c r="R255" s="42">
        <f>D255-SUM(H255,J255,L255,N255,P255)</f>
        <v/>
      </c>
      <c r="T255" s="42">
        <f>D255-SUM(H255,J255,L255,N255,P255,R255)</f>
        <v/>
      </c>
      <c r="V255" s="42">
        <f>D255-SUM(H255,J255,L255,N255,P255,R255,T255)</f>
        <v/>
      </c>
      <c r="X255" s="56">
        <f>D255-SUM(H255,J255,L255,N255,P255,R255,T255,V255)</f>
        <v/>
      </c>
      <c r="Y255" s="57">
        <f>12*COUNT(G255,I255,K255,M255,O255,Q255,U255,W255,S255)</f>
        <v/>
      </c>
      <c r="Z255" s="40">
        <f>IF(AND('0₦'!T258&lt;&gt;0,'0₦'!T258&lt;&gt;""),9,0) + 0</f>
        <v/>
      </c>
      <c r="AA255" s="445">
        <f>'0₦'!BI258 + 0</f>
        <v/>
      </c>
      <c r="AB255" s="446">
        <f>'0₦'!BE258</f>
        <v/>
      </c>
      <c r="AC255" s="450">
        <f>'0₦'!BC258 + 0</f>
        <v/>
      </c>
      <c r="AD255" s="42">
        <f>'0₦'!BD258</f>
        <v/>
      </c>
      <c r="AE255" s="42">
        <f>'0₦'!AX258</f>
        <v/>
      </c>
      <c r="AF255" s="446">
        <f>hcbi!AA259+hcbi!Y259</f>
        <v/>
      </c>
      <c r="AG255" s="42">
        <f>'0₦'!AW258</f>
        <v/>
      </c>
      <c r="AH255" s="450">
        <f>0</f>
        <v/>
      </c>
      <c r="AK255" s="44" t="n"/>
      <c r="AL255" s="45" t="n"/>
    </row>
    <row r="256" ht="17.1" customHeight="1" s="37">
      <c r="B256" s="546">
        <f>B255+1</f>
        <v/>
      </c>
      <c r="C256" s="450" t="inlineStr">
        <is>
          <t>sf21</t>
        </is>
      </c>
      <c r="D256" s="257">
        <f>SUM(Y256:AH256)</f>
        <v/>
      </c>
      <c r="E256" s="54">
        <f>'0₦'!AF259</f>
        <v/>
      </c>
      <c r="F256" s="41">
        <f>'0₦'!AG259</f>
        <v/>
      </c>
      <c r="H256" s="410">
        <f>D256</f>
        <v/>
      </c>
      <c r="J256" s="42">
        <f>D256-H256</f>
        <v/>
      </c>
      <c r="L256" s="42">
        <f>D256-SUM(H256,J256)</f>
        <v/>
      </c>
      <c r="N256" s="42">
        <f>D256-SUM(H256,J256,L256,)</f>
        <v/>
      </c>
      <c r="P256" s="42">
        <f>D256-SUM(H256,J256,L256,N256)</f>
        <v/>
      </c>
      <c r="R256" s="42">
        <f>D256-SUM(H256,J256,L256,N256,P256)</f>
        <v/>
      </c>
      <c r="T256" s="42">
        <f>D256-SUM(H256,J256,L256,N256,P256,R256)</f>
        <v/>
      </c>
      <c r="V256" s="42">
        <f>D256-SUM(H256,J256,L256,N256,P256,R256,T256)</f>
        <v/>
      </c>
      <c r="X256" s="56">
        <f>D256-SUM(H256,J256,L256,N256,P256,R256,T256,V256)</f>
        <v/>
      </c>
      <c r="Y256" s="57">
        <f>12*COUNT(G256,I256,K256,M256,O256,Q256,U256,W256,S256)</f>
        <v/>
      </c>
      <c r="Z256" s="40">
        <f>IF(AND('0₦'!T259&lt;&gt;0,'0₦'!T259&lt;&gt;""),9,0) + 0</f>
        <v/>
      </c>
      <c r="AA256" s="445">
        <f>'0₦'!BI259 + 0</f>
        <v/>
      </c>
      <c r="AB256" s="446">
        <f>'0₦'!BE259</f>
        <v/>
      </c>
      <c r="AC256" s="450">
        <f>'0₦'!BC259 + 0</f>
        <v/>
      </c>
      <c r="AD256" s="42">
        <f>'0₦'!BD259</f>
        <v/>
      </c>
      <c r="AE256" s="42">
        <f>'0₦'!AX259</f>
        <v/>
      </c>
      <c r="AF256" s="446">
        <f>hcbi!AA260+hcbi!Y260</f>
        <v/>
      </c>
      <c r="AG256" s="42">
        <f>'0₦'!AW259</f>
        <v/>
      </c>
      <c r="AH256" s="450">
        <f>0</f>
        <v/>
      </c>
      <c r="AI256" s="445" t="n"/>
      <c r="AJ256" s="445" t="n"/>
      <c r="AK256" s="44" t="n"/>
      <c r="AL256" s="45" t="n"/>
    </row>
    <row r="257" ht="17.1" customHeight="1" s="37">
      <c r="B257" s="546">
        <f>B256+1</f>
        <v/>
      </c>
      <c r="C257" s="450" t="inlineStr">
        <is>
          <t>sf21</t>
        </is>
      </c>
      <c r="D257" s="257">
        <f>SUM(Y257:AH257)</f>
        <v/>
      </c>
      <c r="E257" s="54">
        <f>'0₦'!AF260</f>
        <v/>
      </c>
      <c r="F257" s="41">
        <f>'0₦'!AG260</f>
        <v/>
      </c>
      <c r="H257" s="410">
        <f>D257</f>
        <v/>
      </c>
      <c r="J257" s="42">
        <f>D257-H257</f>
        <v/>
      </c>
      <c r="L257" s="42">
        <f>D257-SUM(H257,J257)</f>
        <v/>
      </c>
      <c r="N257" s="42">
        <f>D257-SUM(H257,J257,L257,)</f>
        <v/>
      </c>
      <c r="P257" s="42">
        <f>D257-SUM(H257,J257,L257,N257)</f>
        <v/>
      </c>
      <c r="R257" s="42">
        <f>D257-SUM(H257,J257,L257,N257,P257)</f>
        <v/>
      </c>
      <c r="T257" s="42">
        <f>D257-SUM(H257,J257,L257,N257,P257,R257)</f>
        <v/>
      </c>
      <c r="V257" s="42">
        <f>D257-SUM(H257,J257,L257,N257,P257,R257,T257)</f>
        <v/>
      </c>
      <c r="X257" s="56">
        <f>D257-SUM(H257,J257,L257,N257,P257,R257,T257,V257)</f>
        <v/>
      </c>
      <c r="Y257" s="57">
        <f>12*COUNT(G257,I257,K257,M257,O257,Q257,U257,W257,S257)</f>
        <v/>
      </c>
      <c r="Z257" s="40">
        <f>IF(AND('0₦'!T260&lt;&gt;0,'0₦'!T260&lt;&gt;""),9,0) + 0</f>
        <v/>
      </c>
      <c r="AA257" s="445">
        <f>'0₦'!BI260 + 0</f>
        <v/>
      </c>
      <c r="AB257" s="446">
        <f>'0₦'!BE260</f>
        <v/>
      </c>
      <c r="AC257" s="450">
        <f>'0₦'!BC260 + 0</f>
        <v/>
      </c>
      <c r="AD257" s="42">
        <f>'0₦'!BD260</f>
        <v/>
      </c>
      <c r="AE257" s="42">
        <f>'0₦'!AX260</f>
        <v/>
      </c>
      <c r="AF257" s="446">
        <f>hcbi!AA261+hcbi!Y261</f>
        <v/>
      </c>
      <c r="AG257" s="42">
        <f>'0₦'!AW260</f>
        <v/>
      </c>
      <c r="AH257" s="450">
        <f>0</f>
        <v/>
      </c>
      <c r="AK257" s="44" t="n"/>
      <c r="AL257" s="45" t="n"/>
    </row>
    <row r="258" ht="17.1" customHeight="1" s="37">
      <c r="B258" s="546">
        <f>B257+1</f>
        <v/>
      </c>
      <c r="C258" s="450" t="inlineStr">
        <is>
          <t>sf21</t>
        </is>
      </c>
      <c r="D258" s="257">
        <f>SUM(Y258:AH258)</f>
        <v/>
      </c>
      <c r="E258" s="54">
        <f>'0₦'!AF261</f>
        <v/>
      </c>
      <c r="F258" s="41">
        <f>'0₦'!AG261</f>
        <v/>
      </c>
      <c r="H258" s="410">
        <f>D258</f>
        <v/>
      </c>
      <c r="J258" s="42">
        <f>D258-H258</f>
        <v/>
      </c>
      <c r="L258" s="42">
        <f>D258-SUM(H258,J258)</f>
        <v/>
      </c>
      <c r="N258" s="42">
        <f>D258-SUM(H258,J258,L258,)</f>
        <v/>
      </c>
      <c r="P258" s="42">
        <f>D258-SUM(H258,J258,L258,N258)</f>
        <v/>
      </c>
      <c r="R258" s="42">
        <f>D258-SUM(H258,J258,L258,N258,P258)</f>
        <v/>
      </c>
      <c r="T258" s="42">
        <f>D258-SUM(H258,J258,L258,N258,P258,R258)</f>
        <v/>
      </c>
      <c r="V258" s="42">
        <f>D258-SUM(H258,J258,L258,N258,P258,R258,T258)</f>
        <v/>
      </c>
      <c r="X258" s="56">
        <f>D258-SUM(H258,J258,L258,N258,P258,R258,T258,V258)</f>
        <v/>
      </c>
      <c r="Y258" s="57">
        <f>12*COUNT(G258,I258,K258,M258,O258,Q258,U258,W258,S258)</f>
        <v/>
      </c>
      <c r="Z258" s="40">
        <f>IF(AND('0₦'!T261&lt;&gt;0,'0₦'!T261&lt;&gt;""),9,0) + 0</f>
        <v/>
      </c>
      <c r="AA258" s="445">
        <f>'0₦'!BI261 + 0</f>
        <v/>
      </c>
      <c r="AB258" s="446">
        <f>'0₦'!BE261</f>
        <v/>
      </c>
      <c r="AC258" s="450">
        <f>'0₦'!BC261 + 0</f>
        <v/>
      </c>
      <c r="AD258" s="42">
        <f>'0₦'!BD261</f>
        <v/>
      </c>
      <c r="AE258" s="42">
        <f>'0₦'!AX261</f>
        <v/>
      </c>
      <c r="AF258" s="446">
        <f>hcbi!AA262+hcbi!Y262</f>
        <v/>
      </c>
      <c r="AG258" s="42">
        <f>'0₦'!AW261</f>
        <v/>
      </c>
      <c r="AH258" s="450">
        <f>0</f>
        <v/>
      </c>
      <c r="AI258" s="445" t="n"/>
      <c r="AJ258" s="445" t="n"/>
      <c r="AK258" s="44" t="n"/>
      <c r="AL258" s="45" t="n"/>
    </row>
    <row r="259" ht="17.1" customHeight="1" s="37">
      <c r="B259" s="546">
        <f>B258+1</f>
        <v/>
      </c>
      <c r="C259" s="450" t="inlineStr">
        <is>
          <t>sf21</t>
        </is>
      </c>
      <c r="D259" s="257">
        <f>SUM(Y259:AH259)</f>
        <v/>
      </c>
      <c r="E259" s="54">
        <f>'0₦'!AF262</f>
        <v/>
      </c>
      <c r="F259" s="41">
        <f>'0₦'!AG262</f>
        <v/>
      </c>
      <c r="H259" s="410">
        <f>D259</f>
        <v/>
      </c>
      <c r="J259" s="42">
        <f>D259-H259</f>
        <v/>
      </c>
      <c r="L259" s="42">
        <f>D259-SUM(H259,J259)</f>
        <v/>
      </c>
      <c r="N259" s="42">
        <f>D259-SUM(H259,J259,L259,)</f>
        <v/>
      </c>
      <c r="P259" s="42">
        <f>D259-SUM(H259,J259,L259,N259)</f>
        <v/>
      </c>
      <c r="R259" s="42">
        <f>D259-SUM(H259,J259,L259,N259,P259)</f>
        <v/>
      </c>
      <c r="T259" s="42">
        <f>D259-SUM(H259,J259,L259,N259,P259,R259)</f>
        <v/>
      </c>
      <c r="V259" s="42">
        <f>D259-SUM(H259,J259,L259,N259,P259,R259,T259)</f>
        <v/>
      </c>
      <c r="X259" s="56">
        <f>D259-SUM(H259,J259,L259,N259,P259,R259,T259,V259)</f>
        <v/>
      </c>
      <c r="Y259" s="57">
        <f>12*COUNT(G259,I259,K259,M259,O259,Q259,U259,W259,S259)</f>
        <v/>
      </c>
      <c r="Z259" s="40">
        <f>IF(AND('0₦'!T262&lt;&gt;0,'0₦'!T262&lt;&gt;""),9,0) + 0</f>
        <v/>
      </c>
      <c r="AA259" s="445">
        <f>'0₦'!BI262 + 0</f>
        <v/>
      </c>
      <c r="AB259" s="446">
        <f>'0₦'!BE262</f>
        <v/>
      </c>
      <c r="AC259" s="450">
        <f>'0₦'!BC262 + 0</f>
        <v/>
      </c>
      <c r="AD259" s="42">
        <f>'0₦'!BD262</f>
        <v/>
      </c>
      <c r="AE259" s="42">
        <f>'0₦'!AX262</f>
        <v/>
      </c>
      <c r="AF259" s="446">
        <f>hcbi!AA263+hcbi!Y263</f>
        <v/>
      </c>
      <c r="AG259" s="42">
        <f>'0₦'!AW262</f>
        <v/>
      </c>
      <c r="AH259" s="450">
        <f>0</f>
        <v/>
      </c>
      <c r="AK259" s="44" t="n"/>
      <c r="AL259" s="45" t="n"/>
    </row>
    <row r="260" ht="17.1" customHeight="1" s="37">
      <c r="A260" s="547" t="n"/>
      <c r="B260" s="546">
        <f>B259+1</f>
        <v/>
      </c>
      <c r="C260" s="450" t="inlineStr">
        <is>
          <t>sf21</t>
        </is>
      </c>
      <c r="D260" s="257">
        <f>SUM(Y260:AH260)</f>
        <v/>
      </c>
      <c r="E260" s="54">
        <f>'0₦'!AF263</f>
        <v/>
      </c>
      <c r="F260" s="41">
        <f>'0₦'!AG263</f>
        <v/>
      </c>
      <c r="H260" s="410">
        <f>D260</f>
        <v/>
      </c>
      <c r="J260" s="42">
        <f>D260-H260</f>
        <v/>
      </c>
      <c r="L260" s="42">
        <f>D260-SUM(H260,J260)</f>
        <v/>
      </c>
      <c r="N260" s="42">
        <f>D260-SUM(H260,J260,L260,)</f>
        <v/>
      </c>
      <c r="P260" s="42">
        <f>D260-SUM(H260,J260,L260,N260)</f>
        <v/>
      </c>
      <c r="R260" s="42">
        <f>D260-SUM(H260,J260,L260,N260,P260)</f>
        <v/>
      </c>
      <c r="T260" s="42">
        <f>D260-SUM(H260,J260,L260,N260,P260,R260)</f>
        <v/>
      </c>
      <c r="V260" s="42">
        <f>D260-SUM(H260,J260,L260,N260,P260,R260,T260)</f>
        <v/>
      </c>
      <c r="X260" s="56">
        <f>D260-SUM(H260,J260,L260,N260,P260,R260,T260,V260)</f>
        <v/>
      </c>
      <c r="Y260" s="57">
        <f>12*COUNT(G260,I260,K260,M260,O260,Q260,U260,W260,S260)</f>
        <v/>
      </c>
      <c r="Z260" s="40">
        <f>IF(AND('0₦'!T263&lt;&gt;0,'0₦'!T263&lt;&gt;""),9,0) + 0</f>
        <v/>
      </c>
      <c r="AA260" s="445">
        <f>'0₦'!BI263 + 0</f>
        <v/>
      </c>
      <c r="AB260" s="446">
        <f>'0₦'!BE263</f>
        <v/>
      </c>
      <c r="AC260" s="450">
        <f>'0₦'!BC263 + 0</f>
        <v/>
      </c>
      <c r="AD260" s="42">
        <f>'0₦'!BD263</f>
        <v/>
      </c>
      <c r="AE260" s="42">
        <f>'0₦'!AX263</f>
        <v/>
      </c>
      <c r="AF260" s="446">
        <f>hcbi!AA264+hcbi!Y264</f>
        <v/>
      </c>
      <c r="AG260" s="42">
        <f>'0₦'!AW263</f>
        <v/>
      </c>
      <c r="AH260" s="450">
        <f>0</f>
        <v/>
      </c>
      <c r="AI260" s="445" t="n"/>
      <c r="AJ260" s="445" t="n"/>
      <c r="AK260" s="44" t="n"/>
      <c r="AL260" s="45" t="n"/>
    </row>
    <row r="261" ht="17.1" customHeight="1" s="37">
      <c r="A261" s="441">
        <f>A254+0.1</f>
        <v/>
      </c>
      <c r="B261" s="546">
        <f>B260+1</f>
        <v/>
      </c>
      <c r="C261" s="450" t="inlineStr">
        <is>
          <t>sf21</t>
        </is>
      </c>
      <c r="D261" s="257">
        <f>SUM(Y261:AH261)</f>
        <v/>
      </c>
      <c r="E261" s="54">
        <f>'0₦'!AF264</f>
        <v/>
      </c>
      <c r="F261" s="41">
        <f>'0₦'!AG264</f>
        <v/>
      </c>
      <c r="H261" s="410">
        <f>D261</f>
        <v/>
      </c>
      <c r="J261" s="42">
        <f>D261-H261</f>
        <v/>
      </c>
      <c r="L261" s="42">
        <f>D261-SUM(H261,J261)</f>
        <v/>
      </c>
      <c r="N261" s="42">
        <f>D261-SUM(H261,J261,L261,)</f>
        <v/>
      </c>
      <c r="P261" s="42">
        <f>D261-SUM(H261,J261,L261,N261)</f>
        <v/>
      </c>
      <c r="R261" s="42">
        <f>D261-SUM(H261,J261,L261,N261,P261)</f>
        <v/>
      </c>
      <c r="T261" s="42">
        <f>D261-SUM(H261,J261,L261,N261,P261,R261)</f>
        <v/>
      </c>
      <c r="V261" s="42">
        <f>D261-SUM(H261,J261,L261,N261,P261,R261,T261)</f>
        <v/>
      </c>
      <c r="X261" s="56">
        <f>D261-SUM(H261,J261,L261,N261,P261,R261,T261,V261)</f>
        <v/>
      </c>
      <c r="Y261" s="57">
        <f>12*COUNT(G261,I261,K261,M261,O261,Q261,U261,W261,S261)</f>
        <v/>
      </c>
      <c r="Z261" s="40">
        <f>IF(AND('0₦'!T264&lt;&gt;0,'0₦'!T264&lt;&gt;""),9,0) + 0</f>
        <v/>
      </c>
      <c r="AA261" s="445">
        <f>'0₦'!BI264 + 0</f>
        <v/>
      </c>
      <c r="AB261" s="446">
        <f>'0₦'!BE264</f>
        <v/>
      </c>
      <c r="AC261" s="450">
        <f>'0₦'!BC264 + 0</f>
        <v/>
      </c>
      <c r="AD261" s="42">
        <f>'0₦'!BD264</f>
        <v/>
      </c>
      <c r="AE261" s="42">
        <f>'0₦'!AX264</f>
        <v/>
      </c>
      <c r="AF261" s="446">
        <f>hcbi!AA265+hcbi!Y265</f>
        <v/>
      </c>
      <c r="AG261" s="42">
        <f>'0₦'!AW264</f>
        <v/>
      </c>
      <c r="AH261" s="450">
        <f>0</f>
        <v/>
      </c>
      <c r="AK261" s="44" t="n"/>
      <c r="AL261" s="45" t="n"/>
    </row>
    <row r="262" ht="17.1" customHeight="1" s="37">
      <c r="B262" s="546">
        <f>B261+1</f>
        <v/>
      </c>
      <c r="C262" s="450" t="inlineStr">
        <is>
          <t>sf21</t>
        </is>
      </c>
      <c r="D262" s="257">
        <f>SUM(Y262:AH262)</f>
        <v/>
      </c>
      <c r="E262" s="54">
        <f>'0₦'!AF265</f>
        <v/>
      </c>
      <c r="F262" s="41">
        <f>'0₦'!AG265</f>
        <v/>
      </c>
      <c r="H262" s="410">
        <f>D262</f>
        <v/>
      </c>
      <c r="J262" s="42">
        <f>D262-H262</f>
        <v/>
      </c>
      <c r="L262" s="42">
        <f>D262-SUM(H262,J262)</f>
        <v/>
      </c>
      <c r="N262" s="42">
        <f>D262-SUM(H262,J262,L262,)</f>
        <v/>
      </c>
      <c r="P262" s="42">
        <f>D262-SUM(H262,J262,L262,N262)</f>
        <v/>
      </c>
      <c r="R262" s="42">
        <f>D262-SUM(H262,J262,L262,N262,P262)</f>
        <v/>
      </c>
      <c r="T262" s="42">
        <f>D262-SUM(H262,J262,L262,N262,P262,R262)</f>
        <v/>
      </c>
      <c r="V262" s="42">
        <f>D262-SUM(H262,J262,L262,N262,P262,R262,T262)</f>
        <v/>
      </c>
      <c r="X262" s="56">
        <f>D262-SUM(H262,J262,L262,N262,P262,R262,T262,V262)</f>
        <v/>
      </c>
      <c r="Y262" s="57">
        <f>12*COUNT(G262,I262,K262,M262,O262,Q262,U262,W262,S262)</f>
        <v/>
      </c>
      <c r="Z262" s="40">
        <f>IF(AND('0₦'!T265&lt;&gt;0,'0₦'!T265&lt;&gt;""),9,0) + 0</f>
        <v/>
      </c>
      <c r="AA262" s="445">
        <f>'0₦'!BI265 + 0</f>
        <v/>
      </c>
      <c r="AB262" s="446">
        <f>'0₦'!BE265</f>
        <v/>
      </c>
      <c r="AC262" s="450">
        <f>'0₦'!BC265 + 0</f>
        <v/>
      </c>
      <c r="AD262" s="42">
        <f>'0₦'!BD265</f>
        <v/>
      </c>
      <c r="AE262" s="42">
        <f>'0₦'!AX265</f>
        <v/>
      </c>
      <c r="AF262" s="446">
        <f>hcbi!AA266+hcbi!Y266</f>
        <v/>
      </c>
      <c r="AG262" s="42">
        <f>'0₦'!AW265</f>
        <v/>
      </c>
      <c r="AH262" s="450">
        <f>0</f>
        <v/>
      </c>
      <c r="AI262" s="445" t="n"/>
      <c r="AJ262" s="445" t="n"/>
      <c r="AK262" s="44" t="n"/>
      <c r="AL262" s="45" t="n"/>
      <c r="AQ262" s="277" t="n"/>
    </row>
    <row r="263" ht="17.1" customHeight="1" s="37">
      <c r="B263" s="546">
        <f>B262+1</f>
        <v/>
      </c>
      <c r="C263" s="450" t="inlineStr">
        <is>
          <t>sf21</t>
        </is>
      </c>
      <c r="D263" s="257">
        <f>SUM(Y263:AH263)</f>
        <v/>
      </c>
      <c r="E263" s="54">
        <f>'0₦'!AF266</f>
        <v/>
      </c>
      <c r="F263" s="41">
        <f>'0₦'!AG266</f>
        <v/>
      </c>
      <c r="H263" s="410">
        <f>D263</f>
        <v/>
      </c>
      <c r="J263" s="42">
        <f>D263-H263</f>
        <v/>
      </c>
      <c r="L263" s="42">
        <f>D263-SUM(H263,J263)</f>
        <v/>
      </c>
      <c r="N263" s="42">
        <f>D263-SUM(H263,J263,L263,)</f>
        <v/>
      </c>
      <c r="P263" s="42">
        <f>D263-SUM(H263,J263,L263,N263)</f>
        <v/>
      </c>
      <c r="R263" s="42">
        <f>D263-SUM(H263,J263,L263,N263,P263)</f>
        <v/>
      </c>
      <c r="T263" s="42">
        <f>D263-SUM(H263,J263,L263,N263,P263,R263)</f>
        <v/>
      </c>
      <c r="V263" s="42">
        <f>D263-SUM(H263,J263,L263,N263,P263,R263,T263)</f>
        <v/>
      </c>
      <c r="X263" s="56">
        <f>D263-SUM(H263,J263,L263,N263,P263,R263,T263,V263)</f>
        <v/>
      </c>
      <c r="Y263" s="57">
        <f>12*COUNT(G263,I263,K263,M263,O263,Q263,U263,W263,S263)</f>
        <v/>
      </c>
      <c r="Z263" s="40">
        <f>IF(AND('0₦'!T266&lt;&gt;0,'0₦'!T266&lt;&gt;""),9,0) + 0</f>
        <v/>
      </c>
      <c r="AA263" s="445">
        <f>'0₦'!BI266 + 0</f>
        <v/>
      </c>
      <c r="AB263" s="446">
        <f>'0₦'!BE266</f>
        <v/>
      </c>
      <c r="AC263" s="450">
        <f>'0₦'!BC266 + 0</f>
        <v/>
      </c>
      <c r="AD263" s="42">
        <f>'0₦'!BD266</f>
        <v/>
      </c>
      <c r="AE263" s="42">
        <f>'0₦'!AX266</f>
        <v/>
      </c>
      <c r="AF263" s="446">
        <f>hcbi!AA267+hcbi!Y267</f>
        <v/>
      </c>
      <c r="AG263" s="42">
        <f>'0₦'!AW266</f>
        <v/>
      </c>
      <c r="AH263" s="450">
        <f>0</f>
        <v/>
      </c>
      <c r="AK263" s="44" t="n"/>
      <c r="AL263" s="45" t="n"/>
    </row>
    <row r="264" ht="17.1" customHeight="1" s="37">
      <c r="B264" s="546">
        <f>B263+1</f>
        <v/>
      </c>
      <c r="C264" s="450" t="inlineStr">
        <is>
          <t>sf21</t>
        </is>
      </c>
      <c r="D264" s="257">
        <f>SUM(Y264:AH264)</f>
        <v/>
      </c>
      <c r="E264" s="54">
        <f>'0₦'!AF267</f>
        <v/>
      </c>
      <c r="F264" s="41">
        <f>'0₦'!AG267</f>
        <v/>
      </c>
      <c r="H264" s="410">
        <f>D264</f>
        <v/>
      </c>
      <c r="J264" s="42">
        <f>D264-H264</f>
        <v/>
      </c>
      <c r="L264" s="42">
        <f>D264-SUM(H264,J264)</f>
        <v/>
      </c>
      <c r="N264" s="42">
        <f>D264-SUM(H264,J264,L264,)</f>
        <v/>
      </c>
      <c r="P264" s="42">
        <f>D264-SUM(H264,J264,L264,N264)</f>
        <v/>
      </c>
      <c r="R264" s="42">
        <f>D264-SUM(H264,J264,L264,N264,P264)</f>
        <v/>
      </c>
      <c r="T264" s="42">
        <f>D264-SUM(H264,J264,L264,N264,P264,R264)</f>
        <v/>
      </c>
      <c r="V264" s="42">
        <f>D264-SUM(H264,J264,L264,N264,P264,R264,T264)</f>
        <v/>
      </c>
      <c r="X264" s="56">
        <f>D264-SUM(H264,J264,L264,N264,P264,R264,T264,V264)</f>
        <v/>
      </c>
      <c r="Y264" s="57">
        <f>12*COUNT(G264,I264,K264,M264,O264,Q264,U264,W264,S264)</f>
        <v/>
      </c>
      <c r="Z264" s="40">
        <f>IF(AND('0₦'!T267&lt;&gt;0,'0₦'!T267&lt;&gt;""),9,0) + 0</f>
        <v/>
      </c>
      <c r="AA264" s="445">
        <f>'0₦'!BI267 + 0</f>
        <v/>
      </c>
      <c r="AB264" s="446">
        <f>'0₦'!BE267</f>
        <v/>
      </c>
      <c r="AC264" s="450">
        <f>'0₦'!BC267 + 0</f>
        <v/>
      </c>
      <c r="AD264" s="42">
        <f>'0₦'!BD267</f>
        <v/>
      </c>
      <c r="AE264" s="42">
        <f>'0₦'!AX267</f>
        <v/>
      </c>
      <c r="AF264" s="446">
        <f>hcbi!AA268+hcbi!Y268</f>
        <v/>
      </c>
      <c r="AG264" s="42">
        <f>'0₦'!AW267</f>
        <v/>
      </c>
      <c r="AH264" s="450">
        <f>0</f>
        <v/>
      </c>
      <c r="AI264" s="445" t="n"/>
      <c r="AJ264" s="445" t="n"/>
      <c r="AK264" s="44" t="n"/>
      <c r="AL264" s="45" t="n"/>
    </row>
    <row r="265" ht="17.1" customHeight="1" s="37">
      <c r="B265" s="546">
        <f>B264+1</f>
        <v/>
      </c>
      <c r="C265" s="450" t="inlineStr">
        <is>
          <t>sf21</t>
        </is>
      </c>
      <c r="D265" s="257">
        <f>SUM(Y265:AH265)</f>
        <v/>
      </c>
      <c r="E265" s="54">
        <f>'0₦'!AF268</f>
        <v/>
      </c>
      <c r="F265" s="41">
        <f>'0₦'!AG268</f>
        <v/>
      </c>
      <c r="H265" s="410">
        <f>D265</f>
        <v/>
      </c>
      <c r="J265" s="42">
        <f>D265-H265</f>
        <v/>
      </c>
      <c r="L265" s="42">
        <f>D265-SUM(H265,J265)</f>
        <v/>
      </c>
      <c r="N265" s="42">
        <f>D265-SUM(H265,J265,L265,)</f>
        <v/>
      </c>
      <c r="P265" s="42">
        <f>D265-SUM(H265,J265,L265,N265)</f>
        <v/>
      </c>
      <c r="R265" s="42">
        <f>D265-SUM(H265,J265,L265,N265,P265)</f>
        <v/>
      </c>
      <c r="T265" s="42">
        <f>D265-SUM(H265,J265,L265,N265,P265,R265)</f>
        <v/>
      </c>
      <c r="V265" s="42">
        <f>D265-SUM(H265,J265,L265,N265,P265,R265,T265)</f>
        <v/>
      </c>
      <c r="X265" s="56">
        <f>D265-SUM(H265,J265,L265,N265,P265,R265,T265,V265)</f>
        <v/>
      </c>
      <c r="Y265" s="57">
        <f>12*COUNT(G265,I265,K265,M265,O265,Q265,U265,W265,S265)</f>
        <v/>
      </c>
      <c r="Z265" s="40">
        <f>IF(AND('0₦'!T268&lt;&gt;0,'0₦'!T268&lt;&gt;""),9,0) + 0</f>
        <v/>
      </c>
      <c r="AA265" s="445">
        <f>'0₦'!BI268 + 0</f>
        <v/>
      </c>
      <c r="AB265" s="446">
        <f>'0₦'!BE268</f>
        <v/>
      </c>
      <c r="AC265" s="450">
        <f>'0₦'!BC268 + 0</f>
        <v/>
      </c>
      <c r="AD265" s="42">
        <f>'0₦'!BD268</f>
        <v/>
      </c>
      <c r="AE265" s="42">
        <f>'0₦'!AX268</f>
        <v/>
      </c>
      <c r="AF265" s="446">
        <f>hcbi!AA269+hcbi!Y269</f>
        <v/>
      </c>
      <c r="AG265" s="42">
        <f>'0₦'!AW268</f>
        <v/>
      </c>
      <c r="AH265" s="450">
        <f>0</f>
        <v/>
      </c>
      <c r="AK265" s="44" t="n"/>
      <c r="AL265" s="45" t="n"/>
    </row>
    <row r="266" ht="17.1" customHeight="1" s="37">
      <c r="B266" s="546">
        <f>B265+1</f>
        <v/>
      </c>
      <c r="C266" s="450" t="inlineStr">
        <is>
          <t>sf21</t>
        </is>
      </c>
      <c r="D266" s="257">
        <f>SUM(Y266:AH266)</f>
        <v/>
      </c>
      <c r="E266" s="54">
        <f>'0₦'!AF269</f>
        <v/>
      </c>
      <c r="F266" s="41">
        <f>'0₦'!AG269</f>
        <v/>
      </c>
      <c r="H266" s="410">
        <f>D266</f>
        <v/>
      </c>
      <c r="J266" s="42">
        <f>D266-H266</f>
        <v/>
      </c>
      <c r="L266" s="42">
        <f>D266-SUM(H266,J266)</f>
        <v/>
      </c>
      <c r="N266" s="42">
        <f>D266-SUM(H266,J266,L266,)</f>
        <v/>
      </c>
      <c r="P266" s="42">
        <f>D266-SUM(H266,J266,L266,N266)</f>
        <v/>
      </c>
      <c r="R266" s="42">
        <f>D266-SUM(H266,J266,L266,N266,P266)</f>
        <v/>
      </c>
      <c r="T266" s="42">
        <f>D266-SUM(H266,J266,L266,N266,P266,R266)</f>
        <v/>
      </c>
      <c r="V266" s="42">
        <f>D266-SUM(H266,J266,L266,N266,P266,R266,T266)</f>
        <v/>
      </c>
      <c r="X266" s="56">
        <f>D266-SUM(H266,J266,L266,N266,P266,R266,T266,V266)</f>
        <v/>
      </c>
      <c r="Y266" s="57">
        <f>12*COUNT(G266,I266,K266,M266,O266,Q266,U266,W266,S266)</f>
        <v/>
      </c>
      <c r="Z266" s="40">
        <f>IF(AND('0₦'!T269&lt;&gt;0,'0₦'!T269&lt;&gt;""),9,0) + 0</f>
        <v/>
      </c>
      <c r="AA266" s="445">
        <f>'0₦'!BI269 + 0</f>
        <v/>
      </c>
      <c r="AB266" s="446">
        <f>'0₦'!BE269</f>
        <v/>
      </c>
      <c r="AC266" s="450">
        <f>'0₦'!BC269 + 0</f>
        <v/>
      </c>
      <c r="AD266" s="42">
        <f>'0₦'!BD269</f>
        <v/>
      </c>
      <c r="AE266" s="42">
        <f>'0₦'!AX269</f>
        <v/>
      </c>
      <c r="AF266" s="446">
        <f>hcbi!AA270+hcbi!Y270</f>
        <v/>
      </c>
      <c r="AG266" s="42">
        <f>'0₦'!AW269</f>
        <v/>
      </c>
      <c r="AH266" s="450">
        <f>0</f>
        <v/>
      </c>
      <c r="AI266" s="445" t="n"/>
      <c r="AJ266" s="445" t="n"/>
      <c r="AK266" s="44" t="n"/>
      <c r="AL266" s="45" t="n"/>
    </row>
    <row r="267" ht="17.1" customHeight="1" s="37">
      <c r="A267" s="547" t="n"/>
      <c r="B267" s="546">
        <f>B266+1</f>
        <v/>
      </c>
      <c r="C267" s="450" t="inlineStr">
        <is>
          <t>sf21</t>
        </is>
      </c>
      <c r="D267" s="257">
        <f>SUM(Y267:AH267)</f>
        <v/>
      </c>
      <c r="E267" s="54">
        <f>'0₦'!AF270</f>
        <v/>
      </c>
      <c r="F267" s="41">
        <f>'0₦'!AG270</f>
        <v/>
      </c>
      <c r="H267" s="410">
        <f>D267</f>
        <v/>
      </c>
      <c r="J267" s="42">
        <f>D267-H267</f>
        <v/>
      </c>
      <c r="L267" s="42">
        <f>D267-SUM(H267,J267)</f>
        <v/>
      </c>
      <c r="N267" s="42">
        <f>D267-SUM(H267,J267,L267,)</f>
        <v/>
      </c>
      <c r="P267" s="42">
        <f>D267-SUM(H267,J267,L267,N267)</f>
        <v/>
      </c>
      <c r="R267" s="42">
        <f>D267-SUM(H267,J267,L267,N267,P267)</f>
        <v/>
      </c>
      <c r="T267" s="42">
        <f>D267-SUM(H267,J267,L267,N267,P267,R267)</f>
        <v/>
      </c>
      <c r="V267" s="42">
        <f>D267-SUM(H267,J267,L267,N267,P267,R267,T267)</f>
        <v/>
      </c>
      <c r="X267" s="56">
        <f>D267-SUM(H267,J267,L267,N267,P267,R267,T267,V267)</f>
        <v/>
      </c>
      <c r="Y267" s="57">
        <f>12*COUNT(G267,I267,K267,M267,O267,Q267,U267,W267,S267)</f>
        <v/>
      </c>
      <c r="Z267" s="40">
        <f>IF(AND('0₦'!T270&lt;&gt;0,'0₦'!T270&lt;&gt;""),9,0) + 0</f>
        <v/>
      </c>
      <c r="AA267" s="445">
        <f>'0₦'!BI270 + 0</f>
        <v/>
      </c>
      <c r="AB267" s="446">
        <f>'0₦'!BE270</f>
        <v/>
      </c>
      <c r="AC267" s="450">
        <f>'0₦'!BC270 + 0</f>
        <v/>
      </c>
      <c r="AD267" s="42">
        <f>'0₦'!BD270</f>
        <v/>
      </c>
      <c r="AE267" s="42">
        <f>'0₦'!AX270</f>
        <v/>
      </c>
      <c r="AF267" s="446">
        <f>hcbi!AA271+hcbi!Y271</f>
        <v/>
      </c>
      <c r="AG267" s="42">
        <f>'0₦'!AW270</f>
        <v/>
      </c>
      <c r="AH267" s="450">
        <f>0</f>
        <v/>
      </c>
      <c r="AK267" s="44" t="n"/>
      <c r="AL267" s="45" t="n"/>
    </row>
    <row r="268" ht="17.1" customHeight="1" s="37">
      <c r="A268" s="441">
        <f>A261+0.1</f>
        <v/>
      </c>
      <c r="B268" s="546">
        <f>B267+1</f>
        <v/>
      </c>
      <c r="C268" s="450" t="inlineStr">
        <is>
          <t>sf21</t>
        </is>
      </c>
      <c r="D268" s="257">
        <f>SUM(Y268:AH268)</f>
        <v/>
      </c>
      <c r="E268" s="54">
        <f>'0₦'!AF271</f>
        <v/>
      </c>
      <c r="F268" s="41">
        <f>'0₦'!AG271</f>
        <v/>
      </c>
      <c r="H268" s="410">
        <f>D268</f>
        <v/>
      </c>
      <c r="J268" s="42">
        <f>D268-H268</f>
        <v/>
      </c>
      <c r="L268" s="42">
        <f>D268-SUM(H268,J268)</f>
        <v/>
      </c>
      <c r="N268" s="42">
        <f>D268-SUM(H268,J268,L268,)</f>
        <v/>
      </c>
      <c r="P268" s="42">
        <f>D268-SUM(H268,J268,L268,N268)</f>
        <v/>
      </c>
      <c r="R268" s="42">
        <f>D268-SUM(H268,J268,L268,N268,P268)</f>
        <v/>
      </c>
      <c r="T268" s="42">
        <f>D268-SUM(H268,J268,L268,N268,P268,R268)</f>
        <v/>
      </c>
      <c r="V268" s="42">
        <f>D268-SUM(H268,J268,L268,N268,P268,R268,T268)</f>
        <v/>
      </c>
      <c r="X268" s="56">
        <f>D268-SUM(H268,J268,L268,N268,P268,R268,T268,V268)</f>
        <v/>
      </c>
      <c r="Y268" s="57">
        <f>12*COUNT(G268,I268,K268,M268,O268,Q268,U268,W268,S268)</f>
        <v/>
      </c>
      <c r="Z268" s="40">
        <f>IF(AND('0₦'!T271&lt;&gt;0,'0₦'!T271&lt;&gt;""),9,0) + 0</f>
        <v/>
      </c>
      <c r="AA268" s="445">
        <f>'0₦'!BI271 + 0</f>
        <v/>
      </c>
      <c r="AB268" s="446">
        <f>'0₦'!BE271</f>
        <v/>
      </c>
      <c r="AC268" s="450">
        <f>'0₦'!BC271 + 0</f>
        <v/>
      </c>
      <c r="AD268" s="42">
        <f>'0₦'!BD271</f>
        <v/>
      </c>
      <c r="AE268" s="42">
        <f>'0₦'!AX271</f>
        <v/>
      </c>
      <c r="AF268" s="446">
        <f>hcbi!AA272+hcbi!Y272</f>
        <v/>
      </c>
      <c r="AG268" s="42">
        <f>'0₦'!AW271</f>
        <v/>
      </c>
      <c r="AH268" s="450">
        <f>0</f>
        <v/>
      </c>
      <c r="AI268" s="445" t="n"/>
      <c r="AJ268" s="445" t="n"/>
      <c r="AK268" s="44" t="n"/>
      <c r="AL268" s="45" t="n"/>
    </row>
    <row r="269" ht="17.1" customHeight="1" s="37">
      <c r="B269" s="546">
        <f>B268+1</f>
        <v/>
      </c>
      <c r="C269" s="450" t="inlineStr">
        <is>
          <t>sf21</t>
        </is>
      </c>
      <c r="D269" s="257">
        <f>SUM(Y269:AH269)</f>
        <v/>
      </c>
      <c r="E269" s="54">
        <f>'0₦'!AF272</f>
        <v/>
      </c>
      <c r="F269" s="41">
        <f>'0₦'!AG272</f>
        <v/>
      </c>
      <c r="H269" s="410">
        <f>D269</f>
        <v/>
      </c>
      <c r="J269" s="42">
        <f>D269-H269</f>
        <v/>
      </c>
      <c r="L269" s="42">
        <f>D269-SUM(H269,J269)</f>
        <v/>
      </c>
      <c r="N269" s="42">
        <f>D269-SUM(H269,J269,L269,)</f>
        <v/>
      </c>
      <c r="P269" s="42">
        <f>D269-SUM(H269,J269,L269,N269)</f>
        <v/>
      </c>
      <c r="R269" s="42">
        <f>D269-SUM(H269,J269,L269,N269,P269)</f>
        <v/>
      </c>
      <c r="T269" s="42">
        <f>D269-SUM(H269,J269,L269,N269,P269,R269)</f>
        <v/>
      </c>
      <c r="V269" s="42">
        <f>D269-SUM(H269,J269,L269,N269,P269,R269,T269)</f>
        <v/>
      </c>
      <c r="X269" s="56">
        <f>D269-SUM(H269,J269,L269,N269,P269,R269,T269,V269)</f>
        <v/>
      </c>
      <c r="Y269" s="57">
        <f>12*COUNT(G269,I269,K269,M269,O269,Q269,U269,W269,S269)</f>
        <v/>
      </c>
      <c r="Z269" s="40">
        <f>IF(AND('0₦'!T272&lt;&gt;0,'0₦'!T272&lt;&gt;""),9,0) + 0</f>
        <v/>
      </c>
      <c r="AA269" s="445">
        <f>'0₦'!BI272 + 0</f>
        <v/>
      </c>
      <c r="AB269" s="446">
        <f>'0₦'!BE272</f>
        <v/>
      </c>
      <c r="AC269" s="450">
        <f>'0₦'!BC272 + 0</f>
        <v/>
      </c>
      <c r="AD269" s="42">
        <f>'0₦'!BD272</f>
        <v/>
      </c>
      <c r="AE269" s="42">
        <f>'0₦'!AX272</f>
        <v/>
      </c>
      <c r="AF269" s="446">
        <f>hcbi!AA273+hcbi!Y273</f>
        <v/>
      </c>
      <c r="AG269" s="42">
        <f>'0₦'!AW272</f>
        <v/>
      </c>
      <c r="AH269" s="450">
        <f>0</f>
        <v/>
      </c>
      <c r="AK269" s="44" t="n"/>
      <c r="AL269" s="45" t="n"/>
    </row>
    <row r="270" ht="17.1" customHeight="1" s="37">
      <c r="B270" s="546">
        <f>B269+1</f>
        <v/>
      </c>
      <c r="C270" s="450" t="inlineStr">
        <is>
          <t>sf21</t>
        </is>
      </c>
      <c r="D270" s="257">
        <f>SUM(Y270:AH270)</f>
        <v/>
      </c>
      <c r="E270" s="54">
        <f>'0₦'!AF273</f>
        <v/>
      </c>
      <c r="F270" s="41">
        <f>'0₦'!AG273</f>
        <v/>
      </c>
      <c r="H270" s="410">
        <f>D270</f>
        <v/>
      </c>
      <c r="J270" s="42">
        <f>D270-H270</f>
        <v/>
      </c>
      <c r="L270" s="42">
        <f>D270-SUM(H270,J270)</f>
        <v/>
      </c>
      <c r="N270" s="42">
        <f>D270-SUM(H270,J270,L270,)</f>
        <v/>
      </c>
      <c r="P270" s="42">
        <f>D270-SUM(H270,J270,L270,N270)</f>
        <v/>
      </c>
      <c r="R270" s="42">
        <f>D270-SUM(H270,J270,L270,N270,P270)</f>
        <v/>
      </c>
      <c r="T270" s="42">
        <f>D270-SUM(H270,J270,L270,N270,P270,R270)</f>
        <v/>
      </c>
      <c r="V270" s="42">
        <f>D270-SUM(H270,J270,L270,N270,P270,R270,T270)</f>
        <v/>
      </c>
      <c r="X270" s="56">
        <f>D270-SUM(H270,J270,L270,N270,P270,R270,T270,V270)</f>
        <v/>
      </c>
      <c r="Y270" s="57">
        <f>12*COUNT(G270,I270,K270,M270,O270,Q270,U270,W270,S270)</f>
        <v/>
      </c>
      <c r="Z270" s="40">
        <f>IF(AND('0₦'!T273&lt;&gt;0,'0₦'!T273&lt;&gt;""),9,0) + 0</f>
        <v/>
      </c>
      <c r="AA270" s="445">
        <f>'0₦'!BI273 + 0</f>
        <v/>
      </c>
      <c r="AB270" s="446">
        <f>'0₦'!BE273</f>
        <v/>
      </c>
      <c r="AC270" s="450">
        <f>'0₦'!BC273 + 0</f>
        <v/>
      </c>
      <c r="AD270" s="42">
        <f>'0₦'!BD273</f>
        <v/>
      </c>
      <c r="AE270" s="42">
        <f>'0₦'!AX273</f>
        <v/>
      </c>
      <c r="AF270" s="446">
        <f>hcbi!AA274+hcbi!Y274</f>
        <v/>
      </c>
      <c r="AG270" s="42">
        <f>'0₦'!AW273</f>
        <v/>
      </c>
      <c r="AH270" s="450">
        <f>0</f>
        <v/>
      </c>
      <c r="AI270" s="445" t="n"/>
      <c r="AJ270" s="445" t="n"/>
      <c r="AK270" s="44" t="n"/>
      <c r="AL270" s="45" t="n"/>
    </row>
    <row r="271" ht="17.1" customHeight="1" s="37">
      <c r="B271" s="546">
        <f>B270+1</f>
        <v/>
      </c>
      <c r="C271" s="450" t="inlineStr">
        <is>
          <t>sf21</t>
        </is>
      </c>
      <c r="D271" s="257">
        <f>SUM(Y271:AH271)</f>
        <v/>
      </c>
      <c r="E271" s="54">
        <f>'0₦'!AF274</f>
        <v/>
      </c>
      <c r="F271" s="41">
        <f>'0₦'!AG274</f>
        <v/>
      </c>
      <c r="H271" s="410">
        <f>D271</f>
        <v/>
      </c>
      <c r="J271" s="42">
        <f>D271-H271</f>
        <v/>
      </c>
      <c r="L271" s="42">
        <f>D271-SUM(H271,J271)</f>
        <v/>
      </c>
      <c r="N271" s="42">
        <f>D271-SUM(H271,J271,L271,)</f>
        <v/>
      </c>
      <c r="P271" s="42">
        <f>D271-SUM(H271,J271,L271,N271)</f>
        <v/>
      </c>
      <c r="R271" s="42">
        <f>D271-SUM(H271,J271,L271,N271,P271)</f>
        <v/>
      </c>
      <c r="T271" s="42">
        <f>D271-SUM(H271,J271,L271,N271,P271,R271)</f>
        <v/>
      </c>
      <c r="V271" s="42">
        <f>D271-SUM(H271,J271,L271,N271,P271,R271,T271)</f>
        <v/>
      </c>
      <c r="X271" s="56">
        <f>D271-SUM(H271,J271,L271,N271,P271,R271,T271,V271)</f>
        <v/>
      </c>
      <c r="Y271" s="57">
        <f>12*COUNT(G271,I271,K271,M271,O271,Q271,U271,W271,S271)</f>
        <v/>
      </c>
      <c r="Z271" s="40">
        <f>IF(AND('0₦'!T274&lt;&gt;0,'0₦'!T274&lt;&gt;""),9,0) + 0</f>
        <v/>
      </c>
      <c r="AA271" s="445">
        <f>'0₦'!BI274 + 0</f>
        <v/>
      </c>
      <c r="AB271" s="446">
        <f>'0₦'!BE274</f>
        <v/>
      </c>
      <c r="AC271" s="450">
        <f>'0₦'!BC274 + 0</f>
        <v/>
      </c>
      <c r="AD271" s="42">
        <f>'0₦'!BD274</f>
        <v/>
      </c>
      <c r="AE271" s="42">
        <f>'0₦'!AX274</f>
        <v/>
      </c>
      <c r="AF271" s="446">
        <f>hcbi!AA275+hcbi!Y275</f>
        <v/>
      </c>
      <c r="AG271" s="42">
        <f>'0₦'!AW274</f>
        <v/>
      </c>
      <c r="AH271" s="450">
        <f>0</f>
        <v/>
      </c>
      <c r="AK271" s="44" t="n"/>
      <c r="AL271" s="45" t="n"/>
    </row>
    <row r="272" ht="17.1" customHeight="1" s="37">
      <c r="B272" s="546">
        <f>B271+1</f>
        <v/>
      </c>
      <c r="C272" s="450" t="inlineStr">
        <is>
          <t>sf21</t>
        </is>
      </c>
      <c r="D272" s="257">
        <f>SUM(Y272:AH272)</f>
        <v/>
      </c>
      <c r="E272" s="54">
        <f>'0₦'!AF275</f>
        <v/>
      </c>
      <c r="F272" s="41">
        <f>'0₦'!AG275</f>
        <v/>
      </c>
      <c r="H272" s="410">
        <f>D272</f>
        <v/>
      </c>
      <c r="J272" s="42">
        <f>D272-H272</f>
        <v/>
      </c>
      <c r="L272" s="42">
        <f>D272-SUM(H272,J272)</f>
        <v/>
      </c>
      <c r="N272" s="42">
        <f>D272-SUM(H272,J272,L272,)</f>
        <v/>
      </c>
      <c r="P272" s="42">
        <f>D272-SUM(H272,J272,L272,N272)</f>
        <v/>
      </c>
      <c r="R272" s="42">
        <f>D272-SUM(H272,J272,L272,N272,P272)</f>
        <v/>
      </c>
      <c r="T272" s="42">
        <f>D272-SUM(H272,J272,L272,N272,P272,R272)</f>
        <v/>
      </c>
      <c r="V272" s="42">
        <f>D272-SUM(H272,J272,L272,N272,P272,R272,T272)</f>
        <v/>
      </c>
      <c r="X272" s="56">
        <f>D272-SUM(H272,J272,L272,N272,P272,R272,T272,V272)</f>
        <v/>
      </c>
      <c r="Y272" s="57">
        <f>12*COUNT(G272,I272,K272,M272,O272,Q272,U272,W272,S272)</f>
        <v/>
      </c>
      <c r="Z272" s="40">
        <f>IF(AND('0₦'!T275&lt;&gt;0,'0₦'!T275&lt;&gt;""),9,0) + 0</f>
        <v/>
      </c>
      <c r="AA272" s="445">
        <f>'0₦'!BI275 + 0</f>
        <v/>
      </c>
      <c r="AB272" s="446">
        <f>'0₦'!BE275</f>
        <v/>
      </c>
      <c r="AC272" s="450">
        <f>'0₦'!BC275 + 0</f>
        <v/>
      </c>
      <c r="AD272" s="42">
        <f>'0₦'!BD275</f>
        <v/>
      </c>
      <c r="AE272" s="42">
        <f>'0₦'!AX275</f>
        <v/>
      </c>
      <c r="AF272" s="446">
        <f>hcbi!AA276+hcbi!Y276</f>
        <v/>
      </c>
      <c r="AG272" s="42">
        <f>'0₦'!AW275</f>
        <v/>
      </c>
      <c r="AH272" s="450">
        <f>0</f>
        <v/>
      </c>
      <c r="AI272" s="445" t="n"/>
      <c r="AJ272" s="445" t="n"/>
      <c r="AK272" s="44" t="n"/>
      <c r="AL272" s="45" t="n"/>
    </row>
    <row r="273" ht="17.1" customHeight="1" s="37">
      <c r="B273" s="546">
        <f>B272+1</f>
        <v/>
      </c>
      <c r="C273" s="450" t="inlineStr">
        <is>
          <t>sf21</t>
        </is>
      </c>
      <c r="D273" s="257">
        <f>SUM(Y273:AH273)</f>
        <v/>
      </c>
      <c r="E273" s="54">
        <f>'0₦'!AF276</f>
        <v/>
      </c>
      <c r="F273" s="41">
        <f>'0₦'!AG276</f>
        <v/>
      </c>
      <c r="H273" s="410">
        <f>D273</f>
        <v/>
      </c>
      <c r="J273" s="42">
        <f>D273-H273</f>
        <v/>
      </c>
      <c r="L273" s="42">
        <f>D273-SUM(H273,J273)</f>
        <v/>
      </c>
      <c r="N273" s="42">
        <f>D273-SUM(H273,J273,L273,)</f>
        <v/>
      </c>
      <c r="P273" s="42">
        <f>D273-SUM(H273,J273,L273,N273)</f>
        <v/>
      </c>
      <c r="R273" s="42">
        <f>D273-SUM(H273,J273,L273,N273,P273)</f>
        <v/>
      </c>
      <c r="T273" s="42">
        <f>D273-SUM(H273,J273,L273,N273,P273,R273)</f>
        <v/>
      </c>
      <c r="V273" s="42">
        <f>D273-SUM(H273,J273,L273,N273,P273,R273,T273)</f>
        <v/>
      </c>
      <c r="X273" s="56">
        <f>D273-SUM(H273,J273,L273,N273,P273,R273,T273,V273)</f>
        <v/>
      </c>
      <c r="Y273" s="57">
        <f>12*COUNT(G273,I273,K273,M273,O273,Q273,U273,W273,S273)</f>
        <v/>
      </c>
      <c r="Z273" s="40">
        <f>IF(AND('0₦'!T276&lt;&gt;0,'0₦'!T276&lt;&gt;""),9,0) + 0</f>
        <v/>
      </c>
      <c r="AA273" s="445">
        <f>'0₦'!BI276 + 0</f>
        <v/>
      </c>
      <c r="AB273" s="446">
        <f>'0₦'!BE276</f>
        <v/>
      </c>
      <c r="AC273" s="450">
        <f>'0₦'!BC276 + 0</f>
        <v/>
      </c>
      <c r="AD273" s="42">
        <f>'0₦'!BD276</f>
        <v/>
      </c>
      <c r="AE273" s="42">
        <f>'0₦'!AX276</f>
        <v/>
      </c>
      <c r="AF273" s="446">
        <f>hcbi!AA277+hcbi!Y277</f>
        <v/>
      </c>
      <c r="AG273" s="42">
        <f>'0₦'!AW276</f>
        <v/>
      </c>
      <c r="AH273" s="450">
        <f>0</f>
        <v/>
      </c>
      <c r="AK273" s="44" t="n"/>
      <c r="AL273" s="45" t="n"/>
    </row>
    <row r="274" ht="17.1" customHeight="1" s="37">
      <c r="A274" s="547" t="n"/>
      <c r="B274" s="546">
        <f>B273+1</f>
        <v/>
      </c>
      <c r="C274" s="450" t="inlineStr">
        <is>
          <t>sf21</t>
        </is>
      </c>
      <c r="D274" s="257">
        <f>SUM(Y274:AH274)</f>
        <v/>
      </c>
      <c r="E274" s="54">
        <f>'0₦'!AF277</f>
        <v/>
      </c>
      <c r="F274" s="41">
        <f>'0₦'!AG277</f>
        <v/>
      </c>
      <c r="H274" s="410">
        <f>D274</f>
        <v/>
      </c>
      <c r="J274" s="42">
        <f>D274-H274</f>
        <v/>
      </c>
      <c r="L274" s="42">
        <f>D274-SUM(H274,J274)</f>
        <v/>
      </c>
      <c r="N274" s="42">
        <f>D274-SUM(H274,J274,L274,)</f>
        <v/>
      </c>
      <c r="P274" s="42">
        <f>D274-SUM(H274,J274,L274,N274)</f>
        <v/>
      </c>
      <c r="R274" s="42">
        <f>D274-SUM(H274,J274,L274,N274,P274)</f>
        <v/>
      </c>
      <c r="T274" s="42">
        <f>D274-SUM(H274,J274,L274,N274,P274,R274)</f>
        <v/>
      </c>
      <c r="V274" s="42">
        <f>D274-SUM(H274,J274,L274,N274,P274,R274,T274)</f>
        <v/>
      </c>
      <c r="X274" s="56">
        <f>D274-SUM(H274,J274,L274,N274,P274,R274,T274,V274)</f>
        <v/>
      </c>
      <c r="Y274" s="57">
        <f>12*COUNT(G274,I274,K274,M274,O274,Q274,U274,W274,S274)</f>
        <v/>
      </c>
      <c r="Z274" s="40">
        <f>IF(AND('0₦'!T277&lt;&gt;0,'0₦'!T277&lt;&gt;""),9,0) + 0</f>
        <v/>
      </c>
      <c r="AA274" s="445">
        <f>'0₦'!BI277 + 0</f>
        <v/>
      </c>
      <c r="AB274" s="446">
        <f>'0₦'!BE277</f>
        <v/>
      </c>
      <c r="AC274" s="450">
        <f>'0₦'!BC277 + 0</f>
        <v/>
      </c>
      <c r="AD274" s="42">
        <f>'0₦'!BD277</f>
        <v/>
      </c>
      <c r="AE274" s="42">
        <f>'0₦'!AX277</f>
        <v/>
      </c>
      <c r="AF274" s="446">
        <f>hcbi!AA278+hcbi!Y278</f>
        <v/>
      </c>
      <c r="AG274" s="42">
        <f>'0₦'!AW277</f>
        <v/>
      </c>
      <c r="AH274" s="450">
        <f>0</f>
        <v/>
      </c>
      <c r="AI274" s="445" t="n"/>
      <c r="AJ274" s="445" t="n"/>
      <c r="AK274" s="44" t="n"/>
      <c r="AL274" s="45" t="n"/>
    </row>
    <row r="275" ht="17.1" customHeight="1" s="37">
      <c r="A275" s="441">
        <f>A240+1</f>
        <v/>
      </c>
      <c r="B275" s="546">
        <f>B274+1</f>
        <v/>
      </c>
      <c r="C275" s="450" t="inlineStr">
        <is>
          <t>sf21</t>
        </is>
      </c>
      <c r="D275" s="257">
        <f>SUM(Y275:AH275)</f>
        <v/>
      </c>
      <c r="E275" s="54">
        <f>'0₦'!AF278</f>
        <v/>
      </c>
      <c r="F275" s="41">
        <f>'0₦'!AG278</f>
        <v/>
      </c>
      <c r="H275" s="410">
        <f>D275</f>
        <v/>
      </c>
      <c r="J275" s="42">
        <f>D275-H275</f>
        <v/>
      </c>
      <c r="L275" s="42">
        <f>D275-SUM(H275,J275)</f>
        <v/>
      </c>
      <c r="N275" s="42">
        <f>D275-SUM(H275,J275,L275,)</f>
        <v/>
      </c>
      <c r="P275" s="42">
        <f>D275-SUM(H275,J275,L275,N275)</f>
        <v/>
      </c>
      <c r="R275" s="42">
        <f>D275-SUM(H275,J275,L275,N275,P275)</f>
        <v/>
      </c>
      <c r="T275" s="42">
        <f>D275-SUM(H275,J275,L275,N275,P275,R275)</f>
        <v/>
      </c>
      <c r="V275" s="42">
        <f>D275-SUM(H275,J275,L275,N275,P275,R275,T275)</f>
        <v/>
      </c>
      <c r="X275" s="56">
        <f>D275-SUM(H275,J275,L275,N275,P275,R275,T275,V275)</f>
        <v/>
      </c>
      <c r="Y275" s="57">
        <f>12*COUNT(G275,I275,K275,M275,O275,Q275,U275,W275,S275)</f>
        <v/>
      </c>
      <c r="Z275" s="40">
        <f>IF(AND('0₦'!T278&lt;&gt;0,'0₦'!T278&lt;&gt;""),9,0) + 0</f>
        <v/>
      </c>
      <c r="AA275" s="445">
        <f>'0₦'!BI278 + 0</f>
        <v/>
      </c>
      <c r="AB275" s="446">
        <f>'0₦'!BE278</f>
        <v/>
      </c>
      <c r="AC275" s="450">
        <f>'0₦'!BC278 + 0</f>
        <v/>
      </c>
      <c r="AD275" s="42">
        <f>'0₦'!BD278</f>
        <v/>
      </c>
      <c r="AE275" s="42">
        <f>'0₦'!AX278</f>
        <v/>
      </c>
      <c r="AF275" s="446">
        <f>hcbi!AA279+hcbi!Y279</f>
        <v/>
      </c>
      <c r="AG275" s="42">
        <f>'0₦'!AW278</f>
        <v/>
      </c>
      <c r="AH275" s="450">
        <f>0</f>
        <v/>
      </c>
      <c r="AK275" s="44" t="n"/>
      <c r="AL275" s="251" t="n"/>
    </row>
    <row r="276" ht="17.1" customHeight="1" s="37">
      <c r="B276" s="546">
        <f>B275+1</f>
        <v/>
      </c>
      <c r="C276" s="450" t="inlineStr">
        <is>
          <t>sf21</t>
        </is>
      </c>
      <c r="D276" s="257">
        <f>SUM(Y276:AH276)</f>
        <v/>
      </c>
      <c r="E276" s="54">
        <f>'0₦'!AF279</f>
        <v/>
      </c>
      <c r="F276" s="41">
        <f>'0₦'!AG279</f>
        <v/>
      </c>
      <c r="H276" s="410">
        <f>D276</f>
        <v/>
      </c>
      <c r="J276" s="42">
        <f>D276-H276</f>
        <v/>
      </c>
      <c r="L276" s="42">
        <f>D276-SUM(H276,J276)</f>
        <v/>
      </c>
      <c r="N276" s="42">
        <f>D276-SUM(H276,J276,L276,)</f>
        <v/>
      </c>
      <c r="P276" s="42">
        <f>D276-SUM(H276,J276,L276,N276)</f>
        <v/>
      </c>
      <c r="R276" s="42">
        <f>D276-SUM(H276,J276,L276,N276,P276)</f>
        <v/>
      </c>
      <c r="T276" s="42">
        <f>D276-SUM(H276,J276,L276,N276,P276,R276)</f>
        <v/>
      </c>
      <c r="V276" s="42">
        <f>D276-SUM(H276,J276,L276,N276,P276,R276,T276)</f>
        <v/>
      </c>
      <c r="X276" s="56">
        <f>D276-SUM(H276,J276,L276,N276,P276,R276,T276,V276)</f>
        <v/>
      </c>
      <c r="Y276" s="57">
        <f>12*COUNT(G276,I276,K276,M276,O276,Q276,U276,W276,S276)</f>
        <v/>
      </c>
      <c r="Z276" s="40">
        <f>IF(AND('0₦'!T279&lt;&gt;0,'0₦'!T279&lt;&gt;""),9,0) + 0</f>
        <v/>
      </c>
      <c r="AA276" s="445">
        <f>'0₦'!BI279 + 0</f>
        <v/>
      </c>
      <c r="AB276" s="446">
        <f>'0₦'!BE279</f>
        <v/>
      </c>
      <c r="AC276" s="450">
        <f>'0₦'!BC279 + 0</f>
        <v/>
      </c>
      <c r="AD276" s="42">
        <f>'0₦'!BD279</f>
        <v/>
      </c>
      <c r="AE276" s="42">
        <f>'0₦'!AX279</f>
        <v/>
      </c>
      <c r="AF276" s="446">
        <f>hcbi!AA280+hcbi!Y280</f>
        <v/>
      </c>
      <c r="AG276" s="42">
        <f>'0₦'!AW279</f>
        <v/>
      </c>
      <c r="AH276" s="450">
        <f>0</f>
        <v/>
      </c>
      <c r="AI276" s="445" t="n"/>
      <c r="AJ276" s="445" t="n"/>
      <c r="AK276" s="44" t="n"/>
      <c r="AL276" s="251" t="n"/>
    </row>
    <row r="277" ht="17.1" customHeight="1" s="37">
      <c r="B277" s="546">
        <f>B276+1</f>
        <v/>
      </c>
      <c r="C277" s="450" t="inlineStr">
        <is>
          <t>sf21</t>
        </is>
      </c>
      <c r="D277" s="257">
        <f>SUM(Y277:AH277)</f>
        <v/>
      </c>
      <c r="E277" s="54">
        <f>'0₦'!AF280</f>
        <v/>
      </c>
      <c r="F277" s="41">
        <f>'0₦'!AG280</f>
        <v/>
      </c>
      <c r="H277" s="410">
        <f>D277</f>
        <v/>
      </c>
      <c r="J277" s="42">
        <f>D277-H277</f>
        <v/>
      </c>
      <c r="L277" s="42">
        <f>D277-SUM(H277,J277)</f>
        <v/>
      </c>
      <c r="N277" s="42">
        <f>D277-SUM(H277,J277,L277,)</f>
        <v/>
      </c>
      <c r="P277" s="42">
        <f>D277-SUM(H277,J277,L277,N277)</f>
        <v/>
      </c>
      <c r="R277" s="42">
        <f>D277-SUM(H277,J277,L277,N277,P277)</f>
        <v/>
      </c>
      <c r="T277" s="42">
        <f>D277-SUM(H277,J277,L277,N277,P277,R277)</f>
        <v/>
      </c>
      <c r="V277" s="42">
        <f>D277-SUM(H277,J277,L277,N277,P277,R277,T277)</f>
        <v/>
      </c>
      <c r="X277" s="56">
        <f>D277-SUM(H277,J277,L277,N277,P277,R277,T277,V277)</f>
        <v/>
      </c>
      <c r="Y277" s="57">
        <f>12*COUNT(G277,I277,K277,M277,O277,Q277,U277,W277,S277)</f>
        <v/>
      </c>
      <c r="Z277" s="40">
        <f>IF(AND('0₦'!T280&lt;&gt;0,'0₦'!T280&lt;&gt;""),9,0) + 0</f>
        <v/>
      </c>
      <c r="AA277" s="445">
        <f>'0₦'!BI280 + 0</f>
        <v/>
      </c>
      <c r="AB277" s="446">
        <f>'0₦'!BE280</f>
        <v/>
      </c>
      <c r="AC277" s="450">
        <f>'0₦'!BC280 + 0</f>
        <v/>
      </c>
      <c r="AD277" s="42">
        <f>'0₦'!BD280</f>
        <v/>
      </c>
      <c r="AE277" s="42">
        <f>'0₦'!AX280</f>
        <v/>
      </c>
      <c r="AF277" s="446">
        <f>hcbi!AA281+hcbi!Y281</f>
        <v/>
      </c>
      <c r="AG277" s="42">
        <f>'0₦'!AW280</f>
        <v/>
      </c>
      <c r="AH277" s="450">
        <f>0</f>
        <v/>
      </c>
      <c r="AK277" s="61" t="n"/>
      <c r="AL277" s="251" t="n"/>
    </row>
    <row r="278" ht="17.1" customHeight="1" s="37">
      <c r="B278" s="546">
        <f>B277+1</f>
        <v/>
      </c>
      <c r="C278" s="450" t="inlineStr">
        <is>
          <t>sf21</t>
        </is>
      </c>
      <c r="D278" s="257">
        <f>SUM(Y278:AH278)</f>
        <v/>
      </c>
      <c r="E278" s="54">
        <f>'0₦'!AF281</f>
        <v/>
      </c>
      <c r="F278" s="41">
        <f>'0₦'!AG281</f>
        <v/>
      </c>
      <c r="H278" s="410">
        <f>D278</f>
        <v/>
      </c>
      <c r="J278" s="42">
        <f>D278-H278</f>
        <v/>
      </c>
      <c r="L278" s="42">
        <f>D278-SUM(H278,J278)</f>
        <v/>
      </c>
      <c r="N278" s="42">
        <f>D278-SUM(H278,J278,L278,)</f>
        <v/>
      </c>
      <c r="P278" s="42">
        <f>D278-SUM(H278,J278,L278,N278)</f>
        <v/>
      </c>
      <c r="R278" s="42">
        <f>D278-SUM(H278,J278,L278,N278,P278)</f>
        <v/>
      </c>
      <c r="T278" s="42">
        <f>D278-SUM(H278,J278,L278,N278,P278,R278)</f>
        <v/>
      </c>
      <c r="V278" s="42">
        <f>D278-SUM(H278,J278,L278,N278,P278,R278,T278)</f>
        <v/>
      </c>
      <c r="X278" s="56">
        <f>D278-SUM(H278,J278,L278,N278,P278,R278,T278,V278)</f>
        <v/>
      </c>
      <c r="Y278" s="57">
        <f>12*COUNT(G278,I278,K278,M278,O278,Q278,U278,W278,S278)</f>
        <v/>
      </c>
      <c r="Z278" s="40">
        <f>IF(AND('0₦'!T281&lt;&gt;0,'0₦'!T281&lt;&gt;""),9,0) + 0</f>
        <v/>
      </c>
      <c r="AA278" s="445">
        <f>'0₦'!BI281 + 0</f>
        <v/>
      </c>
      <c r="AB278" s="446">
        <f>'0₦'!BE281</f>
        <v/>
      </c>
      <c r="AC278" s="450">
        <f>'0₦'!BC281 + 0</f>
        <v/>
      </c>
      <c r="AD278" s="42">
        <f>'0₦'!BD281</f>
        <v/>
      </c>
      <c r="AE278" s="42">
        <f>'0₦'!AX281</f>
        <v/>
      </c>
      <c r="AF278" s="446">
        <f>hcbi!AA282+hcbi!Y282</f>
        <v/>
      </c>
      <c r="AG278" s="42">
        <f>'0₦'!AW281</f>
        <v/>
      </c>
      <c r="AH278" s="450">
        <f>0</f>
        <v/>
      </c>
      <c r="AI278" s="445" t="n"/>
      <c r="AJ278" s="445" t="n"/>
      <c r="AK278" s="44" t="n"/>
      <c r="AL278" s="45" t="n"/>
    </row>
    <row r="279" ht="17.1" customHeight="1" s="37">
      <c r="B279" s="546">
        <f>B278+1</f>
        <v/>
      </c>
      <c r="C279" s="450" t="inlineStr">
        <is>
          <t>sf21</t>
        </is>
      </c>
      <c r="D279" s="257">
        <f>SUM(Y279:AH279)</f>
        <v/>
      </c>
      <c r="E279" s="54">
        <f>'0₦'!AF282</f>
        <v/>
      </c>
      <c r="F279" s="41">
        <f>'0₦'!AG282</f>
        <v/>
      </c>
      <c r="H279" s="410">
        <f>D279</f>
        <v/>
      </c>
      <c r="J279" s="42">
        <f>D279-H279</f>
        <v/>
      </c>
      <c r="L279" s="42">
        <f>D279-SUM(H279,J279)</f>
        <v/>
      </c>
      <c r="N279" s="42">
        <f>D279-SUM(H279,J279,L279,)</f>
        <v/>
      </c>
      <c r="P279" s="42">
        <f>D279-SUM(H279,J279,L279,N279)</f>
        <v/>
      </c>
      <c r="R279" s="42">
        <f>D279-SUM(H279,J279,L279,N279,P279)</f>
        <v/>
      </c>
      <c r="T279" s="42">
        <f>D279-SUM(H279,J279,L279,N279,P279,R279)</f>
        <v/>
      </c>
      <c r="V279" s="42">
        <f>D279-SUM(H279,J279,L279,N279,P279,R279,T279)</f>
        <v/>
      </c>
      <c r="X279" s="56">
        <f>D279-SUM(H279,J279,L279,N279,P279,R279,T279,V279)</f>
        <v/>
      </c>
      <c r="Y279" s="57">
        <f>12*COUNT(G279,I279,K279,M279,O279,Q279,U279,W279,S279)</f>
        <v/>
      </c>
      <c r="Z279" s="40">
        <f>IF(AND('0₦'!T282&lt;&gt;0,'0₦'!T282&lt;&gt;""),9,0) + 0</f>
        <v/>
      </c>
      <c r="AA279" s="445">
        <f>'0₦'!BI282 + 0</f>
        <v/>
      </c>
      <c r="AB279" s="446">
        <f>'0₦'!BE282</f>
        <v/>
      </c>
      <c r="AC279" s="450">
        <f>'0₦'!BC282 + 0</f>
        <v/>
      </c>
      <c r="AD279" s="42">
        <f>'0₦'!BD282</f>
        <v/>
      </c>
      <c r="AE279" s="42">
        <f>'0₦'!AX282</f>
        <v/>
      </c>
      <c r="AF279" s="446">
        <f>hcbi!AA283+hcbi!Y283</f>
        <v/>
      </c>
      <c r="AG279" s="42">
        <f>'0₦'!AW282</f>
        <v/>
      </c>
      <c r="AH279" s="450">
        <f>0</f>
        <v/>
      </c>
      <c r="AK279" s="44" t="n"/>
      <c r="AL279" s="45" t="n"/>
    </row>
    <row r="280" ht="17.1" customHeight="1" s="37">
      <c r="B280" s="546">
        <f>B279+1</f>
        <v/>
      </c>
      <c r="C280" s="450" t="inlineStr">
        <is>
          <t>sf21</t>
        </is>
      </c>
      <c r="D280" s="257">
        <f>SUM(Y280:AH280)</f>
        <v/>
      </c>
      <c r="E280" s="54">
        <f>'0₦'!AF283</f>
        <v/>
      </c>
      <c r="F280" s="41">
        <f>'0₦'!AG283</f>
        <v/>
      </c>
      <c r="H280" s="410">
        <f>D280</f>
        <v/>
      </c>
      <c r="J280" s="42">
        <f>D280-H280</f>
        <v/>
      </c>
      <c r="L280" s="42">
        <f>D280-SUM(H280,J280)</f>
        <v/>
      </c>
      <c r="N280" s="42">
        <f>D280-SUM(H280,J280,L280,)</f>
        <v/>
      </c>
      <c r="P280" s="42">
        <f>D280-SUM(H280,J280,L280,N280)</f>
        <v/>
      </c>
      <c r="R280" s="42">
        <f>D280-SUM(H280,J280,L280,N280,P280)</f>
        <v/>
      </c>
      <c r="T280" s="42">
        <f>D280-SUM(H280,J280,L280,N280,P280,R280)</f>
        <v/>
      </c>
      <c r="V280" s="42">
        <f>D280-SUM(H280,J280,L280,N280,P280,R280,T280)</f>
        <v/>
      </c>
      <c r="X280" s="56">
        <f>D280-SUM(H280,J280,L280,N280,P280,R280,T280,V280)</f>
        <v/>
      </c>
      <c r="Y280" s="57">
        <f>12*COUNT(G280,I280,K280,M280,O280,Q280,U280,W280,S280)</f>
        <v/>
      </c>
      <c r="Z280" s="40">
        <f>IF(AND('0₦'!T283&lt;&gt;0,'0₦'!T283&lt;&gt;""),9,0) + 0</f>
        <v/>
      </c>
      <c r="AA280" s="445">
        <f>'0₦'!BI283 + 0</f>
        <v/>
      </c>
      <c r="AB280" s="446">
        <f>'0₦'!BE283</f>
        <v/>
      </c>
      <c r="AC280" s="450">
        <f>'0₦'!BC283 + 0</f>
        <v/>
      </c>
      <c r="AD280" s="42">
        <f>'0₦'!BD283</f>
        <v/>
      </c>
      <c r="AE280" s="42">
        <f>'0₦'!AX283</f>
        <v/>
      </c>
      <c r="AF280" s="446">
        <f>hcbi!AA284+hcbi!Y284</f>
        <v/>
      </c>
      <c r="AG280" s="42">
        <f>'0₦'!AW283</f>
        <v/>
      </c>
      <c r="AH280" s="450">
        <f>0</f>
        <v/>
      </c>
      <c r="AI280" s="445" t="n"/>
      <c r="AJ280" s="445" t="n"/>
      <c r="AK280" s="44" t="n"/>
      <c r="AL280" s="45" t="n"/>
    </row>
    <row r="281" ht="17.1" customHeight="1" s="37">
      <c r="A281" s="547" t="n"/>
      <c r="B281" s="546">
        <f>B280+1</f>
        <v/>
      </c>
      <c r="C281" s="450" t="inlineStr">
        <is>
          <t>sf21</t>
        </is>
      </c>
      <c r="D281" s="257">
        <f>SUM(Y281:AH281)</f>
        <v/>
      </c>
      <c r="E281" s="54">
        <f>'0₦'!AF284</f>
        <v/>
      </c>
      <c r="F281" s="41">
        <f>'0₦'!AG284</f>
        <v/>
      </c>
      <c r="H281" s="410">
        <f>D281</f>
        <v/>
      </c>
      <c r="J281" s="42">
        <f>D281-H281</f>
        <v/>
      </c>
      <c r="L281" s="42">
        <f>D281-SUM(H281,J281)</f>
        <v/>
      </c>
      <c r="N281" s="42">
        <f>D281-SUM(H281,J281,L281,)</f>
        <v/>
      </c>
      <c r="P281" s="42">
        <f>D281-SUM(H281,J281,L281,N281)</f>
        <v/>
      </c>
      <c r="R281" s="42">
        <f>D281-SUM(H281,J281,L281,N281,P281)</f>
        <v/>
      </c>
      <c r="T281" s="42">
        <f>D281-SUM(H281,J281,L281,N281,P281,R281)</f>
        <v/>
      </c>
      <c r="V281" s="42">
        <f>D281-SUM(H281,J281,L281,N281,P281,R281,T281)</f>
        <v/>
      </c>
      <c r="X281" s="56">
        <f>D281-SUM(H281,J281,L281,N281,P281,R281,T281,V281)</f>
        <v/>
      </c>
      <c r="Y281" s="57">
        <f>12*COUNT(G281,I281,K281,M281,O281,Q281,U281,W281,S281)</f>
        <v/>
      </c>
      <c r="Z281" s="40">
        <f>IF(AND('0₦'!T284&lt;&gt;0,'0₦'!T284&lt;&gt;""),9,0) + 0</f>
        <v/>
      </c>
      <c r="AA281" s="445">
        <f>'0₦'!BI284 + 0</f>
        <v/>
      </c>
      <c r="AB281" s="446">
        <f>'0₦'!BE284</f>
        <v/>
      </c>
      <c r="AC281" s="450">
        <f>'0₦'!BC284 + 0</f>
        <v/>
      </c>
      <c r="AD281" s="42">
        <f>'0₦'!BD284</f>
        <v/>
      </c>
      <c r="AE281" s="42">
        <f>'0₦'!AX284</f>
        <v/>
      </c>
      <c r="AF281" s="446">
        <f>hcbi!AA285+hcbi!Y285</f>
        <v/>
      </c>
      <c r="AG281" s="42">
        <f>'0₦'!AW284</f>
        <v/>
      </c>
      <c r="AH281" s="450">
        <f>0</f>
        <v/>
      </c>
      <c r="AK281" s="44" t="n"/>
      <c r="AL281" s="45" t="n"/>
    </row>
    <row r="282" ht="17.1" customHeight="1" s="37">
      <c r="A282" s="441">
        <f>A275+0.1</f>
        <v/>
      </c>
      <c r="B282" s="546">
        <f>B281+1</f>
        <v/>
      </c>
      <c r="C282" s="450" t="inlineStr">
        <is>
          <t>sf21</t>
        </is>
      </c>
      <c r="D282" s="257">
        <f>SUM(Y282:AH282)</f>
        <v/>
      </c>
      <c r="E282" s="54">
        <f>'0₦'!AF285</f>
        <v/>
      </c>
      <c r="F282" s="41">
        <f>'0₦'!AG285</f>
        <v/>
      </c>
      <c r="H282" s="410">
        <f>D282</f>
        <v/>
      </c>
      <c r="J282" s="42">
        <f>D282-H282</f>
        <v/>
      </c>
      <c r="L282" s="42">
        <f>D282-SUM(H282,J282)</f>
        <v/>
      </c>
      <c r="N282" s="42">
        <f>D282-SUM(H282,J282,L282,)</f>
        <v/>
      </c>
      <c r="P282" s="42">
        <f>D282-SUM(H282,J282,L282,N282)</f>
        <v/>
      </c>
      <c r="R282" s="42">
        <f>D282-SUM(H282,J282,L282,N282,P282)</f>
        <v/>
      </c>
      <c r="T282" s="42">
        <f>D282-SUM(H282,J282,L282,N282,P282,R282)</f>
        <v/>
      </c>
      <c r="V282" s="42">
        <f>D282-SUM(H282,J282,L282,N282,P282,R282,T282)</f>
        <v/>
      </c>
      <c r="X282" s="56">
        <f>D282-SUM(H282,J282,L282,N282,P282,R282,T282,V282)</f>
        <v/>
      </c>
      <c r="Y282" s="57">
        <f>12*COUNT(G282,I282,K282,M282,O282,Q282,U282,W282,S282)</f>
        <v/>
      </c>
      <c r="Z282" s="40">
        <f>IF(AND('0₦'!T285&lt;&gt;0,'0₦'!T285&lt;&gt;""),9,0) + 0</f>
        <v/>
      </c>
      <c r="AA282" s="445">
        <f>'0₦'!BI285 + 0</f>
        <v/>
      </c>
      <c r="AB282" s="446">
        <f>'0₦'!BE285</f>
        <v/>
      </c>
      <c r="AC282" s="450">
        <f>'0₦'!BC285 + 0</f>
        <v/>
      </c>
      <c r="AD282" s="42">
        <f>'0₦'!BD285</f>
        <v/>
      </c>
      <c r="AE282" s="42">
        <f>'0₦'!AX285</f>
        <v/>
      </c>
      <c r="AF282" s="446">
        <f>hcbi!AA286+hcbi!Y286</f>
        <v/>
      </c>
      <c r="AG282" s="42">
        <f>'0₦'!AW285</f>
        <v/>
      </c>
      <c r="AH282" s="450">
        <f>0</f>
        <v/>
      </c>
      <c r="AI282" s="445" t="n"/>
      <c r="AJ282" s="445" t="n"/>
      <c r="AK282" s="44" t="n"/>
      <c r="AL282" s="45" t="n"/>
    </row>
    <row r="283" ht="17.1" customHeight="1" s="37">
      <c r="B283" s="546">
        <f>B282+1</f>
        <v/>
      </c>
      <c r="C283" s="450" t="inlineStr">
        <is>
          <t>sf21</t>
        </is>
      </c>
      <c r="D283" s="257">
        <f>SUM(Y283:AH283)</f>
        <v/>
      </c>
      <c r="E283" s="54">
        <f>'0₦'!AF286</f>
        <v/>
      </c>
      <c r="F283" s="41">
        <f>'0₦'!AG286</f>
        <v/>
      </c>
      <c r="H283" s="410">
        <f>D283</f>
        <v/>
      </c>
      <c r="J283" s="42">
        <f>D283-H283</f>
        <v/>
      </c>
      <c r="L283" s="42">
        <f>D283-SUM(H283,J283)</f>
        <v/>
      </c>
      <c r="N283" s="42">
        <f>D283-SUM(H283,J283,L283,)</f>
        <v/>
      </c>
      <c r="P283" s="42">
        <f>D283-SUM(H283,J283,L283,N283)</f>
        <v/>
      </c>
      <c r="R283" s="42">
        <f>D283-SUM(H283,J283,L283,N283,P283)</f>
        <v/>
      </c>
      <c r="T283" s="42">
        <f>D283-SUM(H283,J283,L283,N283,P283,R283)</f>
        <v/>
      </c>
      <c r="V283" s="42">
        <f>D283-SUM(H283,J283,L283,N283,P283,R283,T283)</f>
        <v/>
      </c>
      <c r="X283" s="56">
        <f>D283-SUM(H283,J283,L283,N283,P283,R283,T283,V283)</f>
        <v/>
      </c>
      <c r="Y283" s="57">
        <f>12*COUNT(G283,I283,K283,M283,O283,Q283,U283,W283,S283)</f>
        <v/>
      </c>
      <c r="Z283" s="40">
        <f>IF(AND('0₦'!T286&lt;&gt;0,'0₦'!T286&lt;&gt;""),9,0) + 0</f>
        <v/>
      </c>
      <c r="AA283" s="445">
        <f>'0₦'!BI286 + 0</f>
        <v/>
      </c>
      <c r="AB283" s="446">
        <f>'0₦'!BE286</f>
        <v/>
      </c>
      <c r="AC283" s="450">
        <f>'0₦'!BC286 + 0</f>
        <v/>
      </c>
      <c r="AD283" s="42">
        <f>'0₦'!BD286</f>
        <v/>
      </c>
      <c r="AE283" s="42">
        <f>'0₦'!AX286</f>
        <v/>
      </c>
      <c r="AF283" s="446">
        <f>hcbi!AA287+hcbi!Y287</f>
        <v/>
      </c>
      <c r="AG283" s="42">
        <f>'0₦'!AW286</f>
        <v/>
      </c>
      <c r="AH283" s="450">
        <f>0</f>
        <v/>
      </c>
      <c r="AK283" s="44" t="n"/>
      <c r="AL283" s="45" t="n"/>
    </row>
    <row r="284" ht="17.1" customHeight="1" s="37">
      <c r="B284" s="546">
        <f>B283+1</f>
        <v/>
      </c>
      <c r="C284" s="450" t="inlineStr">
        <is>
          <t>sf21</t>
        </is>
      </c>
      <c r="D284" s="257">
        <f>SUM(Y284:AH284)</f>
        <v/>
      </c>
      <c r="E284" s="54">
        <f>'0₦'!AF287</f>
        <v/>
      </c>
      <c r="F284" s="41">
        <f>'0₦'!AG287</f>
        <v/>
      </c>
      <c r="H284" s="410">
        <f>D284</f>
        <v/>
      </c>
      <c r="J284" s="42">
        <f>D284-H284</f>
        <v/>
      </c>
      <c r="L284" s="42">
        <f>D284-SUM(H284,J284)</f>
        <v/>
      </c>
      <c r="N284" s="42">
        <f>D284-SUM(H284,J284,L284,)</f>
        <v/>
      </c>
      <c r="P284" s="42">
        <f>D284-SUM(H284,J284,L284,N284)</f>
        <v/>
      </c>
      <c r="R284" s="42">
        <f>D284-SUM(H284,J284,L284,N284,P284)</f>
        <v/>
      </c>
      <c r="T284" s="42">
        <f>D284-SUM(H284,J284,L284,N284,P284,R284)</f>
        <v/>
      </c>
      <c r="V284" s="42">
        <f>D284-SUM(H284,J284,L284,N284,P284,R284,T284)</f>
        <v/>
      </c>
      <c r="X284" s="56">
        <f>D284-SUM(H284,J284,L284,N284,P284,R284,T284,V284)</f>
        <v/>
      </c>
      <c r="Y284" s="57">
        <f>12*COUNT(G284,I284,K284,M284,O284,Q284,U284,W284,S284)</f>
        <v/>
      </c>
      <c r="Z284" s="40">
        <f>IF(AND('0₦'!T287&lt;&gt;0,'0₦'!T287&lt;&gt;""),9,0) + 0</f>
        <v/>
      </c>
      <c r="AA284" s="445">
        <f>'0₦'!BI287 + 0</f>
        <v/>
      </c>
      <c r="AB284" s="446">
        <f>'0₦'!BE287</f>
        <v/>
      </c>
      <c r="AC284" s="450">
        <f>'0₦'!BC287 + 0</f>
        <v/>
      </c>
      <c r="AD284" s="42">
        <f>'0₦'!BD287</f>
        <v/>
      </c>
      <c r="AE284" s="42">
        <f>'0₦'!AX287</f>
        <v/>
      </c>
      <c r="AF284" s="446">
        <f>hcbi!AA288+hcbi!Y288</f>
        <v/>
      </c>
      <c r="AG284" s="42">
        <f>'0₦'!AW287</f>
        <v/>
      </c>
      <c r="AH284" s="450">
        <f>0</f>
        <v/>
      </c>
      <c r="AI284" s="445" t="n"/>
      <c r="AJ284" s="445" t="n"/>
      <c r="AK284" s="44" t="n"/>
      <c r="AL284" s="45" t="n"/>
    </row>
    <row r="285" ht="17.1" customHeight="1" s="37">
      <c r="B285" s="546">
        <f>B284+1</f>
        <v/>
      </c>
      <c r="C285" s="450" t="inlineStr">
        <is>
          <t>sf21</t>
        </is>
      </c>
      <c r="D285" s="257">
        <f>SUM(Y285:AH285)</f>
        <v/>
      </c>
      <c r="E285" s="54">
        <f>'0₦'!AF288</f>
        <v/>
      </c>
      <c r="F285" s="41">
        <f>'0₦'!AG288</f>
        <v/>
      </c>
      <c r="H285" s="410">
        <f>D285</f>
        <v/>
      </c>
      <c r="J285" s="42">
        <f>D285-H285</f>
        <v/>
      </c>
      <c r="L285" s="42">
        <f>D285-SUM(H285,J285)</f>
        <v/>
      </c>
      <c r="N285" s="42">
        <f>D285-SUM(H285,J285,L285,)</f>
        <v/>
      </c>
      <c r="P285" s="42">
        <f>D285-SUM(H285,J285,L285,N285)</f>
        <v/>
      </c>
      <c r="R285" s="42">
        <f>D285-SUM(H285,J285,L285,N285,P285)</f>
        <v/>
      </c>
      <c r="T285" s="42">
        <f>D285-SUM(H285,J285,L285,N285,P285,R285)</f>
        <v/>
      </c>
      <c r="V285" s="42">
        <f>D285-SUM(H285,J285,L285,N285,P285,R285,T285)</f>
        <v/>
      </c>
      <c r="X285" s="56">
        <f>D285-SUM(H285,J285,L285,N285,P285,R285,T285,V285)</f>
        <v/>
      </c>
      <c r="Y285" s="57">
        <f>12*COUNT(G285,I285,K285,M285,O285,Q285,U285,W285,S285)</f>
        <v/>
      </c>
      <c r="Z285" s="40">
        <f>IF(AND('0₦'!T288&lt;&gt;0,'0₦'!T288&lt;&gt;""),9,0) + 0</f>
        <v/>
      </c>
      <c r="AA285" s="445">
        <f>'0₦'!BI288 + 0</f>
        <v/>
      </c>
      <c r="AB285" s="446">
        <f>'0₦'!BE288</f>
        <v/>
      </c>
      <c r="AC285" s="450">
        <f>'0₦'!BC288 + 0</f>
        <v/>
      </c>
      <c r="AD285" s="42">
        <f>'0₦'!BD288</f>
        <v/>
      </c>
      <c r="AE285" s="42">
        <f>'0₦'!AX288</f>
        <v/>
      </c>
      <c r="AF285" s="446">
        <f>hcbi!AA289+hcbi!Y289</f>
        <v/>
      </c>
      <c r="AG285" s="42">
        <f>'0₦'!AW288</f>
        <v/>
      </c>
      <c r="AH285" s="450">
        <f>0</f>
        <v/>
      </c>
      <c r="AK285" s="44" t="n"/>
      <c r="AL285" s="45" t="n"/>
    </row>
    <row r="286" ht="17.1" customHeight="1" s="37">
      <c r="B286" s="546">
        <f>B285+1</f>
        <v/>
      </c>
      <c r="C286" s="450" t="inlineStr">
        <is>
          <t>sf21</t>
        </is>
      </c>
      <c r="D286" s="257">
        <f>SUM(Y286:AH286)</f>
        <v/>
      </c>
      <c r="E286" s="54">
        <f>'0₦'!AF289</f>
        <v/>
      </c>
      <c r="F286" s="41">
        <f>'0₦'!AG289</f>
        <v/>
      </c>
      <c r="H286" s="410">
        <f>D286</f>
        <v/>
      </c>
      <c r="J286" s="42">
        <f>D286-H286</f>
        <v/>
      </c>
      <c r="L286" s="42">
        <f>D286-SUM(H286,J286)</f>
        <v/>
      </c>
      <c r="N286" s="42">
        <f>D286-SUM(H286,J286,L286,)</f>
        <v/>
      </c>
      <c r="P286" s="42">
        <f>D286-SUM(H286,J286,L286,N286)</f>
        <v/>
      </c>
      <c r="R286" s="42">
        <f>D286-SUM(H286,J286,L286,N286,P286)</f>
        <v/>
      </c>
      <c r="T286" s="42">
        <f>D286-SUM(H286,J286,L286,N286,P286,R286)</f>
        <v/>
      </c>
      <c r="V286" s="42">
        <f>D286-SUM(H286,J286,L286,N286,P286,R286,T286)</f>
        <v/>
      </c>
      <c r="X286" s="56">
        <f>D286-SUM(H286,J286,L286,N286,P286,R286,T286,V286)</f>
        <v/>
      </c>
      <c r="Y286" s="57">
        <f>12*COUNT(G286,I286,K286,M286,O286,Q286,U286,W286,S286)</f>
        <v/>
      </c>
      <c r="Z286" s="40">
        <f>IF(AND('0₦'!T289&lt;&gt;0,'0₦'!T289&lt;&gt;""),9,0) + 0</f>
        <v/>
      </c>
      <c r="AA286" s="445">
        <f>'0₦'!BI289 + 0</f>
        <v/>
      </c>
      <c r="AB286" s="446">
        <f>'0₦'!BE289</f>
        <v/>
      </c>
      <c r="AC286" s="450">
        <f>'0₦'!BC289 + 0</f>
        <v/>
      </c>
      <c r="AD286" s="42">
        <f>'0₦'!BD289</f>
        <v/>
      </c>
      <c r="AE286" s="42">
        <f>'0₦'!AX289</f>
        <v/>
      </c>
      <c r="AF286" s="446">
        <f>hcbi!AA290+hcbi!Y290</f>
        <v/>
      </c>
      <c r="AG286" s="42">
        <f>'0₦'!AW289</f>
        <v/>
      </c>
      <c r="AH286" s="450">
        <f>0</f>
        <v/>
      </c>
      <c r="AI286" s="445" t="n"/>
      <c r="AJ286" s="445" t="n"/>
      <c r="AK286" s="44" t="n"/>
      <c r="AL286" s="45" t="n"/>
    </row>
    <row r="287" ht="17.1" customHeight="1" s="37">
      <c r="B287" s="546">
        <f>B286+1</f>
        <v/>
      </c>
      <c r="C287" s="450" t="inlineStr">
        <is>
          <t>sf21</t>
        </is>
      </c>
      <c r="D287" s="257">
        <f>SUM(Y287:AH287)</f>
        <v/>
      </c>
      <c r="E287" s="54">
        <f>'0₦'!AF290</f>
        <v/>
      </c>
      <c r="F287" s="41">
        <f>'0₦'!AG290</f>
        <v/>
      </c>
      <c r="H287" s="410">
        <f>D287</f>
        <v/>
      </c>
      <c r="J287" s="42">
        <f>D287-H287</f>
        <v/>
      </c>
      <c r="L287" s="42">
        <f>D287-SUM(H287,J287)</f>
        <v/>
      </c>
      <c r="N287" s="42">
        <f>D287-SUM(H287,J287,L287,)</f>
        <v/>
      </c>
      <c r="P287" s="42">
        <f>D287-SUM(H287,J287,L287,N287)</f>
        <v/>
      </c>
      <c r="R287" s="42">
        <f>D287-SUM(H287,J287,L287,N287,P287)</f>
        <v/>
      </c>
      <c r="T287" s="42">
        <f>D287-SUM(H287,J287,L287,N287,P287,R287)</f>
        <v/>
      </c>
      <c r="V287" s="42">
        <f>D287-SUM(H287,J287,L287,N287,P287,R287,T287)</f>
        <v/>
      </c>
      <c r="X287" s="56">
        <f>D287-SUM(H287,J287,L287,N287,P287,R287,T287,V287)</f>
        <v/>
      </c>
      <c r="Y287" s="57">
        <f>12*COUNT(G287,I287,K287,M287,O287,Q287,U287,W287,S287)</f>
        <v/>
      </c>
      <c r="Z287" s="40">
        <f>IF(AND('0₦'!T290&lt;&gt;0,'0₦'!T290&lt;&gt;""),9,0) + 0</f>
        <v/>
      </c>
      <c r="AA287" s="445">
        <f>'0₦'!BI290 + 0</f>
        <v/>
      </c>
      <c r="AB287" s="446">
        <f>'0₦'!BE290</f>
        <v/>
      </c>
      <c r="AC287" s="450">
        <f>'0₦'!BC290 + 0</f>
        <v/>
      </c>
      <c r="AD287" s="42">
        <f>'0₦'!BD290</f>
        <v/>
      </c>
      <c r="AE287" s="42">
        <f>'0₦'!AX290</f>
        <v/>
      </c>
      <c r="AF287" s="446">
        <f>hcbi!AA291+hcbi!Y291</f>
        <v/>
      </c>
      <c r="AG287" s="42">
        <f>'0₦'!AW290</f>
        <v/>
      </c>
      <c r="AH287" s="450">
        <f>0</f>
        <v/>
      </c>
      <c r="AK287" s="44" t="n"/>
      <c r="AL287" s="45" t="n"/>
    </row>
    <row r="288" ht="17.1" customHeight="1" s="37">
      <c r="A288" s="547" t="n"/>
      <c r="B288" s="546">
        <f>B287+1</f>
        <v/>
      </c>
      <c r="C288" s="450" t="inlineStr">
        <is>
          <t>sf21</t>
        </is>
      </c>
      <c r="D288" s="257">
        <f>SUM(Y288:AH288)</f>
        <v/>
      </c>
      <c r="E288" s="54">
        <f>'0₦'!AF291</f>
        <v/>
      </c>
      <c r="F288" s="41">
        <f>'0₦'!AG291</f>
        <v/>
      </c>
      <c r="H288" s="410">
        <f>D288</f>
        <v/>
      </c>
      <c r="J288" s="42">
        <f>D288-H288</f>
        <v/>
      </c>
      <c r="L288" s="42">
        <f>D288-SUM(H288,J288)</f>
        <v/>
      </c>
      <c r="N288" s="42">
        <f>D288-SUM(H288,J288,L288,)</f>
        <v/>
      </c>
      <c r="P288" s="42">
        <f>D288-SUM(H288,J288,L288,N288)</f>
        <v/>
      </c>
      <c r="R288" s="42">
        <f>D288-SUM(H288,J288,L288,N288,P288)</f>
        <v/>
      </c>
      <c r="T288" s="42">
        <f>D288-SUM(H288,J288,L288,N288,P288,R288)</f>
        <v/>
      </c>
      <c r="V288" s="42">
        <f>D288-SUM(H288,J288,L288,N288,P288,R288,T288)</f>
        <v/>
      </c>
      <c r="X288" s="56">
        <f>D288-SUM(H288,J288,L288,N288,P288,R288,T288,V288)</f>
        <v/>
      </c>
      <c r="Y288" s="57">
        <f>12*COUNT(G288,I288,K288,M288,O288,Q288,U288,W288,S288)</f>
        <v/>
      </c>
      <c r="Z288" s="40">
        <f>IF(AND('0₦'!T291&lt;&gt;0,'0₦'!T291&lt;&gt;""),9,0) + 0</f>
        <v/>
      </c>
      <c r="AA288" s="445">
        <f>'0₦'!BI291 + 0</f>
        <v/>
      </c>
      <c r="AB288" s="446">
        <f>'0₦'!BE291</f>
        <v/>
      </c>
      <c r="AC288" s="450">
        <f>'0₦'!BC291 + 0</f>
        <v/>
      </c>
      <c r="AD288" s="42">
        <f>'0₦'!BD291</f>
        <v/>
      </c>
      <c r="AE288" s="42">
        <f>'0₦'!AX291</f>
        <v/>
      </c>
      <c r="AF288" s="446">
        <f>hcbi!AA292+hcbi!Y292</f>
        <v/>
      </c>
      <c r="AG288" s="42">
        <f>'0₦'!AW291</f>
        <v/>
      </c>
      <c r="AH288" s="450">
        <f>0</f>
        <v/>
      </c>
      <c r="AI288" s="445" t="n"/>
      <c r="AJ288" s="445" t="n"/>
      <c r="AK288" s="244" t="n"/>
      <c r="AL288" s="45" t="n"/>
    </row>
    <row r="289" ht="17.1" customHeight="1" s="37">
      <c r="A289" s="441">
        <f>A282+0.1</f>
        <v/>
      </c>
      <c r="B289" s="546">
        <f>B288+1</f>
        <v/>
      </c>
      <c r="C289" s="450" t="inlineStr">
        <is>
          <t>sf21</t>
        </is>
      </c>
      <c r="D289" s="257">
        <f>SUM(Y289:AH289)</f>
        <v/>
      </c>
      <c r="E289" s="54">
        <f>'0₦'!AF292</f>
        <v/>
      </c>
      <c r="F289" s="41">
        <f>'0₦'!AG292</f>
        <v/>
      </c>
      <c r="H289" s="410">
        <f>D289</f>
        <v/>
      </c>
      <c r="J289" s="42">
        <f>D289-H289</f>
        <v/>
      </c>
      <c r="L289" s="42">
        <f>D289-SUM(H289,J289)</f>
        <v/>
      </c>
      <c r="N289" s="42">
        <f>D289-SUM(H289,J289,L289,)</f>
        <v/>
      </c>
      <c r="P289" s="42">
        <f>D289-SUM(H289,J289,L289,N289)</f>
        <v/>
      </c>
      <c r="R289" s="42">
        <f>D289-SUM(H289,J289,L289,N289,P289)</f>
        <v/>
      </c>
      <c r="T289" s="42">
        <f>D289-SUM(H289,J289,L289,N289,P289,R289)</f>
        <v/>
      </c>
      <c r="V289" s="42">
        <f>D289-SUM(H289,J289,L289,N289,P289,R289,T289)</f>
        <v/>
      </c>
      <c r="X289" s="56">
        <f>D289-SUM(H289,J289,L289,N289,P289,R289,T289,V289)</f>
        <v/>
      </c>
      <c r="Y289" s="57">
        <f>12*COUNT(G289,I289,K289,M289,O289,Q289,U289,W289,S289)</f>
        <v/>
      </c>
      <c r="Z289" s="40">
        <f>IF(AND('0₦'!T292&lt;&gt;0,'0₦'!T292&lt;&gt;""),9,0) + 0</f>
        <v/>
      </c>
      <c r="AA289" s="445">
        <f>'0₦'!BI292 + 0</f>
        <v/>
      </c>
      <c r="AB289" s="446">
        <f>'0₦'!BE292</f>
        <v/>
      </c>
      <c r="AC289" s="450">
        <f>'0₦'!BC292 + 0</f>
        <v/>
      </c>
      <c r="AD289" s="42">
        <f>'0₦'!BD292</f>
        <v/>
      </c>
      <c r="AE289" s="42">
        <f>'0₦'!AX292</f>
        <v/>
      </c>
      <c r="AF289" s="446">
        <f>hcbi!AA293+hcbi!Y293</f>
        <v/>
      </c>
      <c r="AG289" s="42">
        <f>'0₦'!AW292</f>
        <v/>
      </c>
      <c r="AH289" s="450">
        <f>0</f>
        <v/>
      </c>
      <c r="AK289" s="44" t="n"/>
      <c r="AL289" s="45" t="n"/>
    </row>
    <row r="290" ht="17.1" customHeight="1" s="37">
      <c r="B290" s="546">
        <f>B289+1</f>
        <v/>
      </c>
      <c r="C290" s="450" t="inlineStr">
        <is>
          <t>sf21</t>
        </is>
      </c>
      <c r="D290" s="257">
        <f>SUM(Y290:AH290)</f>
        <v/>
      </c>
      <c r="E290" s="54">
        <f>'0₦'!AF293</f>
        <v/>
      </c>
      <c r="F290" s="41">
        <f>'0₦'!AG293</f>
        <v/>
      </c>
      <c r="H290" s="410">
        <f>D290</f>
        <v/>
      </c>
      <c r="J290" s="42">
        <f>D290-H290</f>
        <v/>
      </c>
      <c r="L290" s="42">
        <f>D290-SUM(H290,J290)</f>
        <v/>
      </c>
      <c r="N290" s="42">
        <f>D290-SUM(H290,J290,L290,)</f>
        <v/>
      </c>
      <c r="P290" s="42">
        <f>D290-SUM(H290,J290,L290,N290)</f>
        <v/>
      </c>
      <c r="R290" s="42">
        <f>D290-SUM(H290,J290,L290,N290,P290)</f>
        <v/>
      </c>
      <c r="T290" s="42">
        <f>D290-SUM(H290,J290,L290,N290,P290,R290)</f>
        <v/>
      </c>
      <c r="V290" s="42">
        <f>D290-SUM(H290,J290,L290,N290,P290,R290,T290)</f>
        <v/>
      </c>
      <c r="X290" s="56">
        <f>D290-SUM(H290,J290,L290,N290,P290,R290,T290,V290)</f>
        <v/>
      </c>
      <c r="Y290" s="57">
        <f>12*COUNT(G290,I290,K290,M290,O290,Q290,U290,W290,S290)</f>
        <v/>
      </c>
      <c r="Z290" s="40">
        <f>IF(AND('0₦'!T293&lt;&gt;0,'0₦'!T293&lt;&gt;""),9,0) + 0</f>
        <v/>
      </c>
      <c r="AA290" s="445">
        <f>'0₦'!BI293 + 0</f>
        <v/>
      </c>
      <c r="AB290" s="446">
        <f>'0₦'!BE293</f>
        <v/>
      </c>
      <c r="AC290" s="450">
        <f>'0₦'!BC293 + 0</f>
        <v/>
      </c>
      <c r="AD290" s="42">
        <f>'0₦'!BD293</f>
        <v/>
      </c>
      <c r="AE290" s="42">
        <f>'0₦'!AX293</f>
        <v/>
      </c>
      <c r="AF290" s="446">
        <f>hcbi!AA294+hcbi!Y294</f>
        <v/>
      </c>
      <c r="AG290" s="42">
        <f>'0₦'!AW293</f>
        <v/>
      </c>
      <c r="AH290" s="450">
        <f>0</f>
        <v/>
      </c>
      <c r="AI290" s="445" t="n"/>
      <c r="AJ290" s="445" t="n"/>
      <c r="AK290" s="44" t="n"/>
      <c r="AL290" s="45" t="n"/>
    </row>
    <row r="291" ht="17.1" customHeight="1" s="37">
      <c r="B291" s="546">
        <f>B290+1</f>
        <v/>
      </c>
      <c r="C291" s="450" t="inlineStr">
        <is>
          <t>sf21</t>
        </is>
      </c>
      <c r="D291" s="257">
        <f>SUM(Y291:AH291)</f>
        <v/>
      </c>
      <c r="E291" s="54">
        <f>'0₦'!AF294</f>
        <v/>
      </c>
      <c r="F291" s="41">
        <f>'0₦'!AG294</f>
        <v/>
      </c>
      <c r="H291" s="410">
        <f>D291</f>
        <v/>
      </c>
      <c r="J291" s="42">
        <f>D291-H291</f>
        <v/>
      </c>
      <c r="L291" s="42">
        <f>D291-SUM(H291,J291)</f>
        <v/>
      </c>
      <c r="N291" s="42">
        <f>D291-SUM(H291,J291,L291,)</f>
        <v/>
      </c>
      <c r="P291" s="42">
        <f>D291-SUM(H291,J291,L291,N291)</f>
        <v/>
      </c>
      <c r="R291" s="42">
        <f>D291-SUM(H291,J291,L291,N291,P291)</f>
        <v/>
      </c>
      <c r="T291" s="42">
        <f>D291-SUM(H291,J291,L291,N291,P291,R291)</f>
        <v/>
      </c>
      <c r="V291" s="42">
        <f>D291-SUM(H291,J291,L291,N291,P291,R291,T291)</f>
        <v/>
      </c>
      <c r="X291" s="56">
        <f>D291-SUM(H291,J291,L291,N291,P291,R291,T291,V291)</f>
        <v/>
      </c>
      <c r="Y291" s="57">
        <f>12*COUNT(G291,I291,K291,M291,O291,Q291,U291,W291,S291)</f>
        <v/>
      </c>
      <c r="Z291" s="40">
        <f>IF(AND('0₦'!T294&lt;&gt;0,'0₦'!T294&lt;&gt;""),9,0) + 0</f>
        <v/>
      </c>
      <c r="AA291" s="445">
        <f>'0₦'!BI294 + 0</f>
        <v/>
      </c>
      <c r="AB291" s="446">
        <f>'0₦'!BE294</f>
        <v/>
      </c>
      <c r="AC291" s="450">
        <f>'0₦'!BC294 + 0</f>
        <v/>
      </c>
      <c r="AD291" s="42">
        <f>'0₦'!BD294</f>
        <v/>
      </c>
      <c r="AE291" s="42">
        <f>'0₦'!AX294</f>
        <v/>
      </c>
      <c r="AF291" s="446">
        <f>hcbi!AA295+hcbi!Y295</f>
        <v/>
      </c>
      <c r="AG291" s="42">
        <f>'0₦'!AW294</f>
        <v/>
      </c>
      <c r="AH291" s="450">
        <f>0</f>
        <v/>
      </c>
      <c r="AK291" s="61" t="n"/>
      <c r="AL291" s="45" t="n"/>
    </row>
    <row r="292" ht="17.1" customHeight="1" s="37">
      <c r="B292" s="546">
        <f>B291+1</f>
        <v/>
      </c>
      <c r="C292" s="450" t="inlineStr">
        <is>
          <t>sf21</t>
        </is>
      </c>
      <c r="D292" s="257">
        <f>SUM(Y292:AH292)</f>
        <v/>
      </c>
      <c r="E292" s="54">
        <f>'0₦'!AF295</f>
        <v/>
      </c>
      <c r="F292" s="41">
        <f>'0₦'!AG295</f>
        <v/>
      </c>
      <c r="H292" s="410">
        <f>D292</f>
        <v/>
      </c>
      <c r="J292" s="42">
        <f>D292-H292</f>
        <v/>
      </c>
      <c r="L292" s="42">
        <f>D292-SUM(H292,J292)</f>
        <v/>
      </c>
      <c r="N292" s="42">
        <f>D292-SUM(H292,J292,L292,)</f>
        <v/>
      </c>
      <c r="P292" s="42">
        <f>D292-SUM(H292,J292,L292,N292)</f>
        <v/>
      </c>
      <c r="R292" s="42">
        <f>D292-SUM(H292,J292,L292,N292,P292)</f>
        <v/>
      </c>
      <c r="T292" s="42">
        <f>D292-SUM(H292,J292,L292,N292,P292,R292)</f>
        <v/>
      </c>
      <c r="V292" s="42">
        <f>D292-SUM(H292,J292,L292,N292,P292,R292,T292)</f>
        <v/>
      </c>
      <c r="X292" s="56">
        <f>D292-SUM(H292,J292,L292,N292,P292,R292,T292,V292)</f>
        <v/>
      </c>
      <c r="Y292" s="57">
        <f>12*COUNT(G292,I292,K292,M292,O292,Q292,U292,W292,S292)</f>
        <v/>
      </c>
      <c r="Z292" s="40">
        <f>IF(AND('0₦'!T295&lt;&gt;0,'0₦'!T295&lt;&gt;""),9,0) + 0</f>
        <v/>
      </c>
      <c r="AA292" s="445">
        <f>'0₦'!BI295 + 0</f>
        <v/>
      </c>
      <c r="AB292" s="446">
        <f>'0₦'!BE295</f>
        <v/>
      </c>
      <c r="AC292" s="450">
        <f>'0₦'!BC295 + 0</f>
        <v/>
      </c>
      <c r="AD292" s="42">
        <f>'0₦'!BD295</f>
        <v/>
      </c>
      <c r="AE292" s="42">
        <f>'0₦'!AX295</f>
        <v/>
      </c>
      <c r="AF292" s="446">
        <f>hcbi!AA296+hcbi!Y296</f>
        <v/>
      </c>
      <c r="AG292" s="42">
        <f>'0₦'!AW295</f>
        <v/>
      </c>
      <c r="AH292" s="450">
        <f>0</f>
        <v/>
      </c>
      <c r="AI292" s="446" t="n"/>
      <c r="AJ292" s="445" t="n"/>
      <c r="AK292" s="44" t="n"/>
      <c r="AL292" s="45" t="n"/>
    </row>
    <row r="293" ht="17.1" customHeight="1" s="37">
      <c r="B293" s="546">
        <f>B292+1</f>
        <v/>
      </c>
      <c r="C293" s="450" t="inlineStr">
        <is>
          <t>sf21</t>
        </is>
      </c>
      <c r="D293" s="257">
        <f>SUM(Y293:AH293)</f>
        <v/>
      </c>
      <c r="E293" s="54">
        <f>'0₦'!AF296</f>
        <v/>
      </c>
      <c r="F293" s="41">
        <f>'0₦'!AG296</f>
        <v/>
      </c>
      <c r="H293" s="410">
        <f>D293</f>
        <v/>
      </c>
      <c r="J293" s="42">
        <f>D293-H293</f>
        <v/>
      </c>
      <c r="L293" s="42">
        <f>D293-SUM(H293,J293)</f>
        <v/>
      </c>
      <c r="N293" s="42">
        <f>D293-SUM(H293,J293,L293,)</f>
        <v/>
      </c>
      <c r="P293" s="42">
        <f>D293-SUM(H293,J293,L293,N293)</f>
        <v/>
      </c>
      <c r="R293" s="42">
        <f>D293-SUM(H293,J293,L293,N293,P293)</f>
        <v/>
      </c>
      <c r="T293" s="42">
        <f>D293-SUM(H293,J293,L293,N293,P293,R293)</f>
        <v/>
      </c>
      <c r="V293" s="42">
        <f>D293-SUM(H293,J293,L293,N293,P293,R293,T293)</f>
        <v/>
      </c>
      <c r="X293" s="56">
        <f>D293-SUM(H293,J293,L293,N293,P293,R293,T293,V293)</f>
        <v/>
      </c>
      <c r="Y293" s="57">
        <f>12*COUNT(G293,I293,K293,M293,O293,Q293,U293,W293,S293)</f>
        <v/>
      </c>
      <c r="Z293" s="40">
        <f>IF(AND('0₦'!T296&lt;&gt;0,'0₦'!T296&lt;&gt;""),9,0) + 0</f>
        <v/>
      </c>
      <c r="AA293" s="445">
        <f>'0₦'!BI296 + 0</f>
        <v/>
      </c>
      <c r="AB293" s="446">
        <f>'0₦'!BE296</f>
        <v/>
      </c>
      <c r="AC293" s="450">
        <f>'0₦'!BC296 + 0</f>
        <v/>
      </c>
      <c r="AD293" s="42">
        <f>'0₦'!BD296</f>
        <v/>
      </c>
      <c r="AE293" s="42">
        <f>'0₦'!AX296</f>
        <v/>
      </c>
      <c r="AF293" s="446">
        <f>hcbi!AA297+hcbi!Y297</f>
        <v/>
      </c>
      <c r="AG293" s="42">
        <f>'0₦'!AW296</f>
        <v/>
      </c>
      <c r="AH293" s="450">
        <f>0</f>
        <v/>
      </c>
      <c r="AK293" s="44" t="n"/>
      <c r="AL293" s="45" t="n"/>
    </row>
    <row r="294" ht="17.1" customHeight="1" s="37">
      <c r="B294" s="546">
        <f>B293+1</f>
        <v/>
      </c>
      <c r="C294" s="450" t="inlineStr">
        <is>
          <t>sf21</t>
        </is>
      </c>
      <c r="D294" s="257">
        <f>SUM(Y294:AH294)</f>
        <v/>
      </c>
      <c r="E294" s="54">
        <f>'0₦'!AF297</f>
        <v/>
      </c>
      <c r="F294" s="41">
        <f>'0₦'!AG297</f>
        <v/>
      </c>
      <c r="H294" s="410">
        <f>D294</f>
        <v/>
      </c>
      <c r="J294" s="42">
        <f>D294-H294</f>
        <v/>
      </c>
      <c r="L294" s="42">
        <f>D294-SUM(H294,J294)</f>
        <v/>
      </c>
      <c r="N294" s="42">
        <f>D294-SUM(H294,J294,L294,)</f>
        <v/>
      </c>
      <c r="P294" s="42">
        <f>D294-SUM(H294,J294,L294,N294)</f>
        <v/>
      </c>
      <c r="R294" s="42">
        <f>D294-SUM(H294,J294,L294,N294,P294)</f>
        <v/>
      </c>
      <c r="T294" s="42">
        <f>D294-SUM(H294,J294,L294,N294,P294,R294)</f>
        <v/>
      </c>
      <c r="V294" s="42">
        <f>D294-SUM(H294,J294,L294,N294,P294,R294,T294)</f>
        <v/>
      </c>
      <c r="X294" s="56">
        <f>D294-SUM(H294,J294,L294,N294,P294,R294,T294,V294)</f>
        <v/>
      </c>
      <c r="Y294" s="57">
        <f>12*COUNT(G294,I294,K294,M294,O294,Q294,U294,W294,S294)</f>
        <v/>
      </c>
      <c r="Z294" s="40">
        <f>IF(AND('0₦'!T297&lt;&gt;0,'0₦'!T297&lt;&gt;""),9,0) + 0</f>
        <v/>
      </c>
      <c r="AA294" s="445">
        <f>'0₦'!BI297 + 0</f>
        <v/>
      </c>
      <c r="AB294" s="446">
        <f>'0₦'!BE297</f>
        <v/>
      </c>
      <c r="AC294" s="450">
        <f>'0₦'!BC297 + 0</f>
        <v/>
      </c>
      <c r="AD294" s="42">
        <f>'0₦'!BD297</f>
        <v/>
      </c>
      <c r="AE294" s="42">
        <f>'0₦'!AX297</f>
        <v/>
      </c>
      <c r="AF294" s="446">
        <f>hcbi!AA298+hcbi!Y298</f>
        <v/>
      </c>
      <c r="AG294" s="42">
        <f>'0₦'!AW297</f>
        <v/>
      </c>
      <c r="AH294" s="450">
        <f>0</f>
        <v/>
      </c>
      <c r="AI294" s="445" t="n"/>
      <c r="AJ294" s="445" t="n"/>
      <c r="AK294" s="44" t="n"/>
      <c r="AL294" s="45" t="n"/>
    </row>
    <row r="295" ht="17.1" customHeight="1" s="37">
      <c r="A295" s="547" t="n"/>
      <c r="B295" s="546">
        <f>B294+1</f>
        <v/>
      </c>
      <c r="C295" s="450" t="inlineStr">
        <is>
          <t>sf21</t>
        </is>
      </c>
      <c r="D295" s="257">
        <f>SUM(Y295:AH295)</f>
        <v/>
      </c>
      <c r="E295" s="54">
        <f>'0₦'!AF298</f>
        <v/>
      </c>
      <c r="F295" s="41">
        <f>'0₦'!AG298</f>
        <v/>
      </c>
      <c r="H295" s="410">
        <f>D295</f>
        <v/>
      </c>
      <c r="J295" s="42">
        <f>D295-H295</f>
        <v/>
      </c>
      <c r="L295" s="42">
        <f>D295-SUM(H295,J295)</f>
        <v/>
      </c>
      <c r="N295" s="42">
        <f>D295-SUM(H295,J295,L295,)</f>
        <v/>
      </c>
      <c r="P295" s="42">
        <f>D295-SUM(H295,J295,L295,N295)</f>
        <v/>
      </c>
      <c r="R295" s="42">
        <f>D295-SUM(H295,J295,L295,N295,P295)</f>
        <v/>
      </c>
      <c r="T295" s="42">
        <f>D295-SUM(H295,J295,L295,N295,P295,R295)</f>
        <v/>
      </c>
      <c r="V295" s="42">
        <f>D295-SUM(H295,J295,L295,N295,P295,R295,T295)</f>
        <v/>
      </c>
      <c r="X295" s="56">
        <f>D295-SUM(H295,J295,L295,N295,P295,R295,T295,V295)</f>
        <v/>
      </c>
      <c r="Y295" s="57">
        <f>12*COUNT(G295,I295,K295,M295,O295,Q295,U295,W295,S295)</f>
        <v/>
      </c>
      <c r="Z295" s="40">
        <f>IF(AND('0₦'!T298&lt;&gt;0,'0₦'!T298&lt;&gt;""),9,0) + 0</f>
        <v/>
      </c>
      <c r="AA295" s="445">
        <f>'0₦'!BI298 + 0</f>
        <v/>
      </c>
      <c r="AB295" s="446">
        <f>'0₦'!BE298</f>
        <v/>
      </c>
      <c r="AC295" s="450">
        <f>'0₦'!BC298 + 0</f>
        <v/>
      </c>
      <c r="AD295" s="42">
        <f>'0₦'!BD298</f>
        <v/>
      </c>
      <c r="AE295" s="42">
        <f>'0₦'!AX298</f>
        <v/>
      </c>
      <c r="AF295" s="446">
        <f>hcbi!AA299+hcbi!Y299</f>
        <v/>
      </c>
      <c r="AG295" s="42">
        <f>'0₦'!AW298</f>
        <v/>
      </c>
      <c r="AH295" s="450">
        <f>0</f>
        <v/>
      </c>
      <c r="AK295" s="44" t="n"/>
      <c r="AL295" s="45" t="n"/>
    </row>
    <row r="296" ht="17.1" customHeight="1" s="37">
      <c r="A296" s="441">
        <f>A289+0.1</f>
        <v/>
      </c>
      <c r="B296" s="546">
        <f>B295+1</f>
        <v/>
      </c>
      <c r="C296" s="450" t="inlineStr">
        <is>
          <t>sf21</t>
        </is>
      </c>
      <c r="D296" s="257">
        <f>SUM(Y296:AH296)</f>
        <v/>
      </c>
      <c r="E296" s="54">
        <f>'0₦'!AF299</f>
        <v/>
      </c>
      <c r="F296" s="41">
        <f>'0₦'!AG299</f>
        <v/>
      </c>
      <c r="H296" s="410">
        <f>D296</f>
        <v/>
      </c>
      <c r="J296" s="42">
        <f>D296-H296</f>
        <v/>
      </c>
      <c r="L296" s="42">
        <f>D296-SUM(H296,J296)</f>
        <v/>
      </c>
      <c r="N296" s="42">
        <f>D296-SUM(H296,J296,L296,)</f>
        <v/>
      </c>
      <c r="P296" s="42">
        <f>D296-SUM(H296,J296,L296,N296)</f>
        <v/>
      </c>
      <c r="R296" s="42">
        <f>D296-SUM(H296,J296,L296,N296,P296)</f>
        <v/>
      </c>
      <c r="T296" s="42">
        <f>D296-SUM(H296,J296,L296,N296,P296,R296)</f>
        <v/>
      </c>
      <c r="V296" s="42">
        <f>D296-SUM(H296,J296,L296,N296,P296,R296,T296)</f>
        <v/>
      </c>
      <c r="X296" s="56">
        <f>D296-SUM(H296,J296,L296,N296,P296,R296,T296,V296)</f>
        <v/>
      </c>
      <c r="Y296" s="57">
        <f>12*COUNT(G296,I296,K296,M296,O296,Q296,U296,W296,S296)</f>
        <v/>
      </c>
      <c r="Z296" s="40">
        <f>IF(AND('0₦'!T299&lt;&gt;0,'0₦'!T299&lt;&gt;""),9,0) + 0</f>
        <v/>
      </c>
      <c r="AA296" s="445">
        <f>'0₦'!BI299 + 0</f>
        <v/>
      </c>
      <c r="AB296" s="446">
        <f>'0₦'!BE299</f>
        <v/>
      </c>
      <c r="AC296" s="450">
        <f>'0₦'!BC299 + 0</f>
        <v/>
      </c>
      <c r="AD296" s="42">
        <f>'0₦'!BD299</f>
        <v/>
      </c>
      <c r="AE296" s="42">
        <f>'0₦'!AX299</f>
        <v/>
      </c>
      <c r="AF296" s="446">
        <f>hcbi!AA300+hcbi!Y300</f>
        <v/>
      </c>
      <c r="AG296" s="42">
        <f>'0₦'!AW299</f>
        <v/>
      </c>
      <c r="AH296" s="450">
        <f>0</f>
        <v/>
      </c>
      <c r="AI296" s="445" t="n"/>
      <c r="AJ296" s="445" t="n"/>
      <c r="AK296" s="44" t="n"/>
      <c r="AL296" s="45" t="n"/>
    </row>
    <row r="297" ht="17.1" customHeight="1" s="37">
      <c r="B297" s="546">
        <f>B296+1</f>
        <v/>
      </c>
      <c r="C297" s="450" t="inlineStr">
        <is>
          <t>sf21</t>
        </is>
      </c>
      <c r="D297" s="257">
        <f>SUM(Y297:AH297)</f>
        <v/>
      </c>
      <c r="E297" s="54">
        <f>'0₦'!AF300</f>
        <v/>
      </c>
      <c r="F297" s="41">
        <f>'0₦'!AG300</f>
        <v/>
      </c>
      <c r="H297" s="410">
        <f>D297</f>
        <v/>
      </c>
      <c r="J297" s="42">
        <f>D297-H297</f>
        <v/>
      </c>
      <c r="L297" s="42">
        <f>D297-SUM(H297,J297)</f>
        <v/>
      </c>
      <c r="N297" s="42">
        <f>D297-SUM(H297,J297,L297,)</f>
        <v/>
      </c>
      <c r="P297" s="42">
        <f>D297-SUM(H297,J297,L297,N297)</f>
        <v/>
      </c>
      <c r="R297" s="42">
        <f>D297-SUM(H297,J297,L297,N297,P297)</f>
        <v/>
      </c>
      <c r="T297" s="42">
        <f>D297-SUM(H297,J297,L297,N297,P297,R297)</f>
        <v/>
      </c>
      <c r="V297" s="42">
        <f>D297-SUM(H297,J297,L297,N297,P297,R297,T297)</f>
        <v/>
      </c>
      <c r="X297" s="56">
        <f>D297-SUM(H297,J297,L297,N297,P297,R297,T297,V297)</f>
        <v/>
      </c>
      <c r="Y297" s="57">
        <f>12*COUNT(G297,I297,K297,M297,O297,Q297,U297,W297,S297)</f>
        <v/>
      </c>
      <c r="Z297" s="40">
        <f>IF(AND('0₦'!T300&lt;&gt;0,'0₦'!T300&lt;&gt;""),9,0) + 0</f>
        <v/>
      </c>
      <c r="AA297" s="445">
        <f>'0₦'!BI300 + 0</f>
        <v/>
      </c>
      <c r="AB297" s="446">
        <f>'0₦'!BE300</f>
        <v/>
      </c>
      <c r="AC297" s="450">
        <f>'0₦'!BC300 + 0</f>
        <v/>
      </c>
      <c r="AD297" s="42">
        <f>'0₦'!BD300</f>
        <v/>
      </c>
      <c r="AE297" s="42">
        <f>'0₦'!AX300</f>
        <v/>
      </c>
      <c r="AF297" s="446">
        <f>hcbi!AA301+hcbi!Y301</f>
        <v/>
      </c>
      <c r="AG297" s="42">
        <f>'0₦'!AW300</f>
        <v/>
      </c>
      <c r="AH297" s="450">
        <f>0</f>
        <v/>
      </c>
      <c r="AK297" s="44" t="n"/>
      <c r="AL297" s="45" t="n"/>
    </row>
    <row r="298" ht="17.1" customHeight="1" s="37">
      <c r="B298" s="546">
        <f>B297+1</f>
        <v/>
      </c>
      <c r="C298" s="450" t="inlineStr">
        <is>
          <t>sf21</t>
        </is>
      </c>
      <c r="D298" s="257">
        <f>SUM(Y298:AH298)</f>
        <v/>
      </c>
      <c r="E298" s="54">
        <f>'0₦'!AF301</f>
        <v/>
      </c>
      <c r="F298" s="41">
        <f>'0₦'!AG301</f>
        <v/>
      </c>
      <c r="H298" s="410">
        <f>D298</f>
        <v/>
      </c>
      <c r="J298" s="42">
        <f>D298-H298</f>
        <v/>
      </c>
      <c r="L298" s="42">
        <f>D298-SUM(H298,J298)</f>
        <v/>
      </c>
      <c r="N298" s="42">
        <f>D298-SUM(H298,J298,L298,)</f>
        <v/>
      </c>
      <c r="P298" s="42">
        <f>D298-SUM(H298,J298,L298,N298)</f>
        <v/>
      </c>
      <c r="R298" s="42">
        <f>D298-SUM(H298,J298,L298,N298,P298)</f>
        <v/>
      </c>
      <c r="T298" s="42">
        <f>D298-SUM(H298,J298,L298,N298,P298,R298)</f>
        <v/>
      </c>
      <c r="V298" s="42">
        <f>D298-SUM(H298,J298,L298,N298,P298,R298,T298)</f>
        <v/>
      </c>
      <c r="X298" s="56">
        <f>D298-SUM(H298,J298,L298,N298,P298,R298,T298,V298)</f>
        <v/>
      </c>
      <c r="Y298" s="57">
        <f>12*COUNT(G298,I298,K298,M298,O298,Q298,U298,W298,S298)</f>
        <v/>
      </c>
      <c r="Z298" s="40">
        <f>IF(AND('0₦'!T301&lt;&gt;0,'0₦'!T301&lt;&gt;""),9,0) + 0</f>
        <v/>
      </c>
      <c r="AA298" s="445">
        <f>'0₦'!BI301 + 0</f>
        <v/>
      </c>
      <c r="AB298" s="446">
        <f>'0₦'!BE301</f>
        <v/>
      </c>
      <c r="AC298" s="450">
        <f>'0₦'!BC301 + 0</f>
        <v/>
      </c>
      <c r="AD298" s="42">
        <f>'0₦'!BD301</f>
        <v/>
      </c>
      <c r="AE298" s="42">
        <f>'0₦'!AX301</f>
        <v/>
      </c>
      <c r="AF298" s="446">
        <f>hcbi!AA302+hcbi!Y302</f>
        <v/>
      </c>
      <c r="AG298" s="42">
        <f>'0₦'!AW301</f>
        <v/>
      </c>
      <c r="AH298" s="450">
        <f>0</f>
        <v/>
      </c>
      <c r="AI298" s="445" t="n"/>
      <c r="AJ298" s="445" t="n"/>
      <c r="AK298" s="44" t="n"/>
      <c r="AL298" s="45" t="n"/>
    </row>
    <row r="299" ht="17.1" customHeight="1" s="37">
      <c r="B299" s="546">
        <f>B298+1</f>
        <v/>
      </c>
      <c r="C299" s="450" t="inlineStr">
        <is>
          <t>sf21</t>
        </is>
      </c>
      <c r="D299" s="257">
        <f>SUM(Y299:AH299)</f>
        <v/>
      </c>
      <c r="E299" s="54">
        <f>'0₦'!AF302</f>
        <v/>
      </c>
      <c r="F299" s="41">
        <f>'0₦'!AG302</f>
        <v/>
      </c>
      <c r="H299" s="410">
        <f>D299</f>
        <v/>
      </c>
      <c r="J299" s="42">
        <f>D299-H299</f>
        <v/>
      </c>
      <c r="L299" s="42">
        <f>D299-SUM(H299,J299)</f>
        <v/>
      </c>
      <c r="N299" s="42">
        <f>D299-SUM(H299,J299,L299,)</f>
        <v/>
      </c>
      <c r="P299" s="42">
        <f>D299-SUM(H299,J299,L299,N299)</f>
        <v/>
      </c>
      <c r="R299" s="42">
        <f>D299-SUM(H299,J299,L299,N299,P299)</f>
        <v/>
      </c>
      <c r="T299" s="42">
        <f>D299-SUM(H299,J299,L299,N299,P299,R299)</f>
        <v/>
      </c>
      <c r="V299" s="42">
        <f>D299-SUM(H299,J299,L299,N299,P299,R299,T299)</f>
        <v/>
      </c>
      <c r="X299" s="56">
        <f>D299-SUM(H299,J299,L299,N299,P299,R299,T299,V299)</f>
        <v/>
      </c>
      <c r="Y299" s="57">
        <f>12*COUNT(G299,I299,K299,M299,O299,Q299,U299,W299,S299)</f>
        <v/>
      </c>
      <c r="Z299" s="40">
        <f>IF(AND('0₦'!T302&lt;&gt;0,'0₦'!T302&lt;&gt;""),9,0) + 0</f>
        <v/>
      </c>
      <c r="AA299" s="445">
        <f>'0₦'!BI302 + 0</f>
        <v/>
      </c>
      <c r="AB299" s="446">
        <f>'0₦'!BE302</f>
        <v/>
      </c>
      <c r="AC299" s="450">
        <f>'0₦'!BC302 + 0</f>
        <v/>
      </c>
      <c r="AD299" s="42">
        <f>'0₦'!BD302</f>
        <v/>
      </c>
      <c r="AE299" s="42">
        <f>'0₦'!AX302</f>
        <v/>
      </c>
      <c r="AF299" s="446">
        <f>hcbi!AA303+hcbi!Y303</f>
        <v/>
      </c>
      <c r="AG299" s="42">
        <f>'0₦'!AW302</f>
        <v/>
      </c>
      <c r="AH299" s="450">
        <f>0</f>
        <v/>
      </c>
      <c r="AK299" s="44" t="n"/>
      <c r="AL299" s="45" t="n"/>
    </row>
    <row r="300" ht="17.1" customHeight="1" s="37">
      <c r="B300" s="546">
        <f>B299+1</f>
        <v/>
      </c>
      <c r="C300" s="450" t="inlineStr">
        <is>
          <t>sf21</t>
        </is>
      </c>
      <c r="D300" s="257">
        <f>SUM(Y300:AH300)</f>
        <v/>
      </c>
      <c r="E300" s="54">
        <f>'0₦'!AF303</f>
        <v/>
      </c>
      <c r="F300" s="41">
        <f>'0₦'!AG303</f>
        <v/>
      </c>
      <c r="H300" s="410">
        <f>D300</f>
        <v/>
      </c>
      <c r="J300" s="42">
        <f>D300-H300</f>
        <v/>
      </c>
      <c r="L300" s="42">
        <f>D300-SUM(H300,J300)</f>
        <v/>
      </c>
      <c r="N300" s="42">
        <f>D300-SUM(H300,J300,L300,)</f>
        <v/>
      </c>
      <c r="P300" s="42">
        <f>D300-SUM(H300,J300,L300,N300)</f>
        <v/>
      </c>
      <c r="R300" s="42">
        <f>D300-SUM(H300,J300,L300,N300,P300)</f>
        <v/>
      </c>
      <c r="T300" s="42">
        <f>D300-SUM(H300,J300,L300,N300,P300,R300)</f>
        <v/>
      </c>
      <c r="V300" s="42">
        <f>D300-SUM(H300,J300,L300,N300,P300,R300,T300)</f>
        <v/>
      </c>
      <c r="X300" s="56">
        <f>D300-SUM(H300,J300,L300,N300,P300,R300,T300,V300)</f>
        <v/>
      </c>
      <c r="Y300" s="57">
        <f>12*COUNT(G300,I300,K300,M300,O300,Q300,U300,W300,S300)</f>
        <v/>
      </c>
      <c r="Z300" s="40">
        <f>IF(AND('0₦'!T303&lt;&gt;0,'0₦'!T303&lt;&gt;""),9,0) + 0</f>
        <v/>
      </c>
      <c r="AA300" s="445">
        <f>'0₦'!BI303 + 0</f>
        <v/>
      </c>
      <c r="AB300" s="446">
        <f>'0₦'!BE303</f>
        <v/>
      </c>
      <c r="AC300" s="450">
        <f>'0₦'!BC303 + 0</f>
        <v/>
      </c>
      <c r="AD300" s="42">
        <f>'0₦'!BD303</f>
        <v/>
      </c>
      <c r="AE300" s="42">
        <f>'0₦'!AX303</f>
        <v/>
      </c>
      <c r="AF300" s="446">
        <f>hcbi!AA304+hcbi!Y304</f>
        <v/>
      </c>
      <c r="AG300" s="42">
        <f>'0₦'!AW303</f>
        <v/>
      </c>
      <c r="AH300" s="450">
        <f>0</f>
        <v/>
      </c>
      <c r="AI300" s="445" t="n"/>
      <c r="AJ300" s="445" t="n"/>
      <c r="AK300" s="44" t="n"/>
      <c r="AL300" s="45" t="n"/>
    </row>
    <row r="301" ht="17.1" customHeight="1" s="37">
      <c r="B301" s="546">
        <f>B300+1</f>
        <v/>
      </c>
      <c r="C301" s="450" t="inlineStr">
        <is>
          <t>sf21</t>
        </is>
      </c>
      <c r="D301" s="257">
        <f>SUM(Y301:AH301)</f>
        <v/>
      </c>
      <c r="E301" s="54">
        <f>'0₦'!AF304</f>
        <v/>
      </c>
      <c r="F301" s="41">
        <f>'0₦'!AG304</f>
        <v/>
      </c>
      <c r="H301" s="410">
        <f>D301</f>
        <v/>
      </c>
      <c r="J301" s="42">
        <f>D301-H301</f>
        <v/>
      </c>
      <c r="L301" s="42">
        <f>D301-SUM(H301,J301)</f>
        <v/>
      </c>
      <c r="N301" s="42">
        <f>D301-SUM(H301,J301,L301,)</f>
        <v/>
      </c>
      <c r="P301" s="42">
        <f>D301-SUM(H301,J301,L301,N301)</f>
        <v/>
      </c>
      <c r="R301" s="42">
        <f>D301-SUM(H301,J301,L301,N301,P301)</f>
        <v/>
      </c>
      <c r="T301" s="42">
        <f>D301-SUM(H301,J301,L301,N301,P301,R301)</f>
        <v/>
      </c>
      <c r="V301" s="42">
        <f>D301-SUM(H301,J301,L301,N301,P301,R301,T301)</f>
        <v/>
      </c>
      <c r="X301" s="56">
        <f>D301-SUM(H301,J301,L301,N301,P301,R301,T301,V301)</f>
        <v/>
      </c>
      <c r="Y301" s="57">
        <f>12*COUNT(G301,I301,K301,M301,O301,Q301,U301,W301,S301)</f>
        <v/>
      </c>
      <c r="Z301" s="40">
        <f>IF(AND('0₦'!T304&lt;&gt;0,'0₦'!T304&lt;&gt;""),9,0) + 0</f>
        <v/>
      </c>
      <c r="AA301" s="445">
        <f>'0₦'!BI304 + 0</f>
        <v/>
      </c>
      <c r="AB301" s="446">
        <f>'0₦'!BE304</f>
        <v/>
      </c>
      <c r="AC301" s="450">
        <f>'0₦'!BC304 + 0</f>
        <v/>
      </c>
      <c r="AD301" s="42">
        <f>'0₦'!BD304</f>
        <v/>
      </c>
      <c r="AE301" s="42">
        <f>'0₦'!AX304</f>
        <v/>
      </c>
      <c r="AF301" s="446">
        <f>hcbi!AA305+hcbi!Y305</f>
        <v/>
      </c>
      <c r="AG301" s="42">
        <f>'0₦'!AW304</f>
        <v/>
      </c>
      <c r="AH301" s="450">
        <f>0</f>
        <v/>
      </c>
      <c r="AK301" s="44" t="n"/>
      <c r="AL301" s="45" t="n"/>
      <c r="AN301" s="93" t="n"/>
    </row>
    <row r="302" ht="17.1" customHeight="1" s="37">
      <c r="A302" s="547" t="n"/>
      <c r="B302" s="546">
        <f>B301+1</f>
        <v/>
      </c>
      <c r="C302" s="450" t="inlineStr">
        <is>
          <t>sf21</t>
        </is>
      </c>
      <c r="D302" s="257">
        <f>SUM(Y302:AH302)</f>
        <v/>
      </c>
      <c r="E302" s="54">
        <f>'0₦'!AF305</f>
        <v/>
      </c>
      <c r="F302" s="41">
        <f>'0₦'!AG305</f>
        <v/>
      </c>
      <c r="H302" s="410">
        <f>D302</f>
        <v/>
      </c>
      <c r="J302" s="42">
        <f>D302-H302</f>
        <v/>
      </c>
      <c r="L302" s="42">
        <f>D302-SUM(H302,J302)</f>
        <v/>
      </c>
      <c r="N302" s="42">
        <f>D302-SUM(H302,J302,L302,)</f>
        <v/>
      </c>
      <c r="P302" s="42">
        <f>D302-SUM(H302,J302,L302,N302)</f>
        <v/>
      </c>
      <c r="R302" s="42">
        <f>D302-SUM(H302,J302,L302,N302,P302)</f>
        <v/>
      </c>
      <c r="T302" s="42">
        <f>D302-SUM(H302,J302,L302,N302,P302,R302)</f>
        <v/>
      </c>
      <c r="V302" s="42">
        <f>D302-SUM(H302,J302,L302,N302,P302,R302,T302)</f>
        <v/>
      </c>
      <c r="X302" s="56">
        <f>D302-SUM(H302,J302,L302,N302,P302,R302,T302,V302)</f>
        <v/>
      </c>
      <c r="Y302" s="57">
        <f>12*COUNT(G302,I302,K302,M302,O302,Q302,U302,W302,S302)</f>
        <v/>
      </c>
      <c r="Z302" s="40">
        <f>IF(AND('0₦'!T305&lt;&gt;0,'0₦'!T305&lt;&gt;""),9,0) + 0</f>
        <v/>
      </c>
      <c r="AA302" s="445">
        <f>'0₦'!BI305 + 0</f>
        <v/>
      </c>
      <c r="AB302" s="446">
        <f>'0₦'!BE305</f>
        <v/>
      </c>
      <c r="AC302" s="450">
        <f>'0₦'!BC305 + 0</f>
        <v/>
      </c>
      <c r="AD302" s="42">
        <f>'0₦'!BD305</f>
        <v/>
      </c>
      <c r="AE302" s="42">
        <f>'0₦'!AX305</f>
        <v/>
      </c>
      <c r="AF302" s="446">
        <f>hcbi!AA306+hcbi!Y306</f>
        <v/>
      </c>
      <c r="AG302" s="42">
        <f>'0₦'!AW305</f>
        <v/>
      </c>
      <c r="AH302" s="450">
        <f>0</f>
        <v/>
      </c>
      <c r="AI302" s="445" t="n"/>
      <c r="AJ302" s="445" t="n"/>
      <c r="AK302" s="44" t="n"/>
      <c r="AL302" s="45" t="n"/>
    </row>
    <row r="303" ht="17.1" customHeight="1" s="37">
      <c r="A303" s="441">
        <f>A275+1</f>
        <v/>
      </c>
      <c r="B303" s="546">
        <f>B302+1</f>
        <v/>
      </c>
      <c r="C303" s="450" t="inlineStr">
        <is>
          <t>sf21</t>
        </is>
      </c>
      <c r="D303" s="257">
        <f>SUM(Y303:AH303)</f>
        <v/>
      </c>
      <c r="E303" s="54">
        <f>'0₦'!AF306</f>
        <v/>
      </c>
      <c r="F303" s="41">
        <f>'0₦'!AG306</f>
        <v/>
      </c>
      <c r="H303" s="410">
        <f>D303</f>
        <v/>
      </c>
      <c r="J303" s="42">
        <f>D303-H303</f>
        <v/>
      </c>
      <c r="L303" s="42">
        <f>D303-SUM(H303,J303)</f>
        <v/>
      </c>
      <c r="N303" s="42">
        <f>D303-SUM(H303,J303,L303,)</f>
        <v/>
      </c>
      <c r="P303" s="42">
        <f>D303-SUM(H303,J303,L303,N303)</f>
        <v/>
      </c>
      <c r="R303" s="42">
        <f>D303-SUM(H303,J303,L303,N303,P303)</f>
        <v/>
      </c>
      <c r="T303" s="42">
        <f>D303-SUM(H303,J303,L303,N303,P303,R303)</f>
        <v/>
      </c>
      <c r="V303" s="42">
        <f>D303-SUM(H303,J303,L303,N303,P303,R303,T303)</f>
        <v/>
      </c>
      <c r="X303" s="56">
        <f>D303-SUM(H303,J303,L303,N303,P303,R303,T303,V303)</f>
        <v/>
      </c>
      <c r="Y303" s="57">
        <f>12*COUNT(G303,I303,K303,M303,O303,Q303,U303,W303,S303)</f>
        <v/>
      </c>
      <c r="Z303" s="40">
        <f>IF(AND('0₦'!T306&lt;&gt;0,'0₦'!T306&lt;&gt;""),9,0) + 0</f>
        <v/>
      </c>
      <c r="AA303" s="445">
        <f>'0₦'!BI306 + 0</f>
        <v/>
      </c>
      <c r="AB303" s="446">
        <f>'0₦'!BE306</f>
        <v/>
      </c>
      <c r="AC303" s="450">
        <f>'0₦'!BC306 + 0</f>
        <v/>
      </c>
      <c r="AD303" s="42">
        <f>'0₦'!BD306</f>
        <v/>
      </c>
      <c r="AE303" s="42">
        <f>'0₦'!AX306</f>
        <v/>
      </c>
      <c r="AF303" s="446">
        <f>hcbi!AA307+hcbi!Y307</f>
        <v/>
      </c>
      <c r="AG303" s="42">
        <f>'0₦'!AW306</f>
        <v/>
      </c>
      <c r="AH303" s="450">
        <f>0</f>
        <v/>
      </c>
      <c r="AK303" s="44" t="n"/>
      <c r="AL303" s="45" t="n"/>
    </row>
    <row r="304" ht="17.1" customHeight="1" s="37">
      <c r="B304" s="546">
        <f>B303+1</f>
        <v/>
      </c>
      <c r="C304" s="450" t="inlineStr">
        <is>
          <t>sf21</t>
        </is>
      </c>
      <c r="D304" s="257">
        <f>SUM(Y304:AH304)</f>
        <v/>
      </c>
      <c r="E304" s="54">
        <f>'0₦'!AF307</f>
        <v/>
      </c>
      <c r="F304" s="41">
        <f>'0₦'!AG307</f>
        <v/>
      </c>
      <c r="H304" s="410">
        <f>D304</f>
        <v/>
      </c>
      <c r="J304" s="42">
        <f>D304-H304</f>
        <v/>
      </c>
      <c r="L304" s="42">
        <f>D304-SUM(H304,J304)</f>
        <v/>
      </c>
      <c r="N304" s="42">
        <f>D304-SUM(H304,J304,L304,)</f>
        <v/>
      </c>
      <c r="P304" s="42">
        <f>D304-SUM(H304,J304,L304,N304)</f>
        <v/>
      </c>
      <c r="R304" s="42">
        <f>D304-SUM(H304,J304,L304,N304,P304)</f>
        <v/>
      </c>
      <c r="T304" s="42">
        <f>D304-SUM(H304,J304,L304,N304,P304,R304)</f>
        <v/>
      </c>
      <c r="V304" s="42">
        <f>D304-SUM(H304,J304,L304,N304,P304,R304,T304)</f>
        <v/>
      </c>
      <c r="X304" s="56">
        <f>D304-SUM(H304,J304,L304,N304,P304,R304,T304,V304)</f>
        <v/>
      </c>
      <c r="Y304" s="57">
        <f>12*COUNT(G304,I304,K304,M304,O304,Q304,U304,W304,S304)</f>
        <v/>
      </c>
      <c r="Z304" s="40">
        <f>IF(AND('0₦'!T307&lt;&gt;0,'0₦'!T307&lt;&gt;""),9,0) + 0</f>
        <v/>
      </c>
      <c r="AA304" s="445">
        <f>'0₦'!BI307 + 0</f>
        <v/>
      </c>
      <c r="AB304" s="446">
        <f>'0₦'!BE307</f>
        <v/>
      </c>
      <c r="AC304" s="450">
        <f>'0₦'!BC307 + 0</f>
        <v/>
      </c>
      <c r="AD304" s="42">
        <f>'0₦'!BD307</f>
        <v/>
      </c>
      <c r="AE304" s="42">
        <f>'0₦'!AX307</f>
        <v/>
      </c>
      <c r="AF304" s="446">
        <f>hcbi!AA308+hcbi!Y308</f>
        <v/>
      </c>
      <c r="AG304" s="42">
        <f>'0₦'!AW307</f>
        <v/>
      </c>
      <c r="AH304" s="450">
        <f>0</f>
        <v/>
      </c>
      <c r="AI304" s="445" t="n"/>
      <c r="AJ304" s="445" t="n"/>
      <c r="AK304" s="44" t="n"/>
      <c r="AL304" s="45" t="n"/>
    </row>
    <row r="305" ht="17.1" customHeight="1" s="37">
      <c r="B305" s="546">
        <f>B304+1</f>
        <v/>
      </c>
      <c r="C305" s="450" t="inlineStr">
        <is>
          <t>sf21</t>
        </is>
      </c>
      <c r="D305" s="257">
        <f>SUM(Y305:AH305)</f>
        <v/>
      </c>
      <c r="E305" s="54">
        <f>'0₦'!AF308</f>
        <v/>
      </c>
      <c r="F305" s="41">
        <f>'0₦'!AG308</f>
        <v/>
      </c>
      <c r="H305" s="410">
        <f>D305</f>
        <v/>
      </c>
      <c r="J305" s="42">
        <f>D305-H305</f>
        <v/>
      </c>
      <c r="L305" s="42">
        <f>D305-SUM(H305,J305)</f>
        <v/>
      </c>
      <c r="N305" s="42">
        <f>D305-SUM(H305,J305,L305,)</f>
        <v/>
      </c>
      <c r="P305" s="42">
        <f>D305-SUM(H305,J305,L305,N305)</f>
        <v/>
      </c>
      <c r="R305" s="42">
        <f>D305-SUM(H305,J305,L305,N305,P305)</f>
        <v/>
      </c>
      <c r="T305" s="42">
        <f>D305-SUM(H305,J305,L305,N305,P305,R305)</f>
        <v/>
      </c>
      <c r="V305" s="42">
        <f>D305-SUM(H305,J305,L305,N305,P305,R305,T305)</f>
        <v/>
      </c>
      <c r="X305" s="56">
        <f>D305-SUM(H305,J305,L305,N305,P305,R305,T305,V305)</f>
        <v/>
      </c>
      <c r="Y305" s="57">
        <f>12*COUNT(G305,I305,K305,M305,O305,Q305,U305,W305,S305)</f>
        <v/>
      </c>
      <c r="Z305" s="40">
        <f>IF(AND('0₦'!T308&lt;&gt;0,'0₦'!T308&lt;&gt;""),9,0) + 0</f>
        <v/>
      </c>
      <c r="AA305" s="445">
        <f>'0₦'!BI308 + 0</f>
        <v/>
      </c>
      <c r="AB305" s="446">
        <f>'0₦'!BE308</f>
        <v/>
      </c>
      <c r="AC305" s="450">
        <f>'0₦'!BC308 + 0</f>
        <v/>
      </c>
      <c r="AD305" s="42">
        <f>'0₦'!BD308</f>
        <v/>
      </c>
      <c r="AE305" s="42">
        <f>'0₦'!AX308</f>
        <v/>
      </c>
      <c r="AF305" s="446">
        <f>hcbi!AA309+hcbi!Y309</f>
        <v/>
      </c>
      <c r="AG305" s="42">
        <f>'0₦'!AW308</f>
        <v/>
      </c>
      <c r="AH305" s="450">
        <f>0</f>
        <v/>
      </c>
      <c r="AK305" s="44" t="n"/>
      <c r="AL305" s="45" t="n"/>
    </row>
    <row r="306" ht="17.1" customHeight="1" s="37">
      <c r="B306" s="546">
        <f>B305+1</f>
        <v/>
      </c>
      <c r="C306" s="450" t="inlineStr">
        <is>
          <t>sf21</t>
        </is>
      </c>
      <c r="D306" s="257">
        <f>SUM(Y306:AH306)</f>
        <v/>
      </c>
      <c r="E306" s="54">
        <f>'0₦'!AF309</f>
        <v/>
      </c>
      <c r="F306" s="41">
        <f>'0₦'!AG309</f>
        <v/>
      </c>
      <c r="H306" s="410">
        <f>D306</f>
        <v/>
      </c>
      <c r="J306" s="42">
        <f>D306-H306</f>
        <v/>
      </c>
      <c r="L306" s="42">
        <f>D306-SUM(H306,J306)</f>
        <v/>
      </c>
      <c r="N306" s="42">
        <f>D306-SUM(H306,J306,L306,)</f>
        <v/>
      </c>
      <c r="P306" s="42">
        <f>D306-SUM(H306,J306,L306,N306)</f>
        <v/>
      </c>
      <c r="R306" s="42">
        <f>D306-SUM(H306,J306,L306,N306,P306)</f>
        <v/>
      </c>
      <c r="T306" s="42">
        <f>D306-SUM(H306,J306,L306,N306,P306,R306)</f>
        <v/>
      </c>
      <c r="V306" s="42">
        <f>D306-SUM(H306,J306,L306,N306,P306,R306,T306)</f>
        <v/>
      </c>
      <c r="X306" s="56">
        <f>D306-SUM(H306,J306,L306,N306,P306,R306,T306,V306)</f>
        <v/>
      </c>
      <c r="Y306" s="57">
        <f>12*COUNT(G306,I306,K306,M306,O306,Q306,U306,W306,S306)</f>
        <v/>
      </c>
      <c r="Z306" s="40">
        <f>IF(AND('0₦'!T309&lt;&gt;0,'0₦'!T309&lt;&gt;""),9,0) + 0</f>
        <v/>
      </c>
      <c r="AA306" s="445">
        <f>'0₦'!BI309 + 0</f>
        <v/>
      </c>
      <c r="AB306" s="446">
        <f>'0₦'!BE309</f>
        <v/>
      </c>
      <c r="AC306" s="450">
        <f>'0₦'!BC309 + 0</f>
        <v/>
      </c>
      <c r="AD306" s="42">
        <f>'0₦'!BD309</f>
        <v/>
      </c>
      <c r="AE306" s="42">
        <f>'0₦'!AX309</f>
        <v/>
      </c>
      <c r="AF306" s="446">
        <f>hcbi!AA310+hcbi!Y310</f>
        <v/>
      </c>
      <c r="AG306" s="42">
        <f>'0₦'!AW309</f>
        <v/>
      </c>
      <c r="AH306" s="450">
        <f>0</f>
        <v/>
      </c>
      <c r="AI306" s="445" t="n"/>
      <c r="AJ306" s="445" t="n"/>
      <c r="AK306" s="44" t="n"/>
      <c r="AL306" s="45" t="n"/>
    </row>
    <row r="307" ht="17.1" customHeight="1" s="37">
      <c r="B307" s="546">
        <f>B306+1</f>
        <v/>
      </c>
      <c r="C307" s="450" t="inlineStr">
        <is>
          <t>sf21</t>
        </is>
      </c>
      <c r="D307" s="257">
        <f>SUM(Y307:AH307)</f>
        <v/>
      </c>
      <c r="E307" s="54">
        <f>'0₦'!AF310</f>
        <v/>
      </c>
      <c r="F307" s="41">
        <f>'0₦'!AG310</f>
        <v/>
      </c>
      <c r="H307" s="410">
        <f>D307</f>
        <v/>
      </c>
      <c r="J307" s="42">
        <f>D307-H307</f>
        <v/>
      </c>
      <c r="L307" s="42">
        <f>D307-SUM(H307,J307)</f>
        <v/>
      </c>
      <c r="N307" s="42">
        <f>D307-SUM(H307,J307,L307,)</f>
        <v/>
      </c>
      <c r="P307" s="42">
        <f>D307-SUM(H307,J307,L307,N307)</f>
        <v/>
      </c>
      <c r="R307" s="42">
        <f>D307-SUM(H307,J307,L307,N307,P307)</f>
        <v/>
      </c>
      <c r="T307" s="42">
        <f>D307-SUM(H307,J307,L307,N307,P307,R307)</f>
        <v/>
      </c>
      <c r="V307" s="42">
        <f>D307-SUM(H307,J307,L307,N307,P307,R307,T307)</f>
        <v/>
      </c>
      <c r="X307" s="56">
        <f>D307-SUM(H307,J307,L307,N307,P307,R307,T307,V307)</f>
        <v/>
      </c>
      <c r="Y307" s="57">
        <f>12*COUNT(G307,I307,K307,M307,O307,Q307,U307,W307,S307)</f>
        <v/>
      </c>
      <c r="Z307" s="40">
        <f>IF(AND('0₦'!T310&lt;&gt;0,'0₦'!T310&lt;&gt;""),9,0) + 0</f>
        <v/>
      </c>
      <c r="AA307" s="445">
        <f>'0₦'!BI310 + 0</f>
        <v/>
      </c>
      <c r="AB307" s="446">
        <f>'0₦'!BE310</f>
        <v/>
      </c>
      <c r="AC307" s="450">
        <f>'0₦'!BC310 + 0</f>
        <v/>
      </c>
      <c r="AD307" s="42">
        <f>'0₦'!BD310</f>
        <v/>
      </c>
      <c r="AE307" s="42">
        <f>'0₦'!AX310</f>
        <v/>
      </c>
      <c r="AF307" s="446">
        <f>hcbi!AA311+hcbi!Y311</f>
        <v/>
      </c>
      <c r="AG307" s="42">
        <f>'0₦'!AW310</f>
        <v/>
      </c>
      <c r="AH307" s="450">
        <f>0</f>
        <v/>
      </c>
      <c r="AK307" s="61" t="n"/>
      <c r="AL307" s="45" t="n"/>
    </row>
    <row r="308" ht="17.1" customHeight="1" s="37">
      <c r="B308" s="546">
        <f>B307+1</f>
        <v/>
      </c>
      <c r="C308" s="450" t="inlineStr">
        <is>
          <t>sf21</t>
        </is>
      </c>
      <c r="D308" s="257">
        <f>SUM(Y308:AH308)</f>
        <v/>
      </c>
      <c r="E308" s="54">
        <f>'0₦'!AF311</f>
        <v/>
      </c>
      <c r="F308" s="41">
        <f>'0₦'!AG311</f>
        <v/>
      </c>
      <c r="H308" s="410">
        <f>D308</f>
        <v/>
      </c>
      <c r="J308" s="42">
        <f>D308-H308</f>
        <v/>
      </c>
      <c r="L308" s="42">
        <f>D308-SUM(H308,J308)</f>
        <v/>
      </c>
      <c r="N308" s="42">
        <f>D308-SUM(H308,J308,L308,)</f>
        <v/>
      </c>
      <c r="P308" s="42">
        <f>D308-SUM(H308,J308,L308,N308)</f>
        <v/>
      </c>
      <c r="R308" s="42">
        <f>D308-SUM(H308,J308,L308,N308,P308)</f>
        <v/>
      </c>
      <c r="T308" s="42">
        <f>D308-SUM(H308,J308,L308,N308,P308,R308)</f>
        <v/>
      </c>
      <c r="V308" s="42">
        <f>D308-SUM(H308,J308,L308,N308,P308,R308,T308)</f>
        <v/>
      </c>
      <c r="X308" s="56">
        <f>D308-SUM(H308,J308,L308,N308,P308,R308,T308,V308)</f>
        <v/>
      </c>
      <c r="Y308" s="57">
        <f>12*COUNT(G308,I308,K308,M308,O308,Q308,U308,W308,S308)</f>
        <v/>
      </c>
      <c r="Z308" s="40">
        <f>IF(AND('0₦'!T311&lt;&gt;0,'0₦'!T311&lt;&gt;""),9,0) + 0</f>
        <v/>
      </c>
      <c r="AA308" s="445">
        <f>'0₦'!BI311 + 0</f>
        <v/>
      </c>
      <c r="AB308" s="446">
        <f>'0₦'!BE311</f>
        <v/>
      </c>
      <c r="AC308" s="450">
        <f>'0₦'!BC311 + 0</f>
        <v/>
      </c>
      <c r="AD308" s="42">
        <f>'0₦'!BD311</f>
        <v/>
      </c>
      <c r="AE308" s="42">
        <f>'0₦'!AX311</f>
        <v/>
      </c>
      <c r="AF308" s="446">
        <f>hcbi!AA312+hcbi!Y312</f>
        <v/>
      </c>
      <c r="AG308" s="42">
        <f>'0₦'!AW311</f>
        <v/>
      </c>
      <c r="AH308" s="450">
        <f>0</f>
        <v/>
      </c>
      <c r="AI308" s="445" t="n"/>
      <c r="AJ308" s="445" t="n"/>
      <c r="AK308" s="44" t="n"/>
      <c r="AL308" s="45" t="n"/>
    </row>
    <row r="309" ht="17.1" customHeight="1" s="37">
      <c r="A309" s="547" t="n"/>
      <c r="B309" s="546">
        <f>B308+1</f>
        <v/>
      </c>
      <c r="C309" s="450" t="inlineStr">
        <is>
          <t>sf21</t>
        </is>
      </c>
      <c r="D309" s="257">
        <f>SUM(Y309:AH309)</f>
        <v/>
      </c>
      <c r="E309" s="54">
        <f>'0₦'!AF312</f>
        <v/>
      </c>
      <c r="F309" s="41">
        <f>'0₦'!AG312</f>
        <v/>
      </c>
      <c r="H309" s="410">
        <f>D309</f>
        <v/>
      </c>
      <c r="J309" s="42">
        <f>D309-H309</f>
        <v/>
      </c>
      <c r="L309" s="42">
        <f>D309-SUM(H309,J309)</f>
        <v/>
      </c>
      <c r="N309" s="42">
        <f>D309-SUM(H309,J309,L309,)</f>
        <v/>
      </c>
      <c r="P309" s="42">
        <f>D309-SUM(H309,J309,L309,N309)</f>
        <v/>
      </c>
      <c r="R309" s="42">
        <f>D309-SUM(H309,J309,L309,N309,P309)</f>
        <v/>
      </c>
      <c r="T309" s="42">
        <f>D309-SUM(H309,J309,L309,N309,P309,R309)</f>
        <v/>
      </c>
      <c r="V309" s="42">
        <f>D309-SUM(H309,J309,L309,N309,P309,R309,T309)</f>
        <v/>
      </c>
      <c r="X309" s="56">
        <f>D309-SUM(H309,J309,L309,N309,P309,R309,T309,V309)</f>
        <v/>
      </c>
      <c r="Y309" s="57">
        <f>12*COUNT(G309,I309,K309,M309,O309,Q309,U309,W309,S309)</f>
        <v/>
      </c>
      <c r="Z309" s="40">
        <f>IF(AND('0₦'!T312&lt;&gt;0,'0₦'!T312&lt;&gt;""),9,0) + 0</f>
        <v/>
      </c>
      <c r="AA309" s="445">
        <f>'0₦'!BI312 + 0</f>
        <v/>
      </c>
      <c r="AB309" s="446">
        <f>'0₦'!BE312</f>
        <v/>
      </c>
      <c r="AC309" s="450">
        <f>'0₦'!BC312 + 0</f>
        <v/>
      </c>
      <c r="AD309" s="42">
        <f>'0₦'!BD312</f>
        <v/>
      </c>
      <c r="AE309" s="42">
        <f>'0₦'!AX312</f>
        <v/>
      </c>
      <c r="AF309" s="446">
        <f>hcbi!AA313+hcbi!Y313</f>
        <v/>
      </c>
      <c r="AG309" s="42">
        <f>'0₦'!AW312</f>
        <v/>
      </c>
      <c r="AH309" s="450">
        <f>0</f>
        <v/>
      </c>
      <c r="AK309" s="44" t="n"/>
      <c r="AL309" s="45" t="n"/>
    </row>
    <row r="310" ht="17.1" customHeight="1" s="37">
      <c r="A310" s="441">
        <f>A303+0.1</f>
        <v/>
      </c>
      <c r="B310" s="546">
        <f>B309+1</f>
        <v/>
      </c>
      <c r="C310" s="450" t="inlineStr">
        <is>
          <t>sf21</t>
        </is>
      </c>
      <c r="D310" s="257">
        <f>SUM(Y310:AH310)</f>
        <v/>
      </c>
      <c r="E310" s="54">
        <f>'0₦'!AF313</f>
        <v/>
      </c>
      <c r="F310" s="41">
        <f>'0₦'!AG313</f>
        <v/>
      </c>
      <c r="H310" s="410">
        <f>D310</f>
        <v/>
      </c>
      <c r="J310" s="42">
        <f>D310-H310</f>
        <v/>
      </c>
      <c r="L310" s="42">
        <f>D310-SUM(H310,J310)</f>
        <v/>
      </c>
      <c r="N310" s="42">
        <f>D310-SUM(H310,J310,L310,)</f>
        <v/>
      </c>
      <c r="P310" s="42">
        <f>D310-SUM(H310,J310,L310,N310)</f>
        <v/>
      </c>
      <c r="R310" s="42">
        <f>D310-SUM(H310,J310,L310,N310,P310)</f>
        <v/>
      </c>
      <c r="T310" s="42">
        <f>D310-SUM(H310,J310,L310,N310,P310,R310)</f>
        <v/>
      </c>
      <c r="V310" s="42">
        <f>D310-SUM(H310,J310,L310,N310,P310,R310,T310)</f>
        <v/>
      </c>
      <c r="X310" s="56">
        <f>D310-SUM(H310,J310,L310,N310,P310,R310,T310,V310)</f>
        <v/>
      </c>
      <c r="Y310" s="57">
        <f>12*COUNT(G310,I310,K310,M310,O310,Q310,U310,W310,S310)</f>
        <v/>
      </c>
      <c r="Z310" s="40">
        <f>IF(AND('0₦'!T313&lt;&gt;0,'0₦'!T313&lt;&gt;""),9,0) + 0</f>
        <v/>
      </c>
      <c r="AA310" s="445">
        <f>'0₦'!BI313 + 0</f>
        <v/>
      </c>
      <c r="AB310" s="446">
        <f>'0₦'!BE313</f>
        <v/>
      </c>
      <c r="AC310" s="450">
        <f>'0₦'!BC313 + 0</f>
        <v/>
      </c>
      <c r="AD310" s="42">
        <f>'0₦'!BD313</f>
        <v/>
      </c>
      <c r="AE310" s="42">
        <f>'0₦'!AX313</f>
        <v/>
      </c>
      <c r="AF310" s="446">
        <f>hcbi!AA314+hcbi!Y314</f>
        <v/>
      </c>
      <c r="AG310" s="42">
        <f>'0₦'!AW313</f>
        <v/>
      </c>
      <c r="AH310" s="450">
        <f>0</f>
        <v/>
      </c>
      <c r="AI310" s="445" t="n"/>
      <c r="AJ310" s="445" t="n"/>
      <c r="AK310" s="44" t="n"/>
      <c r="AL310" s="45" t="n"/>
    </row>
    <row r="311" ht="17.1" customHeight="1" s="37">
      <c r="B311" s="546">
        <f>B310+1</f>
        <v/>
      </c>
      <c r="C311" s="450" t="inlineStr">
        <is>
          <t>sf21</t>
        </is>
      </c>
      <c r="D311" s="257">
        <f>SUM(Y311:AH311)</f>
        <v/>
      </c>
      <c r="E311" s="54">
        <f>'0₦'!AF314</f>
        <v/>
      </c>
      <c r="F311" s="41">
        <f>'0₦'!AG314</f>
        <v/>
      </c>
      <c r="H311" s="410">
        <f>D311</f>
        <v/>
      </c>
      <c r="J311" s="42">
        <f>D311-H311</f>
        <v/>
      </c>
      <c r="L311" s="42">
        <f>D311-SUM(H311,J311)</f>
        <v/>
      </c>
      <c r="N311" s="42">
        <f>D311-SUM(H311,J311,L311,)</f>
        <v/>
      </c>
      <c r="P311" s="42">
        <f>D311-SUM(H311,J311,L311,N311)</f>
        <v/>
      </c>
      <c r="R311" s="42">
        <f>D311-SUM(H311,J311,L311,N311,P311)</f>
        <v/>
      </c>
      <c r="T311" s="42">
        <f>D311-SUM(H311,J311,L311,N311,P311,R311)</f>
        <v/>
      </c>
      <c r="V311" s="42">
        <f>D311-SUM(H311,J311,L311,N311,P311,R311,T311)</f>
        <v/>
      </c>
      <c r="X311" s="56">
        <f>D311-SUM(H311,J311,L311,N311,P311,R311,T311,V311)</f>
        <v/>
      </c>
      <c r="Y311" s="57">
        <f>12*COUNT(G311,I311,K311,M311,O311,Q311,U311,W311,S311)</f>
        <v/>
      </c>
      <c r="Z311" s="40">
        <f>IF(AND('0₦'!T314&lt;&gt;0,'0₦'!T314&lt;&gt;""),9,0) + 0</f>
        <v/>
      </c>
      <c r="AA311" s="445">
        <f>'0₦'!BI314 + 0</f>
        <v/>
      </c>
      <c r="AB311" s="446">
        <f>'0₦'!BE314</f>
        <v/>
      </c>
      <c r="AC311" s="450">
        <f>'0₦'!BC314 + 0</f>
        <v/>
      </c>
      <c r="AD311" s="42">
        <f>'0₦'!BD314</f>
        <v/>
      </c>
      <c r="AE311" s="42">
        <f>'0₦'!AX314</f>
        <v/>
      </c>
      <c r="AF311" s="446">
        <f>hcbi!AA315+hcbi!Y315</f>
        <v/>
      </c>
      <c r="AG311" s="42">
        <f>'0₦'!AW314</f>
        <v/>
      </c>
      <c r="AH311" s="450">
        <f>0</f>
        <v/>
      </c>
      <c r="AK311" s="44" t="n"/>
      <c r="AL311" s="45" t="n"/>
    </row>
    <row r="312" ht="17.1" customHeight="1" s="37">
      <c r="B312" s="546">
        <f>B311+1</f>
        <v/>
      </c>
      <c r="C312" s="450" t="inlineStr">
        <is>
          <t>sf21</t>
        </is>
      </c>
      <c r="D312" s="257">
        <f>SUM(Y312:AH312)</f>
        <v/>
      </c>
      <c r="E312" s="54">
        <f>'0₦'!AF315</f>
        <v/>
      </c>
      <c r="F312" s="41">
        <f>'0₦'!AG315</f>
        <v/>
      </c>
      <c r="H312" s="410">
        <f>D312</f>
        <v/>
      </c>
      <c r="J312" s="42">
        <f>D312-H312</f>
        <v/>
      </c>
      <c r="L312" s="42">
        <f>D312-SUM(H312,J312)</f>
        <v/>
      </c>
      <c r="N312" s="42">
        <f>D312-SUM(H312,J312,L312,)</f>
        <v/>
      </c>
      <c r="P312" s="42">
        <f>D312-SUM(H312,J312,L312,N312)</f>
        <v/>
      </c>
      <c r="R312" s="42">
        <f>D312-SUM(H312,J312,L312,N312,P312)</f>
        <v/>
      </c>
      <c r="T312" s="42">
        <f>D312-SUM(H312,J312,L312,N312,P312,R312)</f>
        <v/>
      </c>
      <c r="V312" s="42">
        <f>D312-SUM(H312,J312,L312,N312,P312,R312,T312)</f>
        <v/>
      </c>
      <c r="X312" s="56">
        <f>D312-SUM(H312,J312,L312,N312,P312,R312,T312,V312)</f>
        <v/>
      </c>
      <c r="Y312" s="57">
        <f>12*COUNT(G312,I312,K312,M312,O312,Q312,U312,W312,S312)</f>
        <v/>
      </c>
      <c r="Z312" s="40">
        <f>IF(AND('0₦'!T315&lt;&gt;0,'0₦'!T315&lt;&gt;""),9,0) + 0</f>
        <v/>
      </c>
      <c r="AA312" s="445">
        <f>'0₦'!BI315 + 0</f>
        <v/>
      </c>
      <c r="AB312" s="446">
        <f>'0₦'!BE315</f>
        <v/>
      </c>
      <c r="AC312" s="450">
        <f>'0₦'!BC315 + 0</f>
        <v/>
      </c>
      <c r="AD312" s="42">
        <f>'0₦'!BD315</f>
        <v/>
      </c>
      <c r="AE312" s="42">
        <f>'0₦'!AX315</f>
        <v/>
      </c>
      <c r="AF312" s="446">
        <f>hcbi!AA316+hcbi!Y316</f>
        <v/>
      </c>
      <c r="AG312" s="42">
        <f>'0₦'!AW315</f>
        <v/>
      </c>
      <c r="AH312" s="450">
        <f>0</f>
        <v/>
      </c>
      <c r="AI312" s="445" t="n"/>
      <c r="AJ312" s="445" t="n"/>
      <c r="AK312" s="44" t="n"/>
      <c r="AL312" s="45" t="n"/>
    </row>
    <row r="313" ht="17.1" customHeight="1" s="37">
      <c r="B313" s="546">
        <f>B312+1</f>
        <v/>
      </c>
      <c r="C313" s="450" t="inlineStr">
        <is>
          <t>sf21</t>
        </is>
      </c>
      <c r="D313" s="257">
        <f>SUM(Y313:AH313)</f>
        <v/>
      </c>
      <c r="E313" s="54">
        <f>'0₦'!AF316</f>
        <v/>
      </c>
      <c r="F313" s="41">
        <f>'0₦'!AG316</f>
        <v/>
      </c>
      <c r="H313" s="410">
        <f>D313</f>
        <v/>
      </c>
      <c r="J313" s="42">
        <f>D313-H313</f>
        <v/>
      </c>
      <c r="L313" s="42">
        <f>D313-SUM(H313,J313)</f>
        <v/>
      </c>
      <c r="N313" s="42">
        <f>D313-SUM(H313,J313,L313,)</f>
        <v/>
      </c>
      <c r="P313" s="42">
        <f>D313-SUM(H313,J313,L313,N313)</f>
        <v/>
      </c>
      <c r="R313" s="42">
        <f>D313-SUM(H313,J313,L313,N313,P313)</f>
        <v/>
      </c>
      <c r="T313" s="42">
        <f>D313-SUM(H313,J313,L313,N313,P313,R313)</f>
        <v/>
      </c>
      <c r="V313" s="42">
        <f>D313-SUM(H313,J313,L313,N313,P313,R313,T313)</f>
        <v/>
      </c>
      <c r="X313" s="56">
        <f>D313-SUM(H313,J313,L313,N313,P313,R313,T313,V313)</f>
        <v/>
      </c>
      <c r="Y313" s="57">
        <f>12*COUNT(G313,I313,K313,M313,O313,Q313,U313,W313,S313)</f>
        <v/>
      </c>
      <c r="Z313" s="40">
        <f>IF(AND('0₦'!T316&lt;&gt;0,'0₦'!T316&lt;&gt;""),9,0) + 0</f>
        <v/>
      </c>
      <c r="AA313" s="445">
        <f>'0₦'!BI316 + 0</f>
        <v/>
      </c>
      <c r="AB313" s="446">
        <f>'0₦'!BE316</f>
        <v/>
      </c>
      <c r="AC313" s="450">
        <f>'0₦'!BC316 + 0</f>
        <v/>
      </c>
      <c r="AD313" s="42">
        <f>'0₦'!BD316</f>
        <v/>
      </c>
      <c r="AE313" s="42">
        <f>'0₦'!AX316</f>
        <v/>
      </c>
      <c r="AF313" s="446">
        <f>hcbi!AA317+hcbi!Y317</f>
        <v/>
      </c>
      <c r="AG313" s="42">
        <f>'0₦'!AW316</f>
        <v/>
      </c>
      <c r="AH313" s="450">
        <f>0</f>
        <v/>
      </c>
      <c r="AK313" s="44" t="n"/>
      <c r="AL313" s="45" t="n"/>
    </row>
    <row r="314" ht="17.1" customHeight="1" s="37">
      <c r="B314" s="546">
        <f>B313+1</f>
        <v/>
      </c>
      <c r="C314" s="450" t="inlineStr">
        <is>
          <t>sf21</t>
        </is>
      </c>
      <c r="D314" s="257">
        <f>SUM(Y314:AH314)</f>
        <v/>
      </c>
      <c r="E314" s="54">
        <f>'0₦'!AF317</f>
        <v/>
      </c>
      <c r="F314" s="41">
        <f>'0₦'!AG317</f>
        <v/>
      </c>
      <c r="H314" s="410">
        <f>D314</f>
        <v/>
      </c>
      <c r="J314" s="42">
        <f>D314-H314</f>
        <v/>
      </c>
      <c r="L314" s="42">
        <f>D314-SUM(H314,J314)</f>
        <v/>
      </c>
      <c r="N314" s="42">
        <f>D314-SUM(H314,J314,L314,)</f>
        <v/>
      </c>
      <c r="P314" s="42">
        <f>D314-SUM(H314,J314,L314,N314)</f>
        <v/>
      </c>
      <c r="R314" s="42">
        <f>D314-SUM(H314,J314,L314,N314,P314)</f>
        <v/>
      </c>
      <c r="T314" s="42">
        <f>D314-SUM(H314,J314,L314,N314,P314,R314)</f>
        <v/>
      </c>
      <c r="V314" s="42">
        <f>D314-SUM(H314,J314,L314,N314,P314,R314,T314)</f>
        <v/>
      </c>
      <c r="X314" s="56">
        <f>D314-SUM(H314,J314,L314,N314,P314,R314,T314,V314)</f>
        <v/>
      </c>
      <c r="Y314" s="57">
        <f>12*COUNT(G314,I314,K314,M314,O314,Q314,U314,W314,S314)</f>
        <v/>
      </c>
      <c r="Z314" s="40">
        <f>IF(AND('0₦'!T317&lt;&gt;0,'0₦'!T317&lt;&gt;""),9,0) + 0</f>
        <v/>
      </c>
      <c r="AA314" s="445">
        <f>'0₦'!BI317 + 0</f>
        <v/>
      </c>
      <c r="AB314" s="446">
        <f>'0₦'!BE317</f>
        <v/>
      </c>
      <c r="AC314" s="450">
        <f>'0₦'!BC317 + 0</f>
        <v/>
      </c>
      <c r="AD314" s="42">
        <f>'0₦'!BD317</f>
        <v/>
      </c>
      <c r="AE314" s="42">
        <f>'0₦'!AX317</f>
        <v/>
      </c>
      <c r="AF314" s="446">
        <f>hcbi!AA318+hcbi!Y318</f>
        <v/>
      </c>
      <c r="AG314" s="42">
        <f>'0₦'!AW317</f>
        <v/>
      </c>
      <c r="AH314" s="450">
        <f>0</f>
        <v/>
      </c>
      <c r="AI314" s="446" t="n"/>
      <c r="AJ314" s="445" t="n"/>
      <c r="AK314" s="44" t="n"/>
      <c r="AL314" s="45" t="n"/>
    </row>
    <row r="315" ht="17.1" customHeight="1" s="37">
      <c r="B315" s="546">
        <f>B314+1</f>
        <v/>
      </c>
      <c r="C315" s="450" t="inlineStr">
        <is>
          <t>sf21</t>
        </is>
      </c>
      <c r="D315" s="257">
        <f>SUM(Y315:AH315)</f>
        <v/>
      </c>
      <c r="E315" s="54">
        <f>'0₦'!AF318</f>
        <v/>
      </c>
      <c r="F315" s="41">
        <f>'0₦'!AG318</f>
        <v/>
      </c>
      <c r="H315" s="410">
        <f>D315</f>
        <v/>
      </c>
      <c r="J315" s="42">
        <f>D315-H315</f>
        <v/>
      </c>
      <c r="L315" s="42">
        <f>D315-SUM(H315,J315)</f>
        <v/>
      </c>
      <c r="N315" s="42">
        <f>D315-SUM(H315,J315,L315,)</f>
        <v/>
      </c>
      <c r="P315" s="42">
        <f>D315-SUM(H315,J315,L315,N315)</f>
        <v/>
      </c>
      <c r="R315" s="42">
        <f>D315-SUM(H315,J315,L315,N315,P315)</f>
        <v/>
      </c>
      <c r="T315" s="42">
        <f>D315-SUM(H315,J315,L315,N315,P315,R315)</f>
        <v/>
      </c>
      <c r="V315" s="42">
        <f>D315-SUM(H315,J315,L315,N315,P315,R315,T315)</f>
        <v/>
      </c>
      <c r="X315" s="56">
        <f>D315-SUM(H315,J315,L315,N315,P315,R315,T315,V315)</f>
        <v/>
      </c>
      <c r="Y315" s="57">
        <f>12*COUNT(G315,I315,K315,M315,O315,Q315,U315,W315,S315)</f>
        <v/>
      </c>
      <c r="Z315" s="40">
        <f>IF(AND('0₦'!T318&lt;&gt;0,'0₦'!T318&lt;&gt;""),9,0) + 0</f>
        <v/>
      </c>
      <c r="AA315" s="445">
        <f>'0₦'!BI318 + 0</f>
        <v/>
      </c>
      <c r="AB315" s="446">
        <f>'0₦'!BE318</f>
        <v/>
      </c>
      <c r="AC315" s="450">
        <f>'0₦'!BC318 + 0</f>
        <v/>
      </c>
      <c r="AD315" s="42">
        <f>'0₦'!BD318</f>
        <v/>
      </c>
      <c r="AE315" s="42">
        <f>'0₦'!AX318</f>
        <v/>
      </c>
      <c r="AF315" s="446">
        <f>hcbi!AA319+hcbi!Y319</f>
        <v/>
      </c>
      <c r="AG315" s="42">
        <f>'0₦'!AW318</f>
        <v/>
      </c>
      <c r="AH315" s="450">
        <f>0</f>
        <v/>
      </c>
      <c r="AK315" s="44" t="n"/>
      <c r="AL315" s="45" t="n"/>
    </row>
    <row r="316" ht="17.1" customHeight="1" s="37">
      <c r="A316" s="547" t="n"/>
      <c r="B316" s="546">
        <f>B315+1</f>
        <v/>
      </c>
      <c r="C316" s="450" t="inlineStr">
        <is>
          <t>sf21</t>
        </is>
      </c>
      <c r="D316" s="257">
        <f>SUM(Y316:AH316)</f>
        <v/>
      </c>
      <c r="E316" s="54">
        <f>'0₦'!AF319</f>
        <v/>
      </c>
      <c r="F316" s="41">
        <f>'0₦'!AG319</f>
        <v/>
      </c>
      <c r="H316" s="410">
        <f>D316</f>
        <v/>
      </c>
      <c r="J316" s="42">
        <f>D316-H316</f>
        <v/>
      </c>
      <c r="L316" s="42">
        <f>D316-SUM(H316,J316)</f>
        <v/>
      </c>
      <c r="N316" s="42">
        <f>D316-SUM(H316,J316,L316,)</f>
        <v/>
      </c>
      <c r="P316" s="42">
        <f>D316-SUM(H316,J316,L316,N316)</f>
        <v/>
      </c>
      <c r="R316" s="42">
        <f>D316-SUM(H316,J316,L316,N316,P316)</f>
        <v/>
      </c>
      <c r="T316" s="42">
        <f>D316-SUM(H316,J316,L316,N316,P316,R316)</f>
        <v/>
      </c>
      <c r="V316" s="42">
        <f>D316-SUM(H316,J316,L316,N316,P316,R316,T316)</f>
        <v/>
      </c>
      <c r="X316" s="56">
        <f>D316-SUM(H316,J316,L316,N316,P316,R316,T316,V316)</f>
        <v/>
      </c>
      <c r="Y316" s="57">
        <f>12*COUNT(G316,I316,K316,M316,O316,Q316,U316,W316,S316)</f>
        <v/>
      </c>
      <c r="Z316" s="40">
        <f>IF(AND('0₦'!T319&lt;&gt;0,'0₦'!T319&lt;&gt;""),9,0) + 0</f>
        <v/>
      </c>
      <c r="AA316" s="445">
        <f>'0₦'!BI319 + 0</f>
        <v/>
      </c>
      <c r="AB316" s="446">
        <f>'0₦'!BE319</f>
        <v/>
      </c>
      <c r="AC316" s="450">
        <f>'0₦'!BC319 + 0</f>
        <v/>
      </c>
      <c r="AD316" s="42">
        <f>'0₦'!BD319</f>
        <v/>
      </c>
      <c r="AE316" s="42">
        <f>'0₦'!AX319</f>
        <v/>
      </c>
      <c r="AF316" s="446">
        <f>hcbi!AA320+hcbi!Y320</f>
        <v/>
      </c>
      <c r="AG316" s="42">
        <f>'0₦'!AW319</f>
        <v/>
      </c>
      <c r="AH316" s="450">
        <f>0</f>
        <v/>
      </c>
      <c r="AI316" s="446" t="n"/>
      <c r="AJ316" s="445" t="n"/>
      <c r="AK316" s="44" t="n"/>
      <c r="AL316" s="45" t="n"/>
    </row>
    <row r="317" ht="17.1" customHeight="1" s="37">
      <c r="A317" s="441">
        <f>A310+0.1</f>
        <v/>
      </c>
      <c r="B317" s="546">
        <f>B316+1</f>
        <v/>
      </c>
      <c r="C317" s="450" t="inlineStr">
        <is>
          <t>sf21</t>
        </is>
      </c>
      <c r="D317" s="257">
        <f>SUM(Y317:AH317)</f>
        <v/>
      </c>
      <c r="E317" s="54">
        <f>'0₦'!AF320</f>
        <v/>
      </c>
      <c r="F317" s="41">
        <f>'0₦'!AG320</f>
        <v/>
      </c>
      <c r="H317" s="410">
        <f>D317</f>
        <v/>
      </c>
      <c r="J317" s="42">
        <f>D317-H317</f>
        <v/>
      </c>
      <c r="L317" s="42">
        <f>D317-SUM(H317,J317)</f>
        <v/>
      </c>
      <c r="N317" s="42">
        <f>D317-SUM(H317,J317,L317,)</f>
        <v/>
      </c>
      <c r="P317" s="42">
        <f>D317-SUM(H317,J317,L317,N317)</f>
        <v/>
      </c>
      <c r="R317" s="42">
        <f>D317-SUM(H317,J317,L317,N317,P317)</f>
        <v/>
      </c>
      <c r="T317" s="42">
        <f>D317-SUM(H317,J317,L317,N317,P317,R317)</f>
        <v/>
      </c>
      <c r="V317" s="42">
        <f>D317-SUM(H317,J317,L317,N317,P317,R317,T317)</f>
        <v/>
      </c>
      <c r="X317" s="56">
        <f>D317-SUM(H317,J317,L317,N317,P317,R317,T317,V317)</f>
        <v/>
      </c>
      <c r="Y317" s="57">
        <f>12*COUNT(G317,I317,K317,M317,O317,Q317,U317,W317,S317)</f>
        <v/>
      </c>
      <c r="Z317" s="40">
        <f>IF(AND('0₦'!T320&lt;&gt;0,'0₦'!T320&lt;&gt;""),9,0) + 0</f>
        <v/>
      </c>
      <c r="AA317" s="445">
        <f>'0₦'!BI320 + 0</f>
        <v/>
      </c>
      <c r="AB317" s="446">
        <f>'0₦'!BE320</f>
        <v/>
      </c>
      <c r="AC317" s="450">
        <f>'0₦'!BC320 + 0</f>
        <v/>
      </c>
      <c r="AD317" s="42">
        <f>'0₦'!BD320</f>
        <v/>
      </c>
      <c r="AE317" s="42">
        <f>'0₦'!AX320</f>
        <v/>
      </c>
      <c r="AF317" s="446">
        <f>hcbi!AA321+hcbi!Y321</f>
        <v/>
      </c>
      <c r="AG317" s="42">
        <f>'0₦'!AW320</f>
        <v/>
      </c>
      <c r="AH317" s="450">
        <f>0</f>
        <v/>
      </c>
      <c r="AK317" s="44" t="n"/>
      <c r="AL317" s="45" t="n"/>
    </row>
    <row r="318" ht="17.1" customHeight="1" s="37">
      <c r="B318" s="546">
        <f>B317+1</f>
        <v/>
      </c>
      <c r="C318" s="450" t="inlineStr">
        <is>
          <t>sf21</t>
        </is>
      </c>
      <c r="D318" s="257">
        <f>SUM(Y318:AH318)</f>
        <v/>
      </c>
      <c r="E318" s="54">
        <f>'0₦'!AF321</f>
        <v/>
      </c>
      <c r="F318" s="41">
        <f>'0₦'!AG321</f>
        <v/>
      </c>
      <c r="H318" s="410">
        <f>D318</f>
        <v/>
      </c>
      <c r="J318" s="42">
        <f>D318-H318</f>
        <v/>
      </c>
      <c r="L318" s="42">
        <f>D318-SUM(H318,J318)</f>
        <v/>
      </c>
      <c r="N318" s="42">
        <f>D318-SUM(H318,J318,L318,)</f>
        <v/>
      </c>
      <c r="P318" s="42">
        <f>D318-SUM(H318,J318,L318,N318)</f>
        <v/>
      </c>
      <c r="R318" s="42">
        <f>D318-SUM(H318,J318,L318,N318,P318)</f>
        <v/>
      </c>
      <c r="T318" s="42">
        <f>D318-SUM(H318,J318,L318,N318,P318,R318)</f>
        <v/>
      </c>
      <c r="V318" s="42">
        <f>D318-SUM(H318,J318,L318,N318,P318,R318,T318)</f>
        <v/>
      </c>
      <c r="X318" s="56">
        <f>D318-SUM(H318,J318,L318,N318,P318,R318,T318,V318)</f>
        <v/>
      </c>
      <c r="Y318" s="57">
        <f>12*COUNT(G318,I318,K318,M318,O318,Q318,U318,W318,S318)</f>
        <v/>
      </c>
      <c r="Z318" s="40">
        <f>IF(AND('0₦'!T321&lt;&gt;0,'0₦'!T321&lt;&gt;""),9,0) + 0</f>
        <v/>
      </c>
      <c r="AA318" s="445">
        <f>'0₦'!BI321 + 0</f>
        <v/>
      </c>
      <c r="AB318" s="446">
        <f>'0₦'!BE321</f>
        <v/>
      </c>
      <c r="AC318" s="450">
        <f>'0₦'!BC321 + 0</f>
        <v/>
      </c>
      <c r="AD318" s="42">
        <f>'0₦'!BD321</f>
        <v/>
      </c>
      <c r="AE318" s="42">
        <f>'0₦'!AX321</f>
        <v/>
      </c>
      <c r="AF318" s="446">
        <f>hcbi!AA322+hcbi!Y322</f>
        <v/>
      </c>
      <c r="AG318" s="42">
        <f>'0₦'!AW321</f>
        <v/>
      </c>
      <c r="AH318" s="450">
        <f>0</f>
        <v/>
      </c>
      <c r="AI318" s="445" t="n"/>
      <c r="AJ318" s="445" t="n"/>
      <c r="AK318" s="44" t="n"/>
      <c r="AL318" s="45" t="n"/>
    </row>
    <row r="319" ht="17.1" customHeight="1" s="37">
      <c r="B319" s="546">
        <f>B318+1</f>
        <v/>
      </c>
      <c r="C319" s="450" t="inlineStr">
        <is>
          <t>sf21</t>
        </is>
      </c>
      <c r="D319" s="257">
        <f>SUM(Y319:AH319)</f>
        <v/>
      </c>
      <c r="E319" s="54">
        <f>'0₦'!AF322</f>
        <v/>
      </c>
      <c r="F319" s="41">
        <f>'0₦'!AG322</f>
        <v/>
      </c>
      <c r="H319" s="410">
        <f>D319</f>
        <v/>
      </c>
      <c r="J319" s="42">
        <f>D319-H319</f>
        <v/>
      </c>
      <c r="L319" s="42">
        <f>D319-SUM(H319,J319)</f>
        <v/>
      </c>
      <c r="N319" s="42">
        <f>D319-SUM(H319,J319,L319,)</f>
        <v/>
      </c>
      <c r="P319" s="42">
        <f>D319-SUM(H319,J319,L319,N319)</f>
        <v/>
      </c>
      <c r="R319" s="42">
        <f>D319-SUM(H319,J319,L319,N319,P319)</f>
        <v/>
      </c>
      <c r="T319" s="42">
        <f>D319-SUM(H319,J319,L319,N319,P319,R319)</f>
        <v/>
      </c>
      <c r="V319" s="42">
        <f>D319-SUM(H319,J319,L319,N319,P319,R319,T319)</f>
        <v/>
      </c>
      <c r="X319" s="56">
        <f>D319-SUM(H319,J319,L319,N319,P319,R319,T319,V319)</f>
        <v/>
      </c>
      <c r="Y319" s="57">
        <f>12*COUNT(G319,I319,K319,M319,O319,Q319,U319,W319,S319)</f>
        <v/>
      </c>
      <c r="Z319" s="40">
        <f>IF(AND('0₦'!T322&lt;&gt;0,'0₦'!T322&lt;&gt;""),9,0) + 0</f>
        <v/>
      </c>
      <c r="AA319" s="445">
        <f>'0₦'!BI322 + 0</f>
        <v/>
      </c>
      <c r="AB319" s="446">
        <f>'0₦'!BE322</f>
        <v/>
      </c>
      <c r="AC319" s="450">
        <f>'0₦'!BC322 + 0</f>
        <v/>
      </c>
      <c r="AD319" s="42">
        <f>'0₦'!BD322</f>
        <v/>
      </c>
      <c r="AE319" s="42">
        <f>'0₦'!AX322</f>
        <v/>
      </c>
      <c r="AF319" s="446">
        <f>hcbi!AA323+hcbi!Y323</f>
        <v/>
      </c>
      <c r="AG319" s="42">
        <f>'0₦'!AW322</f>
        <v/>
      </c>
      <c r="AH319" s="450">
        <f>0</f>
        <v/>
      </c>
      <c r="AK319" s="44" t="n"/>
      <c r="AL319" s="45" t="n"/>
    </row>
    <row r="320" ht="17.1" customHeight="1" s="37">
      <c r="B320" s="546">
        <f>B319+1</f>
        <v/>
      </c>
      <c r="C320" s="450" t="inlineStr">
        <is>
          <t>sf21</t>
        </is>
      </c>
      <c r="D320" s="257">
        <f>SUM(Y320:AH320)</f>
        <v/>
      </c>
      <c r="E320" s="54">
        <f>'0₦'!AF323</f>
        <v/>
      </c>
      <c r="F320" s="41">
        <f>'0₦'!AG323</f>
        <v/>
      </c>
      <c r="H320" s="410">
        <f>D320</f>
        <v/>
      </c>
      <c r="J320" s="42">
        <f>D320-H320</f>
        <v/>
      </c>
      <c r="L320" s="42">
        <f>D320-SUM(H320,J320)</f>
        <v/>
      </c>
      <c r="N320" s="42">
        <f>D320-SUM(H320,J320,L320,)</f>
        <v/>
      </c>
      <c r="P320" s="42">
        <f>D320-SUM(H320,J320,L320,N320)</f>
        <v/>
      </c>
      <c r="R320" s="42">
        <f>D320-SUM(H320,J320,L320,N320,P320)</f>
        <v/>
      </c>
      <c r="T320" s="42">
        <f>D320-SUM(H320,J320,L320,N320,P320,R320)</f>
        <v/>
      </c>
      <c r="V320" s="42">
        <f>D320-SUM(H320,J320,L320,N320,P320,R320,T320)</f>
        <v/>
      </c>
      <c r="X320" s="56">
        <f>D320-SUM(H320,J320,L320,N320,P320,R320,T320,V320)</f>
        <v/>
      </c>
      <c r="Y320" s="57">
        <f>12*COUNT(G320,I320,K320,M320,O320,Q320,U320,W320,S320)</f>
        <v/>
      </c>
      <c r="Z320" s="40">
        <f>IF(AND('0₦'!T323&lt;&gt;0,'0₦'!T323&lt;&gt;""),9,0) + 0</f>
        <v/>
      </c>
      <c r="AA320" s="445">
        <f>'0₦'!BI323 + 0</f>
        <v/>
      </c>
      <c r="AB320" s="446">
        <f>'0₦'!BE323</f>
        <v/>
      </c>
      <c r="AC320" s="450">
        <f>'0₦'!BC323 + 0</f>
        <v/>
      </c>
      <c r="AD320" s="42">
        <f>'0₦'!BD323</f>
        <v/>
      </c>
      <c r="AE320" s="42">
        <f>'0₦'!AX323</f>
        <v/>
      </c>
      <c r="AF320" s="446">
        <f>hcbi!AA324+hcbi!Y324</f>
        <v/>
      </c>
      <c r="AG320" s="42">
        <f>'0₦'!AW323</f>
        <v/>
      </c>
      <c r="AH320" s="450">
        <f>0</f>
        <v/>
      </c>
      <c r="AI320" s="445" t="n"/>
      <c r="AJ320" s="445" t="n"/>
      <c r="AK320" s="44" t="n"/>
      <c r="AL320" s="45" t="n"/>
    </row>
    <row r="321" ht="17.1" customHeight="1" s="37">
      <c r="B321" s="546">
        <f>B320+1</f>
        <v/>
      </c>
      <c r="C321" s="450" t="inlineStr">
        <is>
          <t>sf21</t>
        </is>
      </c>
      <c r="D321" s="257">
        <f>SUM(Y321:AH321)</f>
        <v/>
      </c>
      <c r="E321" s="54">
        <f>'0₦'!AF324</f>
        <v/>
      </c>
      <c r="F321" s="41">
        <f>'0₦'!AG324</f>
        <v/>
      </c>
      <c r="H321" s="410">
        <f>D321</f>
        <v/>
      </c>
      <c r="J321" s="42">
        <f>D321-H321</f>
        <v/>
      </c>
      <c r="L321" s="42">
        <f>D321-SUM(H321,J321)</f>
        <v/>
      </c>
      <c r="N321" s="42">
        <f>D321-SUM(H321,J321,L321,)</f>
        <v/>
      </c>
      <c r="P321" s="42">
        <f>D321-SUM(H321,J321,L321,N321)</f>
        <v/>
      </c>
      <c r="R321" s="42">
        <f>D321-SUM(H321,J321,L321,N321,P321)</f>
        <v/>
      </c>
      <c r="T321" s="42">
        <f>D321-SUM(H321,J321,L321,N321,P321,R321)</f>
        <v/>
      </c>
      <c r="V321" s="42">
        <f>D321-SUM(H321,J321,L321,N321,P321,R321,T321)</f>
        <v/>
      </c>
      <c r="X321" s="56">
        <f>D321-SUM(H321,J321,L321,N321,P321,R321,T321,V321)</f>
        <v/>
      </c>
      <c r="Y321" s="57">
        <f>12*COUNT(G321,I321,K321,M321,O321,Q321,U321,W321,S321)</f>
        <v/>
      </c>
      <c r="Z321" s="40">
        <f>IF(AND('0₦'!T324&lt;&gt;0,'0₦'!T324&lt;&gt;""),9,0) + 0</f>
        <v/>
      </c>
      <c r="AA321" s="445">
        <f>'0₦'!BI324 + 0</f>
        <v/>
      </c>
      <c r="AB321" s="446">
        <f>'0₦'!BE324</f>
        <v/>
      </c>
      <c r="AC321" s="450">
        <f>'0₦'!BC324 + 0</f>
        <v/>
      </c>
      <c r="AD321" s="42">
        <f>'0₦'!BD324</f>
        <v/>
      </c>
      <c r="AE321" s="42">
        <f>'0₦'!AX324</f>
        <v/>
      </c>
      <c r="AF321" s="446">
        <f>hcbi!AA325+hcbi!Y325</f>
        <v/>
      </c>
      <c r="AG321" s="42">
        <f>'0₦'!AW324</f>
        <v/>
      </c>
      <c r="AH321" s="450">
        <f>0</f>
        <v/>
      </c>
      <c r="AK321" s="44" t="n"/>
      <c r="AL321" s="45" t="n"/>
    </row>
    <row r="322" ht="17.1" customHeight="1" s="37">
      <c r="B322" s="546">
        <f>B321+1</f>
        <v/>
      </c>
      <c r="C322" s="450" t="inlineStr">
        <is>
          <t>sf21</t>
        </is>
      </c>
      <c r="D322" s="257">
        <f>SUM(Y322:AH322)</f>
        <v/>
      </c>
      <c r="E322" s="54">
        <f>'0₦'!AF325</f>
        <v/>
      </c>
      <c r="F322" s="41">
        <f>'0₦'!AG325</f>
        <v/>
      </c>
      <c r="H322" s="410">
        <f>D322</f>
        <v/>
      </c>
      <c r="J322" s="42">
        <f>D322-H322</f>
        <v/>
      </c>
      <c r="L322" s="42">
        <f>D322-SUM(H322,J322)</f>
        <v/>
      </c>
      <c r="N322" s="42">
        <f>D322-SUM(H322,J322,L322,)</f>
        <v/>
      </c>
      <c r="P322" s="42">
        <f>D322-SUM(H322,J322,L322,N322)</f>
        <v/>
      </c>
      <c r="R322" s="42">
        <f>D322-SUM(H322,J322,L322,N322,P322)</f>
        <v/>
      </c>
      <c r="T322" s="42">
        <f>D322-SUM(H322,J322,L322,N322,P322,R322)</f>
        <v/>
      </c>
      <c r="V322" s="42">
        <f>D322-SUM(H322,J322,L322,N322,P322,R322,T322)</f>
        <v/>
      </c>
      <c r="X322" s="56">
        <f>D322-SUM(H322,J322,L322,N322,P322,R322,T322,V322)</f>
        <v/>
      </c>
      <c r="Y322" s="57">
        <f>12*COUNT(G322,I322,K322,M322,O322,Q322,U322,W322,S322)</f>
        <v/>
      </c>
      <c r="Z322" s="40">
        <f>IF(AND('0₦'!T325&lt;&gt;0,'0₦'!T325&lt;&gt;""),9,0) + 0</f>
        <v/>
      </c>
      <c r="AA322" s="445">
        <f>'0₦'!BI325 + 0</f>
        <v/>
      </c>
      <c r="AB322" s="446">
        <f>'0₦'!BE325</f>
        <v/>
      </c>
      <c r="AC322" s="450">
        <f>'0₦'!BC325 + 0</f>
        <v/>
      </c>
      <c r="AD322" s="42">
        <f>'0₦'!BD325</f>
        <v/>
      </c>
      <c r="AE322" s="42">
        <f>'0₦'!AX325</f>
        <v/>
      </c>
      <c r="AF322" s="446">
        <f>hcbi!AA326+hcbi!Y326</f>
        <v/>
      </c>
      <c r="AG322" s="42">
        <f>'0₦'!AW325</f>
        <v/>
      </c>
      <c r="AH322" s="450">
        <f>0</f>
        <v/>
      </c>
      <c r="AI322" s="445" t="n"/>
      <c r="AJ322" s="445" t="n"/>
      <c r="AK322" s="44" t="n"/>
      <c r="AL322" s="45" t="n"/>
    </row>
    <row r="323" ht="17.1" customHeight="1" s="37">
      <c r="A323" s="547" t="n"/>
      <c r="B323" s="546">
        <f>B322+1</f>
        <v/>
      </c>
      <c r="C323" s="450" t="inlineStr">
        <is>
          <t>sf21</t>
        </is>
      </c>
      <c r="D323" s="257">
        <f>SUM(Y323:AH323)</f>
        <v/>
      </c>
      <c r="E323" s="54">
        <f>'0₦'!AF326</f>
        <v/>
      </c>
      <c r="F323" s="41">
        <f>'0₦'!AG326</f>
        <v/>
      </c>
      <c r="H323" s="410">
        <f>D323</f>
        <v/>
      </c>
      <c r="J323" s="42">
        <f>D323-H323</f>
        <v/>
      </c>
      <c r="L323" s="42">
        <f>D323-SUM(H323,J323)</f>
        <v/>
      </c>
      <c r="N323" s="42">
        <f>D323-SUM(H323,J323,L323,)</f>
        <v/>
      </c>
      <c r="P323" s="42">
        <f>D323-SUM(H323,J323,L323,N323)</f>
        <v/>
      </c>
      <c r="R323" s="42">
        <f>D323-SUM(H323,J323,L323,N323,P323)</f>
        <v/>
      </c>
      <c r="T323" s="42">
        <f>D323-SUM(H323,J323,L323,N323,P323,R323)</f>
        <v/>
      </c>
      <c r="V323" s="42">
        <f>D323-SUM(H323,J323,L323,N323,P323,R323,T323)</f>
        <v/>
      </c>
      <c r="X323" s="56">
        <f>D323-SUM(H323,J323,L323,N323,P323,R323,T323,V323)</f>
        <v/>
      </c>
      <c r="Y323" s="57">
        <f>12*COUNT(G323,I323,K323,M323,O323,Q323,U323,W323,S323)</f>
        <v/>
      </c>
      <c r="Z323" s="40">
        <f>IF(AND('0₦'!T326&lt;&gt;0,'0₦'!T326&lt;&gt;""),9,0) + 0</f>
        <v/>
      </c>
      <c r="AA323" s="445">
        <f>'0₦'!BI326 + 0</f>
        <v/>
      </c>
      <c r="AB323" s="446">
        <f>'0₦'!BE326</f>
        <v/>
      </c>
      <c r="AC323" s="450">
        <f>'0₦'!BC326 + 0</f>
        <v/>
      </c>
      <c r="AD323" s="42">
        <f>'0₦'!BD326</f>
        <v/>
      </c>
      <c r="AE323" s="42">
        <f>'0₦'!AX326</f>
        <v/>
      </c>
      <c r="AF323" s="446">
        <f>hcbi!AA327+hcbi!Y327</f>
        <v/>
      </c>
      <c r="AG323" s="42">
        <f>'0₦'!AW326</f>
        <v/>
      </c>
      <c r="AH323" s="450">
        <f>0</f>
        <v/>
      </c>
      <c r="AK323" s="44" t="n"/>
      <c r="AL323" s="45" t="n"/>
    </row>
    <row r="324" ht="17.1" customHeight="1" s="37">
      <c r="A324" s="441">
        <f>A317+0.1</f>
        <v/>
      </c>
      <c r="B324" s="546">
        <f>B323+1</f>
        <v/>
      </c>
      <c r="C324" s="450" t="inlineStr">
        <is>
          <t>sf21</t>
        </is>
      </c>
      <c r="D324" s="257">
        <f>SUM(Y324:AH324)</f>
        <v/>
      </c>
      <c r="E324" s="54">
        <f>'0₦'!AF327</f>
        <v/>
      </c>
      <c r="F324" s="41">
        <f>'0₦'!AG327</f>
        <v/>
      </c>
      <c r="H324" s="410">
        <f>D324</f>
        <v/>
      </c>
      <c r="J324" s="42">
        <f>D324-H324</f>
        <v/>
      </c>
      <c r="L324" s="42">
        <f>D324-SUM(H324,J324)</f>
        <v/>
      </c>
      <c r="N324" s="42">
        <f>D324-SUM(H324,J324,L324,)</f>
        <v/>
      </c>
      <c r="P324" s="42">
        <f>D324-SUM(H324,J324,L324,N324)</f>
        <v/>
      </c>
      <c r="R324" s="42">
        <f>D324-SUM(H324,J324,L324,N324,P324)</f>
        <v/>
      </c>
      <c r="T324" s="42">
        <f>D324-SUM(H324,J324,L324,N324,P324,R324)</f>
        <v/>
      </c>
      <c r="V324" s="42">
        <f>D324-SUM(H324,J324,L324,N324,P324,R324,T324)</f>
        <v/>
      </c>
      <c r="X324" s="56">
        <f>D324-SUM(H324,J324,L324,N324,P324,R324,T324,V324)</f>
        <v/>
      </c>
      <c r="Y324" s="57">
        <f>12*COUNT(G324,I324,K324,M324,O324,Q324,U324,W324,S324)</f>
        <v/>
      </c>
      <c r="Z324" s="40">
        <f>IF(AND('0₦'!T327&lt;&gt;0,'0₦'!T327&lt;&gt;""),9,0) + 0</f>
        <v/>
      </c>
      <c r="AA324" s="445">
        <f>'0₦'!BI327 + 0</f>
        <v/>
      </c>
      <c r="AB324" s="446">
        <f>'0₦'!BE327</f>
        <v/>
      </c>
      <c r="AC324" s="450">
        <f>'0₦'!BC327 + 0</f>
        <v/>
      </c>
      <c r="AD324" s="42">
        <f>'0₦'!BD327</f>
        <v/>
      </c>
      <c r="AE324" s="42">
        <f>'0₦'!AX327</f>
        <v/>
      </c>
      <c r="AF324" s="446">
        <f>hcbi!AA328+hcbi!Y328</f>
        <v/>
      </c>
      <c r="AG324" s="42">
        <f>'0₦'!AW327</f>
        <v/>
      </c>
      <c r="AH324" s="450">
        <f>0</f>
        <v/>
      </c>
      <c r="AI324" s="445" t="n"/>
      <c r="AJ324" s="445" t="n"/>
      <c r="AK324" s="44" t="n"/>
      <c r="AL324" s="45" t="n"/>
    </row>
    <row r="325" ht="17.1" customHeight="1" s="37">
      <c r="B325" s="546">
        <f>B324+1</f>
        <v/>
      </c>
      <c r="C325" s="450" t="inlineStr">
        <is>
          <t>sf21</t>
        </is>
      </c>
      <c r="D325" s="257">
        <f>SUM(Y325:AH325)</f>
        <v/>
      </c>
      <c r="E325" s="54">
        <f>'0₦'!AF328</f>
        <v/>
      </c>
      <c r="F325" s="41">
        <f>'0₦'!AG328</f>
        <v/>
      </c>
      <c r="H325" s="410">
        <f>D325</f>
        <v/>
      </c>
      <c r="J325" s="42">
        <f>D325-H325</f>
        <v/>
      </c>
      <c r="L325" s="42">
        <f>D325-SUM(H325,J325)</f>
        <v/>
      </c>
      <c r="N325" s="42">
        <f>D325-SUM(H325,J325,L325,)</f>
        <v/>
      </c>
      <c r="P325" s="42">
        <f>D325-SUM(H325,J325,L325,N325)</f>
        <v/>
      </c>
      <c r="R325" s="42">
        <f>D325-SUM(H325,J325,L325,N325,P325)</f>
        <v/>
      </c>
      <c r="T325" s="42">
        <f>D325-SUM(H325,J325,L325,N325,P325,R325)</f>
        <v/>
      </c>
      <c r="V325" s="42">
        <f>D325-SUM(H325,J325,L325,N325,P325,R325,T325)</f>
        <v/>
      </c>
      <c r="X325" s="56">
        <f>D325-SUM(H325,J325,L325,N325,P325,R325,T325,V325)</f>
        <v/>
      </c>
      <c r="Y325" s="57">
        <f>12*COUNT(G325,I325,K325,M325,O325,Q325,U325,W325,S325)</f>
        <v/>
      </c>
      <c r="Z325" s="40">
        <f>IF(AND('0₦'!T328&lt;&gt;0,'0₦'!T328&lt;&gt;""),9,0) + 0</f>
        <v/>
      </c>
      <c r="AA325" s="445">
        <f>'0₦'!BI328 + 0</f>
        <v/>
      </c>
      <c r="AB325" s="446">
        <f>'0₦'!BE328</f>
        <v/>
      </c>
      <c r="AC325" s="450">
        <f>'0₦'!BC328 + 0</f>
        <v/>
      </c>
      <c r="AD325" s="42">
        <f>'0₦'!BD328</f>
        <v/>
      </c>
      <c r="AE325" s="42">
        <f>'0₦'!AX328</f>
        <v/>
      </c>
      <c r="AF325" s="446">
        <f>hcbi!AA329+hcbi!Y329</f>
        <v/>
      </c>
      <c r="AG325" s="42">
        <f>'0₦'!AW328</f>
        <v/>
      </c>
      <c r="AH325" s="450">
        <f>0</f>
        <v/>
      </c>
      <c r="AK325" s="44" t="n"/>
      <c r="AL325" s="45" t="n"/>
    </row>
    <row r="326" ht="17.1" customHeight="1" s="37">
      <c r="B326" s="546">
        <f>B325+1</f>
        <v/>
      </c>
      <c r="C326" s="450" t="inlineStr">
        <is>
          <t>sf21</t>
        </is>
      </c>
      <c r="D326" s="257">
        <f>SUM(Y326:AH326)</f>
        <v/>
      </c>
      <c r="E326" s="54">
        <f>'0₦'!AF329</f>
        <v/>
      </c>
      <c r="F326" s="41">
        <f>'0₦'!AG329</f>
        <v/>
      </c>
      <c r="H326" s="410">
        <f>D326</f>
        <v/>
      </c>
      <c r="J326" s="42">
        <f>D326-H326</f>
        <v/>
      </c>
      <c r="L326" s="42">
        <f>D326-SUM(H326,J326)</f>
        <v/>
      </c>
      <c r="N326" s="42">
        <f>D326-SUM(H326,J326,L326,)</f>
        <v/>
      </c>
      <c r="P326" s="42">
        <f>D326-SUM(H326,J326,L326,N326)</f>
        <v/>
      </c>
      <c r="R326" s="42">
        <f>D326-SUM(H326,J326,L326,N326,P326)</f>
        <v/>
      </c>
      <c r="T326" s="42">
        <f>D326-SUM(H326,J326,L326,N326,P326,R326)</f>
        <v/>
      </c>
      <c r="V326" s="42">
        <f>D326-SUM(H326,J326,L326,N326,P326,R326,T326)</f>
        <v/>
      </c>
      <c r="X326" s="56">
        <f>D326-SUM(H326,J326,L326,N326,P326,R326,T326,V326)</f>
        <v/>
      </c>
      <c r="Y326" s="57">
        <f>12*COUNT(G326,I326,K326,M326,O326,Q326,U326,W326,S326)</f>
        <v/>
      </c>
      <c r="Z326" s="40">
        <f>IF(AND('0₦'!T329&lt;&gt;0,'0₦'!T329&lt;&gt;""),9,0) + 0</f>
        <v/>
      </c>
      <c r="AA326" s="445">
        <f>'0₦'!BI329 + 0</f>
        <v/>
      </c>
      <c r="AB326" s="446">
        <f>'0₦'!BE329</f>
        <v/>
      </c>
      <c r="AC326" s="450">
        <f>'0₦'!BC329 + 0</f>
        <v/>
      </c>
      <c r="AD326" s="42">
        <f>'0₦'!BD329</f>
        <v/>
      </c>
      <c r="AE326" s="42">
        <f>'0₦'!AX329</f>
        <v/>
      </c>
      <c r="AF326" s="446">
        <f>hcbi!AA330+hcbi!Y330</f>
        <v/>
      </c>
      <c r="AG326" s="42">
        <f>'0₦'!AW329</f>
        <v/>
      </c>
      <c r="AH326" s="450">
        <f>0</f>
        <v/>
      </c>
      <c r="AI326" s="445" t="n"/>
      <c r="AJ326" s="445" t="n"/>
      <c r="AK326" s="44" t="n"/>
      <c r="AL326" s="45" t="n"/>
    </row>
    <row r="327" ht="17.1" customHeight="1" s="37">
      <c r="B327" s="546">
        <f>B326+1</f>
        <v/>
      </c>
      <c r="C327" s="450" t="inlineStr">
        <is>
          <t>sf21</t>
        </is>
      </c>
      <c r="D327" s="257">
        <f>SUM(Y327:AH327)</f>
        <v/>
      </c>
      <c r="E327" s="54">
        <f>'0₦'!AF330</f>
        <v/>
      </c>
      <c r="F327" s="41">
        <f>'0₦'!AG330</f>
        <v/>
      </c>
      <c r="H327" s="410">
        <f>D327</f>
        <v/>
      </c>
      <c r="J327" s="42">
        <f>D327-H327</f>
        <v/>
      </c>
      <c r="L327" s="42">
        <f>D327-SUM(H327,J327)</f>
        <v/>
      </c>
      <c r="N327" s="42">
        <f>D327-SUM(H327,J327,L327,)</f>
        <v/>
      </c>
      <c r="P327" s="42">
        <f>D327-SUM(H327,J327,L327,N327)</f>
        <v/>
      </c>
      <c r="R327" s="42">
        <f>D327-SUM(H327,J327,L327,N327,P327)</f>
        <v/>
      </c>
      <c r="T327" s="42">
        <f>D327-SUM(H327,J327,L327,N327,P327,R327)</f>
        <v/>
      </c>
      <c r="V327" s="42">
        <f>D327-SUM(H327,J327,L327,N327,P327,R327,T327)</f>
        <v/>
      </c>
      <c r="X327" s="56">
        <f>D327-SUM(H327,J327,L327,N327,P327,R327,T327,V327)</f>
        <v/>
      </c>
      <c r="Y327" s="57">
        <f>12*COUNT(G327,I327,K327,M327,O327,Q327,U327,W327,S327)</f>
        <v/>
      </c>
      <c r="Z327" s="40">
        <f>IF(AND('0₦'!T330&lt;&gt;0,'0₦'!T330&lt;&gt;""),9,0) + 0</f>
        <v/>
      </c>
      <c r="AA327" s="445">
        <f>'0₦'!BI330 + 0</f>
        <v/>
      </c>
      <c r="AB327" s="446">
        <f>'0₦'!BE330</f>
        <v/>
      </c>
      <c r="AC327" s="450">
        <f>'0₦'!BC330 + 0</f>
        <v/>
      </c>
      <c r="AD327" s="42">
        <f>'0₦'!BD330</f>
        <v/>
      </c>
      <c r="AE327" s="42">
        <f>'0₦'!AX330</f>
        <v/>
      </c>
      <c r="AF327" s="446">
        <f>hcbi!AA331+hcbi!Y331</f>
        <v/>
      </c>
      <c r="AG327" s="42">
        <f>'0₦'!AW330</f>
        <v/>
      </c>
      <c r="AH327" s="450">
        <f>0</f>
        <v/>
      </c>
      <c r="AK327" s="44" t="n"/>
      <c r="AL327" s="45" t="n"/>
    </row>
    <row r="328" ht="17.1" customHeight="1" s="37">
      <c r="B328" s="546">
        <f>B327+1</f>
        <v/>
      </c>
      <c r="C328" s="450" t="inlineStr">
        <is>
          <t>sf21</t>
        </is>
      </c>
      <c r="D328" s="257">
        <f>SUM(Y328:AH328)</f>
        <v/>
      </c>
      <c r="E328" s="54">
        <f>'0₦'!AF331</f>
        <v/>
      </c>
      <c r="F328" s="41">
        <f>'0₦'!AG331</f>
        <v/>
      </c>
      <c r="H328" s="410">
        <f>D328</f>
        <v/>
      </c>
      <c r="J328" s="42">
        <f>D328-H328</f>
        <v/>
      </c>
      <c r="L328" s="42">
        <f>D328-SUM(H328,J328)</f>
        <v/>
      </c>
      <c r="N328" s="42">
        <f>D328-SUM(H328,J328,L328,)</f>
        <v/>
      </c>
      <c r="P328" s="42">
        <f>D328-SUM(H328,J328,L328,N328)</f>
        <v/>
      </c>
      <c r="R328" s="42">
        <f>D328-SUM(H328,J328,L328,N328,P328)</f>
        <v/>
      </c>
      <c r="T328" s="42">
        <f>D328-SUM(H328,J328,L328,N328,P328,R328)</f>
        <v/>
      </c>
      <c r="V328" s="42">
        <f>D328-SUM(H328,J328,L328,N328,P328,R328,T328)</f>
        <v/>
      </c>
      <c r="X328" s="56">
        <f>D328-SUM(H328,J328,L328,N328,P328,R328,T328,V328)</f>
        <v/>
      </c>
      <c r="Y328" s="57">
        <f>12*COUNT(G328,I328,K328,M328,O328,Q328,U328,W328,S328)</f>
        <v/>
      </c>
      <c r="Z328" s="40">
        <f>IF(AND('0₦'!T331&lt;&gt;0,'0₦'!T331&lt;&gt;""),9,0) + 0</f>
        <v/>
      </c>
      <c r="AA328" s="445">
        <f>'0₦'!BI331 + 0</f>
        <v/>
      </c>
      <c r="AB328" s="446">
        <f>'0₦'!BE331</f>
        <v/>
      </c>
      <c r="AC328" s="450">
        <f>'0₦'!BC331 + 0</f>
        <v/>
      </c>
      <c r="AD328" s="42">
        <f>'0₦'!BD331</f>
        <v/>
      </c>
      <c r="AE328" s="42">
        <f>'0₦'!AX331</f>
        <v/>
      </c>
      <c r="AF328" s="446">
        <f>hcbi!AA332+hcbi!Y332</f>
        <v/>
      </c>
      <c r="AG328" s="42">
        <f>'0₦'!AW331</f>
        <v/>
      </c>
      <c r="AH328" s="450">
        <f>0</f>
        <v/>
      </c>
      <c r="AI328" s="445" t="n"/>
      <c r="AJ328" s="445" t="n"/>
      <c r="AK328" s="44" t="n"/>
      <c r="AL328" s="45" t="n"/>
    </row>
    <row r="329" ht="17.1" customHeight="1" s="37">
      <c r="B329" s="546">
        <f>B328+1</f>
        <v/>
      </c>
      <c r="C329" s="450" t="inlineStr">
        <is>
          <t>sf21</t>
        </is>
      </c>
      <c r="D329" s="257">
        <f>SUM(Y329:AH329)</f>
        <v/>
      </c>
      <c r="E329" s="54">
        <f>'0₦'!AF332</f>
        <v/>
      </c>
      <c r="F329" s="41">
        <f>'0₦'!AG332</f>
        <v/>
      </c>
      <c r="H329" s="410">
        <f>D329</f>
        <v/>
      </c>
      <c r="J329" s="42">
        <f>D329-H329</f>
        <v/>
      </c>
      <c r="L329" s="42">
        <f>D329-SUM(H329,J329)</f>
        <v/>
      </c>
      <c r="N329" s="42">
        <f>D329-SUM(H329,J329,L329,)</f>
        <v/>
      </c>
      <c r="P329" s="42">
        <f>D329-SUM(H329,J329,L329,N329)</f>
        <v/>
      </c>
      <c r="R329" s="42">
        <f>D329-SUM(H329,J329,L329,N329,P329)</f>
        <v/>
      </c>
      <c r="T329" s="42">
        <f>D329-SUM(H329,J329,L329,N329,P329,R329)</f>
        <v/>
      </c>
      <c r="V329" s="42">
        <f>D329-SUM(H329,J329,L329,N329,P329,R329,T329)</f>
        <v/>
      </c>
      <c r="X329" s="56">
        <f>D329-SUM(H329,J329,L329,N329,P329,R329,T329,V329)</f>
        <v/>
      </c>
      <c r="Y329" s="57">
        <f>12*COUNT(G329,I329,K329,M329,O329,Q329,U329,W329,S329)</f>
        <v/>
      </c>
      <c r="Z329" s="40">
        <f>IF(AND('0₦'!T332&lt;&gt;0,'0₦'!T332&lt;&gt;""),9,0) + 0</f>
        <v/>
      </c>
      <c r="AA329" s="445">
        <f>'0₦'!BI332 + 0</f>
        <v/>
      </c>
      <c r="AB329" s="446">
        <f>'0₦'!BE332</f>
        <v/>
      </c>
      <c r="AC329" s="450">
        <f>'0₦'!BC332 + 0</f>
        <v/>
      </c>
      <c r="AD329" s="42">
        <f>'0₦'!BD332</f>
        <v/>
      </c>
      <c r="AE329" s="42">
        <f>'0₦'!AX332</f>
        <v/>
      </c>
      <c r="AF329" s="446">
        <f>hcbi!AA333+hcbi!Y333</f>
        <v/>
      </c>
      <c r="AG329" s="42">
        <f>'0₦'!AW332</f>
        <v/>
      </c>
      <c r="AH329" s="450">
        <f>0</f>
        <v/>
      </c>
      <c r="AK329" s="44" t="n"/>
      <c r="AL329" s="45" t="n"/>
    </row>
    <row r="330" ht="17.1" customHeight="1" s="37">
      <c r="A330" s="547" t="n"/>
      <c r="B330" s="546">
        <f>B329+1</f>
        <v/>
      </c>
      <c r="C330" s="450" t="inlineStr">
        <is>
          <t>sf21</t>
        </is>
      </c>
      <c r="D330" s="257">
        <f>SUM(Y330:AH330)</f>
        <v/>
      </c>
      <c r="E330" s="54">
        <f>'0₦'!AF333</f>
        <v/>
      </c>
      <c r="F330" s="41">
        <f>'0₦'!AG333</f>
        <v/>
      </c>
      <c r="H330" s="410">
        <f>D330</f>
        <v/>
      </c>
      <c r="J330" s="42">
        <f>D330-H330</f>
        <v/>
      </c>
      <c r="L330" s="42">
        <f>D330-SUM(H330,J330)</f>
        <v/>
      </c>
      <c r="N330" s="42">
        <f>D330-SUM(H330,J330,L330,)</f>
        <v/>
      </c>
      <c r="P330" s="42">
        <f>D330-SUM(H330,J330,L330,N330)</f>
        <v/>
      </c>
      <c r="R330" s="42">
        <f>D330-SUM(H330,J330,L330,N330,P330)</f>
        <v/>
      </c>
      <c r="T330" s="42">
        <f>D330-SUM(H330,J330,L330,N330,P330,R330)</f>
        <v/>
      </c>
      <c r="V330" s="42">
        <f>D330-SUM(H330,J330,L330,N330,P330,R330,T330)</f>
        <v/>
      </c>
      <c r="X330" s="56">
        <f>D330-SUM(H330,J330,L330,N330,P330,R330,T330,V330)</f>
        <v/>
      </c>
      <c r="Y330" s="57">
        <f>12*COUNT(G330,I330,K330,M330,O330,Q330,U330,W330,S330)</f>
        <v/>
      </c>
      <c r="Z330" s="40">
        <f>IF(AND('0₦'!T333&lt;&gt;0,'0₦'!T333&lt;&gt;""),9,0) + 0</f>
        <v/>
      </c>
      <c r="AA330" s="445">
        <f>'0₦'!BI333 + 0</f>
        <v/>
      </c>
      <c r="AB330" s="446">
        <f>'0₦'!BE333</f>
        <v/>
      </c>
      <c r="AC330" s="450">
        <f>'0₦'!BC333 + 0</f>
        <v/>
      </c>
      <c r="AD330" s="42">
        <f>'0₦'!BD333</f>
        <v/>
      </c>
      <c r="AE330" s="42">
        <f>'0₦'!AX333</f>
        <v/>
      </c>
      <c r="AF330" s="446">
        <f>hcbi!AA334+hcbi!Y334</f>
        <v/>
      </c>
      <c r="AG330" s="42">
        <f>'0₦'!AW333</f>
        <v/>
      </c>
      <c r="AH330" s="450">
        <f>0</f>
        <v/>
      </c>
      <c r="AI330" s="445" t="n"/>
      <c r="AJ330" s="445" t="n"/>
      <c r="AK330" s="44" t="n"/>
      <c r="AL330" s="45" t="n"/>
    </row>
    <row r="331" ht="17.1" customHeight="1" s="37">
      <c r="A331" s="441">
        <f>A303+1</f>
        <v/>
      </c>
      <c r="B331" s="546">
        <f>B330+1</f>
        <v/>
      </c>
      <c r="C331" s="450" t="inlineStr">
        <is>
          <t>sf21</t>
        </is>
      </c>
      <c r="D331" s="257">
        <f>SUM(Y331:AH331)</f>
        <v/>
      </c>
      <c r="E331" s="54">
        <f>'0₦'!AF334</f>
        <v/>
      </c>
      <c r="F331" s="41">
        <f>'0₦'!AG334</f>
        <v/>
      </c>
      <c r="H331" s="410">
        <f>D331</f>
        <v/>
      </c>
      <c r="J331" s="42">
        <f>D331-H331</f>
        <v/>
      </c>
      <c r="L331" s="42">
        <f>D331-SUM(H331,J331)</f>
        <v/>
      </c>
      <c r="N331" s="42">
        <f>D331-SUM(H331,J331,L331,)</f>
        <v/>
      </c>
      <c r="P331" s="42">
        <f>D331-SUM(H331,J331,L331,N331)</f>
        <v/>
      </c>
      <c r="R331" s="42">
        <f>D331-SUM(H331,J331,L331,N331,P331)</f>
        <v/>
      </c>
      <c r="T331" s="42">
        <f>D331-SUM(H331,J331,L331,N331,P331,R331)</f>
        <v/>
      </c>
      <c r="V331" s="42">
        <f>D331-SUM(H331,J331,L331,N331,P331,R331,T331)</f>
        <v/>
      </c>
      <c r="X331" s="56">
        <f>D331-SUM(H331,J331,L331,N331,P331,R331,T331,V331)</f>
        <v/>
      </c>
      <c r="Y331" s="57">
        <f>12*COUNT(G331,I331,K331,M331,O331,Q331,U331,W331,S331)</f>
        <v/>
      </c>
      <c r="Z331" s="40">
        <f>IF(AND('0₦'!T334&lt;&gt;0,'0₦'!T334&lt;&gt;""),9,0) + 0</f>
        <v/>
      </c>
      <c r="AA331" s="445">
        <f>'0₦'!BI334 + 0</f>
        <v/>
      </c>
      <c r="AB331" s="446">
        <f>'0₦'!BE334</f>
        <v/>
      </c>
      <c r="AC331" s="450">
        <f>'0₦'!BC334 + 0</f>
        <v/>
      </c>
      <c r="AD331" s="42">
        <f>'0₦'!BD334</f>
        <v/>
      </c>
      <c r="AE331" s="42">
        <f>'0₦'!AX334</f>
        <v/>
      </c>
      <c r="AF331" s="446">
        <f>hcbi!AA335+hcbi!Y335</f>
        <v/>
      </c>
      <c r="AG331" s="42">
        <f>'0₦'!AW334</f>
        <v/>
      </c>
      <c r="AH331" s="450">
        <f>0</f>
        <v/>
      </c>
      <c r="AK331" s="44" t="n"/>
      <c r="AL331" s="45" t="n"/>
    </row>
    <row r="332" ht="17.1" customHeight="1" s="37">
      <c r="B332" s="546">
        <f>B331+1</f>
        <v/>
      </c>
      <c r="C332" s="450" t="inlineStr">
        <is>
          <t>sf21</t>
        </is>
      </c>
      <c r="D332" s="257">
        <f>SUM(Y332:AH332)</f>
        <v/>
      </c>
      <c r="E332" s="54">
        <f>'0₦'!AF335</f>
        <v/>
      </c>
      <c r="F332" s="41">
        <f>'0₦'!AG335</f>
        <v/>
      </c>
      <c r="H332" s="410">
        <f>D332</f>
        <v/>
      </c>
      <c r="J332" s="42">
        <f>D332-H332</f>
        <v/>
      </c>
      <c r="L332" s="42">
        <f>D332-SUM(H332,J332)</f>
        <v/>
      </c>
      <c r="N332" s="42">
        <f>D332-SUM(H332,J332,L332,)</f>
        <v/>
      </c>
      <c r="P332" s="42">
        <f>D332-SUM(H332,J332,L332,N332)</f>
        <v/>
      </c>
      <c r="R332" s="42">
        <f>D332-SUM(H332,J332,L332,N332,P332)</f>
        <v/>
      </c>
      <c r="T332" s="42">
        <f>D332-SUM(H332,J332,L332,N332,P332,R332)</f>
        <v/>
      </c>
      <c r="V332" s="42">
        <f>D332-SUM(H332,J332,L332,N332,P332,R332,T332)</f>
        <v/>
      </c>
      <c r="X332" s="56">
        <f>D332-SUM(H332,J332,L332,N332,P332,R332,T332,V332)</f>
        <v/>
      </c>
      <c r="Y332" s="57">
        <f>12*COUNT(G332,I332,K332,M332,O332,Q332,U332,W332,S332)</f>
        <v/>
      </c>
      <c r="Z332" s="40">
        <f>IF(AND('0₦'!T335&lt;&gt;0,'0₦'!T335&lt;&gt;""),9,0) + 0</f>
        <v/>
      </c>
      <c r="AA332" s="445">
        <f>'0₦'!BI335 + 0</f>
        <v/>
      </c>
      <c r="AB332" s="446">
        <f>'0₦'!BE335</f>
        <v/>
      </c>
      <c r="AC332" s="450">
        <f>'0₦'!BC335 + 0</f>
        <v/>
      </c>
      <c r="AD332" s="42">
        <f>'0₦'!BD335</f>
        <v/>
      </c>
      <c r="AE332" s="42">
        <f>'0₦'!AX335</f>
        <v/>
      </c>
      <c r="AF332" s="446">
        <f>hcbi!AA336+hcbi!Y336</f>
        <v/>
      </c>
      <c r="AG332" s="42">
        <f>'0₦'!AW335</f>
        <v/>
      </c>
      <c r="AH332" s="450">
        <f>0</f>
        <v/>
      </c>
      <c r="AI332" s="445" t="n"/>
      <c r="AJ332" s="445" t="n"/>
      <c r="AK332" s="44" t="n"/>
      <c r="AL332" s="45" t="n"/>
    </row>
    <row r="333" ht="17.1" customHeight="1" s="37">
      <c r="B333" s="546">
        <f>B332+1</f>
        <v/>
      </c>
      <c r="C333" s="450" t="inlineStr">
        <is>
          <t>sf21</t>
        </is>
      </c>
      <c r="D333" s="257">
        <f>SUM(Y333:AH333)</f>
        <v/>
      </c>
      <c r="E333" s="54">
        <f>'0₦'!AF336</f>
        <v/>
      </c>
      <c r="F333" s="41">
        <f>'0₦'!AG336</f>
        <v/>
      </c>
      <c r="H333" s="410">
        <f>D333</f>
        <v/>
      </c>
      <c r="J333" s="42">
        <f>D333-H333</f>
        <v/>
      </c>
      <c r="L333" s="42">
        <f>D333-SUM(H333,J333)</f>
        <v/>
      </c>
      <c r="N333" s="42">
        <f>D333-SUM(H333,J333,L333,)</f>
        <v/>
      </c>
      <c r="P333" s="42">
        <f>D333-SUM(H333,J333,L333,N333)</f>
        <v/>
      </c>
      <c r="R333" s="42">
        <f>D333-SUM(H333,J333,L333,N333,P333)</f>
        <v/>
      </c>
      <c r="T333" s="42">
        <f>D333-SUM(H333,J333,L333,N333,P333,R333)</f>
        <v/>
      </c>
      <c r="V333" s="42">
        <f>D333-SUM(H333,J333,L333,N333,P333,R333,T333)</f>
        <v/>
      </c>
      <c r="X333" s="56">
        <f>D333-SUM(H333,J333,L333,N333,P333,R333,T333,V333)</f>
        <v/>
      </c>
      <c r="Y333" s="57">
        <f>12*COUNT(G333,I333,K333,M333,O333,Q333,U333,W333,S333)</f>
        <v/>
      </c>
      <c r="Z333" s="40">
        <f>IF(AND('0₦'!T336&lt;&gt;0,'0₦'!T336&lt;&gt;""),9,0) + 0</f>
        <v/>
      </c>
      <c r="AA333" s="445">
        <f>'0₦'!BI336 + 0</f>
        <v/>
      </c>
      <c r="AB333" s="446">
        <f>'0₦'!BE336</f>
        <v/>
      </c>
      <c r="AC333" s="450">
        <f>'0₦'!BC336 + 0</f>
        <v/>
      </c>
      <c r="AD333" s="42">
        <f>'0₦'!BD336</f>
        <v/>
      </c>
      <c r="AE333" s="42">
        <f>'0₦'!AX336</f>
        <v/>
      </c>
      <c r="AF333" s="446">
        <f>hcbi!AA337+hcbi!Y337</f>
        <v/>
      </c>
      <c r="AG333" s="42">
        <f>'0₦'!AW336</f>
        <v/>
      </c>
      <c r="AH333" s="450">
        <f>0</f>
        <v/>
      </c>
      <c r="AK333" s="44" t="n"/>
      <c r="AL333" s="45" t="n"/>
    </row>
    <row r="334" ht="17.1" customHeight="1" s="37">
      <c r="B334" s="546">
        <f>B333+1</f>
        <v/>
      </c>
      <c r="C334" s="450" t="inlineStr">
        <is>
          <t>sf21</t>
        </is>
      </c>
      <c r="D334" s="257">
        <f>SUM(Y334:AH334)</f>
        <v/>
      </c>
      <c r="E334" s="54">
        <f>'0₦'!AF337</f>
        <v/>
      </c>
      <c r="F334" s="41">
        <f>'0₦'!AG337</f>
        <v/>
      </c>
      <c r="H334" s="410">
        <f>D334</f>
        <v/>
      </c>
      <c r="J334" s="42">
        <f>D334-H334</f>
        <v/>
      </c>
      <c r="L334" s="42">
        <f>D334-SUM(H334,J334)</f>
        <v/>
      </c>
      <c r="N334" s="42">
        <f>D334-SUM(H334,J334,L334,)</f>
        <v/>
      </c>
      <c r="P334" s="42">
        <f>D334-SUM(H334,J334,L334,N334)</f>
        <v/>
      </c>
      <c r="R334" s="42">
        <f>D334-SUM(H334,J334,L334,N334,P334)</f>
        <v/>
      </c>
      <c r="T334" s="42">
        <f>D334-SUM(H334,J334,L334,N334,P334,R334)</f>
        <v/>
      </c>
      <c r="V334" s="42">
        <f>D334-SUM(H334,J334,L334,N334,P334,R334,T334)</f>
        <v/>
      </c>
      <c r="X334" s="56">
        <f>D334-SUM(H334,J334,L334,N334,P334,R334,T334,V334)</f>
        <v/>
      </c>
      <c r="Y334" s="57">
        <f>12*COUNT(G334,I334,K334,M334,O334,Q334,U334,W334,S334)</f>
        <v/>
      </c>
      <c r="Z334" s="40">
        <f>IF(AND('0₦'!T337&lt;&gt;0,'0₦'!T337&lt;&gt;""),9,0) + 0</f>
        <v/>
      </c>
      <c r="AA334" s="445">
        <f>'0₦'!BI337 + 0</f>
        <v/>
      </c>
      <c r="AB334" s="446">
        <f>'0₦'!BE337</f>
        <v/>
      </c>
      <c r="AC334" s="450">
        <f>'0₦'!BC337 + 0</f>
        <v/>
      </c>
      <c r="AD334" s="42">
        <f>'0₦'!BD337</f>
        <v/>
      </c>
      <c r="AE334" s="42">
        <f>'0₦'!AX337</f>
        <v/>
      </c>
      <c r="AF334" s="446">
        <f>hcbi!AA338+hcbi!Y338</f>
        <v/>
      </c>
      <c r="AG334" s="42">
        <f>'0₦'!AW337</f>
        <v/>
      </c>
      <c r="AH334" s="450">
        <f>0</f>
        <v/>
      </c>
      <c r="AI334" s="445" t="n"/>
      <c r="AJ334" s="445" t="n"/>
      <c r="AK334" s="44" t="n"/>
      <c r="AL334" s="45" t="n"/>
    </row>
    <row r="335" ht="17.1" customHeight="1" s="37">
      <c r="B335" s="546">
        <f>B334+1</f>
        <v/>
      </c>
      <c r="C335" s="450" t="inlineStr">
        <is>
          <t>sf21</t>
        </is>
      </c>
      <c r="D335" s="257">
        <f>SUM(Y335:AH335)</f>
        <v/>
      </c>
      <c r="E335" s="54">
        <f>'0₦'!AF338</f>
        <v/>
      </c>
      <c r="F335" s="41">
        <f>'0₦'!AG338</f>
        <v/>
      </c>
      <c r="H335" s="410">
        <f>D335</f>
        <v/>
      </c>
      <c r="J335" s="42">
        <f>D335-H335</f>
        <v/>
      </c>
      <c r="L335" s="42">
        <f>D335-SUM(H335,J335)</f>
        <v/>
      </c>
      <c r="N335" s="42">
        <f>D335-SUM(H335,J335,L335,)</f>
        <v/>
      </c>
      <c r="P335" s="42">
        <f>D335-SUM(H335,J335,L335,N335)</f>
        <v/>
      </c>
      <c r="R335" s="42">
        <f>D335-SUM(H335,J335,L335,N335,P335)</f>
        <v/>
      </c>
      <c r="T335" s="42">
        <f>D335-SUM(H335,J335,L335,N335,P335,R335)</f>
        <v/>
      </c>
      <c r="V335" s="42">
        <f>D335-SUM(H335,J335,L335,N335,P335,R335,T335)</f>
        <v/>
      </c>
      <c r="X335" s="56">
        <f>D335-SUM(H335,J335,L335,N335,P335,R335,T335,V335)</f>
        <v/>
      </c>
      <c r="Y335" s="57">
        <f>12*COUNT(G335,I335,K335,M335,O335,Q335,U335,W335,S335)</f>
        <v/>
      </c>
      <c r="Z335" s="40">
        <f>IF(AND('0₦'!T338&lt;&gt;0,'0₦'!T338&lt;&gt;""),9,0) + 0</f>
        <v/>
      </c>
      <c r="AA335" s="445">
        <f>'0₦'!BI338 + 0</f>
        <v/>
      </c>
      <c r="AB335" s="446">
        <f>'0₦'!BE338</f>
        <v/>
      </c>
      <c r="AC335" s="450">
        <f>'0₦'!BC338 + 0</f>
        <v/>
      </c>
      <c r="AD335" s="42">
        <f>'0₦'!BD338</f>
        <v/>
      </c>
      <c r="AE335" s="42">
        <f>'0₦'!AX338</f>
        <v/>
      </c>
      <c r="AF335" s="446">
        <f>hcbi!AA339+hcbi!Y339</f>
        <v/>
      </c>
      <c r="AG335" s="42">
        <f>'0₦'!AW338</f>
        <v/>
      </c>
      <c r="AH335" s="450">
        <f>0</f>
        <v/>
      </c>
      <c r="AK335" s="44" t="n"/>
      <c r="AL335" s="45" t="n"/>
    </row>
    <row r="336" ht="17.1" customHeight="1" s="37">
      <c r="B336" s="546">
        <f>B335+1</f>
        <v/>
      </c>
      <c r="C336" s="450" t="inlineStr">
        <is>
          <t>sf21</t>
        </is>
      </c>
      <c r="D336" s="257">
        <f>SUM(Y336:AH336)</f>
        <v/>
      </c>
      <c r="E336" s="54">
        <f>'0₦'!AF339</f>
        <v/>
      </c>
      <c r="F336" s="41">
        <f>'0₦'!AG339</f>
        <v/>
      </c>
      <c r="H336" s="410">
        <f>D336</f>
        <v/>
      </c>
      <c r="J336" s="42">
        <f>D336-H336</f>
        <v/>
      </c>
      <c r="L336" s="42">
        <f>D336-SUM(H336,J336)</f>
        <v/>
      </c>
      <c r="N336" s="42">
        <f>D336-SUM(H336,J336,L336,)</f>
        <v/>
      </c>
      <c r="P336" s="42">
        <f>D336-SUM(H336,J336,L336,N336)</f>
        <v/>
      </c>
      <c r="R336" s="42">
        <f>D336-SUM(H336,J336,L336,N336,P336)</f>
        <v/>
      </c>
      <c r="T336" s="42">
        <f>D336-SUM(H336,J336,L336,N336,P336,R336)</f>
        <v/>
      </c>
      <c r="V336" s="42">
        <f>D336-SUM(H336,J336,L336,N336,P336,R336,T336)</f>
        <v/>
      </c>
      <c r="X336" s="56">
        <f>D336-SUM(H336,J336,L336,N336,P336,R336,T336,V336)</f>
        <v/>
      </c>
      <c r="Y336" s="57">
        <f>12*COUNT(G336,I336,K336,M336,O336,Q336,U336,W336,S336)</f>
        <v/>
      </c>
      <c r="Z336" s="40">
        <f>IF(AND('0₦'!T339&lt;&gt;0,'0₦'!T339&lt;&gt;""),9,0) + 0</f>
        <v/>
      </c>
      <c r="AA336" s="445">
        <f>'0₦'!BI339 + 0</f>
        <v/>
      </c>
      <c r="AB336" s="446">
        <f>'0₦'!BE339</f>
        <v/>
      </c>
      <c r="AC336" s="450">
        <f>'0₦'!BC339 + 0</f>
        <v/>
      </c>
      <c r="AD336" s="42">
        <f>'0₦'!BD339</f>
        <v/>
      </c>
      <c r="AE336" s="42">
        <f>'0₦'!AX339</f>
        <v/>
      </c>
      <c r="AF336" s="446">
        <f>hcbi!AA340+hcbi!Y340</f>
        <v/>
      </c>
      <c r="AG336" s="42">
        <f>'0₦'!AW339</f>
        <v/>
      </c>
      <c r="AH336" s="450">
        <f>0</f>
        <v/>
      </c>
      <c r="AI336" s="445" t="n"/>
      <c r="AJ336" s="445" t="n"/>
      <c r="AK336" s="44" t="n"/>
      <c r="AL336" s="45" t="n"/>
    </row>
    <row r="337" ht="17.1" customHeight="1" s="37">
      <c r="A337" s="547" t="n"/>
      <c r="B337" s="546">
        <f>B336+1</f>
        <v/>
      </c>
      <c r="C337" s="450" t="inlineStr">
        <is>
          <t>sf21</t>
        </is>
      </c>
      <c r="D337" s="257">
        <f>SUM(Y337:AH337)</f>
        <v/>
      </c>
      <c r="E337" s="54">
        <f>'0₦'!AF340</f>
        <v/>
      </c>
      <c r="F337" s="41">
        <f>'0₦'!AG340</f>
        <v/>
      </c>
      <c r="H337" s="410">
        <f>D337</f>
        <v/>
      </c>
      <c r="J337" s="42">
        <f>D337-H337</f>
        <v/>
      </c>
      <c r="L337" s="42">
        <f>D337-SUM(H337,J337)</f>
        <v/>
      </c>
      <c r="N337" s="42">
        <f>D337-SUM(H337,J337,L337,)</f>
        <v/>
      </c>
      <c r="P337" s="42">
        <f>D337-SUM(H337,J337,L337,N337)</f>
        <v/>
      </c>
      <c r="R337" s="42">
        <f>D337-SUM(H337,J337,L337,N337,P337)</f>
        <v/>
      </c>
      <c r="T337" s="42">
        <f>D337-SUM(H337,J337,L337,N337,P337,R337)</f>
        <v/>
      </c>
      <c r="V337" s="42">
        <f>D337-SUM(H337,J337,L337,N337,P337,R337,T337)</f>
        <v/>
      </c>
      <c r="X337" s="56">
        <f>D337-SUM(H337,J337,L337,N337,P337,R337,T337,V337)</f>
        <v/>
      </c>
      <c r="Y337" s="57">
        <f>12*COUNT(G337,I337,K337,M337,O337,Q337,U337,W337,S337)</f>
        <v/>
      </c>
      <c r="Z337" s="40">
        <f>IF(AND('0₦'!T340&lt;&gt;0,'0₦'!T340&lt;&gt;""),9,0) + 0</f>
        <v/>
      </c>
      <c r="AA337" s="445">
        <f>'0₦'!BI340 + 0</f>
        <v/>
      </c>
      <c r="AB337" s="446">
        <f>'0₦'!BE340</f>
        <v/>
      </c>
      <c r="AC337" s="450">
        <f>'0₦'!BC340 + 0</f>
        <v/>
      </c>
      <c r="AD337" s="42">
        <f>'0₦'!BD340</f>
        <v/>
      </c>
      <c r="AE337" s="42">
        <f>'0₦'!AX340</f>
        <v/>
      </c>
      <c r="AF337" s="446">
        <f>hcbi!AA341+hcbi!Y341</f>
        <v/>
      </c>
      <c r="AG337" s="42">
        <f>'0₦'!AW340</f>
        <v/>
      </c>
      <c r="AH337" s="450">
        <f>0</f>
        <v/>
      </c>
      <c r="AK337" s="44" t="n"/>
      <c r="AL337" s="45" t="n"/>
    </row>
    <row r="338" ht="17.1" customHeight="1" s="37">
      <c r="A338" s="441">
        <f>A331+0.1</f>
        <v/>
      </c>
      <c r="B338" s="546">
        <f>B337+1</f>
        <v/>
      </c>
      <c r="C338" s="450" t="inlineStr">
        <is>
          <t>sf21</t>
        </is>
      </c>
      <c r="D338" s="257">
        <f>SUM(Y338:AH338)</f>
        <v/>
      </c>
      <c r="E338" s="54">
        <f>'0₦'!AF341</f>
        <v/>
      </c>
      <c r="F338" s="41">
        <f>'0₦'!AG341</f>
        <v/>
      </c>
      <c r="H338" s="410">
        <f>D338</f>
        <v/>
      </c>
      <c r="J338" s="42">
        <f>D338-H338</f>
        <v/>
      </c>
      <c r="L338" s="42">
        <f>D338-SUM(H338,J338)</f>
        <v/>
      </c>
      <c r="N338" s="42">
        <f>D338-SUM(H338,J338,L338,)</f>
        <v/>
      </c>
      <c r="P338" s="42">
        <f>D338-SUM(H338,J338,L338,N338)</f>
        <v/>
      </c>
      <c r="R338" s="42">
        <f>D338-SUM(H338,J338,L338,N338,P338)</f>
        <v/>
      </c>
      <c r="T338" s="42">
        <f>D338-SUM(H338,J338,L338,N338,P338,R338)</f>
        <v/>
      </c>
      <c r="V338" s="42">
        <f>D338-SUM(H338,J338,L338,N338,P338,R338,T338)</f>
        <v/>
      </c>
      <c r="X338" s="56">
        <f>D338-SUM(H338,J338,L338,N338,P338,R338,T338,V338)</f>
        <v/>
      </c>
      <c r="Y338" s="57">
        <f>12*COUNT(G338,I338,K338,M338,O338,Q338,U338,W338,S338)</f>
        <v/>
      </c>
      <c r="Z338" s="40">
        <f>IF(AND('0₦'!T341&lt;&gt;0,'0₦'!T341&lt;&gt;""),9,0) + 0</f>
        <v/>
      </c>
      <c r="AA338" s="445">
        <f>'0₦'!BI341 + 0</f>
        <v/>
      </c>
      <c r="AB338" s="446">
        <f>'0₦'!BE341</f>
        <v/>
      </c>
      <c r="AC338" s="450">
        <f>'0₦'!BC341 + 0</f>
        <v/>
      </c>
      <c r="AD338" s="42">
        <f>'0₦'!BD341</f>
        <v/>
      </c>
      <c r="AE338" s="42">
        <f>'0₦'!AX341</f>
        <v/>
      </c>
      <c r="AF338" s="446">
        <f>hcbi!AA342+hcbi!Y342</f>
        <v/>
      </c>
      <c r="AG338" s="42">
        <f>'0₦'!AW341</f>
        <v/>
      </c>
      <c r="AH338" s="450">
        <f>0</f>
        <v/>
      </c>
      <c r="AI338" s="445" t="n"/>
      <c r="AJ338" s="445" t="n"/>
      <c r="AK338" s="44" t="n"/>
      <c r="AL338" s="45" t="n"/>
    </row>
    <row r="339" ht="17.1" customHeight="1" s="37">
      <c r="B339" s="546">
        <f>B338+1</f>
        <v/>
      </c>
      <c r="C339" s="450" t="inlineStr">
        <is>
          <t>sf21</t>
        </is>
      </c>
      <c r="D339" s="257">
        <f>SUM(Y339:AH339)</f>
        <v/>
      </c>
      <c r="E339" s="54">
        <f>'0₦'!AF342</f>
        <v/>
      </c>
      <c r="F339" s="41">
        <f>'0₦'!AG342</f>
        <v/>
      </c>
      <c r="H339" s="410">
        <f>D339</f>
        <v/>
      </c>
      <c r="J339" s="42">
        <f>D339-H339</f>
        <v/>
      </c>
      <c r="L339" s="42">
        <f>D339-SUM(H339,J339)</f>
        <v/>
      </c>
      <c r="N339" s="42">
        <f>D339-SUM(H339,J339,L339,)</f>
        <v/>
      </c>
      <c r="P339" s="42">
        <f>D339-SUM(H339,J339,L339,N339)</f>
        <v/>
      </c>
      <c r="R339" s="42">
        <f>D339-SUM(H339,J339,L339,N339,P339)</f>
        <v/>
      </c>
      <c r="T339" s="42">
        <f>D339-SUM(H339,J339,L339,N339,P339,R339)</f>
        <v/>
      </c>
      <c r="V339" s="42">
        <f>D339-SUM(H339,J339,L339,N339,P339,R339,T339)</f>
        <v/>
      </c>
      <c r="X339" s="56">
        <f>D339-SUM(H339,J339,L339,N339,P339,R339,T339,V339)</f>
        <v/>
      </c>
      <c r="Y339" s="57">
        <f>12*COUNT(G339,I339,K339,M339,O339,Q339,U339,W339,S339)</f>
        <v/>
      </c>
      <c r="Z339" s="40">
        <f>IF(AND('0₦'!T342&lt;&gt;0,'0₦'!T342&lt;&gt;""),9,0) + 0</f>
        <v/>
      </c>
      <c r="AA339" s="445">
        <f>'0₦'!BI342 + 0</f>
        <v/>
      </c>
      <c r="AB339" s="446">
        <f>'0₦'!BE342</f>
        <v/>
      </c>
      <c r="AC339" s="450">
        <f>'0₦'!BC342 + 0</f>
        <v/>
      </c>
      <c r="AD339" s="42">
        <f>'0₦'!BD342</f>
        <v/>
      </c>
      <c r="AE339" s="42">
        <f>'0₦'!AX342</f>
        <v/>
      </c>
      <c r="AF339" s="446">
        <f>hcbi!AA343+hcbi!Y343</f>
        <v/>
      </c>
      <c r="AG339" s="42">
        <f>'0₦'!AW342</f>
        <v/>
      </c>
      <c r="AH339" s="450">
        <f>0</f>
        <v/>
      </c>
      <c r="AK339" s="44" t="n"/>
      <c r="AL339" s="45" t="n"/>
    </row>
    <row r="340" ht="17.1" customHeight="1" s="37">
      <c r="B340" s="546">
        <f>B339+1</f>
        <v/>
      </c>
      <c r="C340" s="450" t="inlineStr">
        <is>
          <t>sf21</t>
        </is>
      </c>
      <c r="D340" s="257">
        <f>SUM(Y340:AH340)</f>
        <v/>
      </c>
      <c r="E340" s="54">
        <f>'0₦'!AF343</f>
        <v/>
      </c>
      <c r="F340" s="41">
        <f>'0₦'!AG343</f>
        <v/>
      </c>
      <c r="H340" s="410">
        <f>D340</f>
        <v/>
      </c>
      <c r="J340" s="42">
        <f>D340-H340</f>
        <v/>
      </c>
      <c r="L340" s="42">
        <f>D340-SUM(H340,J340)</f>
        <v/>
      </c>
      <c r="N340" s="42">
        <f>D340-SUM(H340,J340,L340,)</f>
        <v/>
      </c>
      <c r="P340" s="42">
        <f>D340-SUM(H340,J340,L340,N340)</f>
        <v/>
      </c>
      <c r="R340" s="42">
        <f>D340-SUM(H340,J340,L340,N340,P340)</f>
        <v/>
      </c>
      <c r="T340" s="42">
        <f>D340-SUM(H340,J340,L340,N340,P340,R340)</f>
        <v/>
      </c>
      <c r="V340" s="42">
        <f>D340-SUM(H340,J340,L340,N340,P340,R340,T340)</f>
        <v/>
      </c>
      <c r="X340" s="56">
        <f>D340-SUM(H340,J340,L340,N340,P340,R340,T340,V340)</f>
        <v/>
      </c>
      <c r="Y340" s="57">
        <f>12*COUNT(G340,I340,K340,M340,O340,Q340,U340,W340,S340)</f>
        <v/>
      </c>
      <c r="Z340" s="40">
        <f>IF(AND('0₦'!T343&lt;&gt;0,'0₦'!T343&lt;&gt;""),9,0) + 0</f>
        <v/>
      </c>
      <c r="AA340" s="445">
        <f>'0₦'!BI343 + 0</f>
        <v/>
      </c>
      <c r="AB340" s="446">
        <f>'0₦'!BE343</f>
        <v/>
      </c>
      <c r="AC340" s="450">
        <f>'0₦'!BC343 + 0</f>
        <v/>
      </c>
      <c r="AD340" s="42">
        <f>'0₦'!BD343</f>
        <v/>
      </c>
      <c r="AE340" s="42">
        <f>'0₦'!AX343</f>
        <v/>
      </c>
      <c r="AF340" s="446">
        <f>hcbi!AA344+hcbi!Y344</f>
        <v/>
      </c>
      <c r="AG340" s="42">
        <f>'0₦'!AW343</f>
        <v/>
      </c>
      <c r="AH340" s="450">
        <f>0</f>
        <v/>
      </c>
      <c r="AI340" s="445" t="n"/>
      <c r="AJ340" s="445" t="n"/>
      <c r="AK340" s="44" t="n"/>
      <c r="AL340" s="45" t="n"/>
    </row>
    <row r="341" ht="17.1" customHeight="1" s="37">
      <c r="B341" s="546">
        <f>B340+1</f>
        <v/>
      </c>
      <c r="C341" s="450" t="inlineStr">
        <is>
          <t>sf21</t>
        </is>
      </c>
      <c r="D341" s="257">
        <f>SUM(Y341:AH341)</f>
        <v/>
      </c>
      <c r="E341" s="54">
        <f>'0₦'!AF344</f>
        <v/>
      </c>
      <c r="F341" s="41">
        <f>'0₦'!AG344</f>
        <v/>
      </c>
      <c r="H341" s="410">
        <f>D341</f>
        <v/>
      </c>
      <c r="J341" s="42">
        <f>D341-H341</f>
        <v/>
      </c>
      <c r="L341" s="42">
        <f>D341-SUM(H341,J341)</f>
        <v/>
      </c>
      <c r="N341" s="42">
        <f>D341-SUM(H341,J341,L341,)</f>
        <v/>
      </c>
      <c r="P341" s="42">
        <f>D341-SUM(H341,J341,L341,N341)</f>
        <v/>
      </c>
      <c r="R341" s="42">
        <f>D341-SUM(H341,J341,L341,N341,P341)</f>
        <v/>
      </c>
      <c r="T341" s="42">
        <f>D341-SUM(H341,J341,L341,N341,P341,R341)</f>
        <v/>
      </c>
      <c r="V341" s="42">
        <f>D341-SUM(H341,J341,L341,N341,P341,R341,T341)</f>
        <v/>
      </c>
      <c r="X341" s="56">
        <f>D341-SUM(H341,J341,L341,N341,P341,R341,T341,V341)</f>
        <v/>
      </c>
      <c r="Y341" s="57">
        <f>12*COUNT(G341,I341,K341,M341,O341,Q341,U341,W341,S341)</f>
        <v/>
      </c>
      <c r="Z341" s="40">
        <f>IF(AND('0₦'!T344&lt;&gt;0,'0₦'!T344&lt;&gt;""),9,0) + 0</f>
        <v/>
      </c>
      <c r="AA341" s="445">
        <f>'0₦'!BI344 + 0</f>
        <v/>
      </c>
      <c r="AB341" s="446">
        <f>'0₦'!BE344</f>
        <v/>
      </c>
      <c r="AC341" s="450">
        <f>'0₦'!BC344 + 0</f>
        <v/>
      </c>
      <c r="AD341" s="42">
        <f>'0₦'!BD344</f>
        <v/>
      </c>
      <c r="AE341" s="42">
        <f>'0₦'!AX344</f>
        <v/>
      </c>
      <c r="AF341" s="446">
        <f>hcbi!AA345+hcbi!Y345</f>
        <v/>
      </c>
      <c r="AG341" s="42">
        <f>'0₦'!AW344</f>
        <v/>
      </c>
      <c r="AH341" s="450">
        <f>0</f>
        <v/>
      </c>
      <c r="AK341" s="44" t="n"/>
      <c r="AL341" s="45" t="n"/>
    </row>
    <row r="342" ht="17.1" customHeight="1" s="37">
      <c r="B342" s="546">
        <f>B341+1</f>
        <v/>
      </c>
      <c r="C342" s="450" t="inlineStr">
        <is>
          <t>sf21</t>
        </is>
      </c>
      <c r="D342" s="257">
        <f>SUM(Y342:AH342)</f>
        <v/>
      </c>
      <c r="E342" s="54">
        <f>'0₦'!AF345</f>
        <v/>
      </c>
      <c r="F342" s="41">
        <f>'0₦'!AG345</f>
        <v/>
      </c>
      <c r="H342" s="410">
        <f>D342</f>
        <v/>
      </c>
      <c r="J342" s="42">
        <f>D342-H342</f>
        <v/>
      </c>
      <c r="L342" s="42">
        <f>D342-SUM(H342,J342)</f>
        <v/>
      </c>
      <c r="N342" s="42">
        <f>D342-SUM(H342,J342,L342,)</f>
        <v/>
      </c>
      <c r="P342" s="42">
        <f>D342-SUM(H342,J342,L342,N342)</f>
        <v/>
      </c>
      <c r="R342" s="42">
        <f>D342-SUM(H342,J342,L342,N342,P342)</f>
        <v/>
      </c>
      <c r="T342" s="42">
        <f>D342-SUM(H342,J342,L342,N342,P342,R342)</f>
        <v/>
      </c>
      <c r="V342" s="42">
        <f>D342-SUM(H342,J342,L342,N342,P342,R342,T342)</f>
        <v/>
      </c>
      <c r="X342" s="56">
        <f>D342-SUM(H342,J342,L342,N342,P342,R342,T342,V342)</f>
        <v/>
      </c>
      <c r="Y342" s="57">
        <f>12*COUNT(G342,I342,K342,M342,O342,Q342,U342,W342,S342)</f>
        <v/>
      </c>
      <c r="Z342" s="40">
        <f>IF(AND('0₦'!T345&lt;&gt;0,'0₦'!T345&lt;&gt;""),9,0) + 0</f>
        <v/>
      </c>
      <c r="AA342" s="445">
        <f>'0₦'!BI345 + 0</f>
        <v/>
      </c>
      <c r="AB342" s="446">
        <f>'0₦'!BE345</f>
        <v/>
      </c>
      <c r="AC342" s="450">
        <f>'0₦'!BC345 + 0</f>
        <v/>
      </c>
      <c r="AD342" s="42">
        <f>'0₦'!BD345</f>
        <v/>
      </c>
      <c r="AE342" s="42">
        <f>'0₦'!AX345</f>
        <v/>
      </c>
      <c r="AF342" s="446">
        <f>hcbi!AA346+hcbi!Y346</f>
        <v/>
      </c>
      <c r="AG342" s="42">
        <f>'0₦'!AW345</f>
        <v/>
      </c>
      <c r="AH342" s="450">
        <f>0</f>
        <v/>
      </c>
      <c r="AI342" s="445" t="n"/>
      <c r="AJ342" s="445" t="n"/>
      <c r="AK342" s="44" t="n"/>
      <c r="AL342" s="45" t="n"/>
    </row>
    <row r="343" ht="17.1" customHeight="1" s="37">
      <c r="B343" s="546">
        <f>B342+1</f>
        <v/>
      </c>
      <c r="C343" s="450" t="inlineStr">
        <is>
          <t>sf21</t>
        </is>
      </c>
      <c r="D343" s="257">
        <f>SUM(Y343:AH343)</f>
        <v/>
      </c>
      <c r="E343" s="54">
        <f>'0₦'!AF346</f>
        <v/>
      </c>
      <c r="F343" s="41">
        <f>'0₦'!AG346</f>
        <v/>
      </c>
      <c r="H343" s="410">
        <f>D343</f>
        <v/>
      </c>
      <c r="J343" s="42">
        <f>D343-H343</f>
        <v/>
      </c>
      <c r="L343" s="42">
        <f>D343-SUM(H343,J343)</f>
        <v/>
      </c>
      <c r="N343" s="42">
        <f>D343-SUM(H343,J343,L343,)</f>
        <v/>
      </c>
      <c r="P343" s="42">
        <f>D343-SUM(H343,J343,L343,N343)</f>
        <v/>
      </c>
      <c r="R343" s="42">
        <f>D343-SUM(H343,J343,L343,N343,P343)</f>
        <v/>
      </c>
      <c r="T343" s="42">
        <f>D343-SUM(H343,J343,L343,N343,P343,R343)</f>
        <v/>
      </c>
      <c r="V343" s="42">
        <f>D343-SUM(H343,J343,L343,N343,P343,R343,T343)</f>
        <v/>
      </c>
      <c r="X343" s="56">
        <f>D343-SUM(H343,J343,L343,N343,P343,R343,T343,V343)</f>
        <v/>
      </c>
      <c r="Y343" s="57">
        <f>12*COUNT(G343,I343,K343,M343,O343,Q343,U343,W343,S343)</f>
        <v/>
      </c>
      <c r="Z343" s="40">
        <f>IF(AND('0₦'!T346&lt;&gt;0,'0₦'!T346&lt;&gt;""),9,0) + 0</f>
        <v/>
      </c>
      <c r="AA343" s="445">
        <f>'0₦'!BI346 + 0</f>
        <v/>
      </c>
      <c r="AB343" s="446">
        <f>'0₦'!BE346</f>
        <v/>
      </c>
      <c r="AC343" s="450">
        <f>'0₦'!BC346 + 0</f>
        <v/>
      </c>
      <c r="AD343" s="42">
        <f>'0₦'!BD346</f>
        <v/>
      </c>
      <c r="AE343" s="42">
        <f>'0₦'!AX346</f>
        <v/>
      </c>
      <c r="AF343" s="446">
        <f>hcbi!AA347+hcbi!Y347</f>
        <v/>
      </c>
      <c r="AG343" s="42">
        <f>'0₦'!AW346</f>
        <v/>
      </c>
      <c r="AH343" s="450">
        <f>0</f>
        <v/>
      </c>
      <c r="AK343" s="44" t="n"/>
      <c r="AL343" s="45" t="n"/>
    </row>
    <row r="344" ht="17.1" customHeight="1" s="37">
      <c r="A344" s="547" t="n"/>
      <c r="B344" s="546">
        <f>B343+1</f>
        <v/>
      </c>
      <c r="C344" s="450" t="inlineStr">
        <is>
          <t>sf21</t>
        </is>
      </c>
      <c r="D344" s="257">
        <f>SUM(Y344:AH344)</f>
        <v/>
      </c>
      <c r="E344" s="54">
        <f>'0₦'!AF347</f>
        <v/>
      </c>
      <c r="F344" s="41">
        <f>'0₦'!AG347</f>
        <v/>
      </c>
      <c r="H344" s="410">
        <f>D344</f>
        <v/>
      </c>
      <c r="J344" s="42">
        <f>D344-H344</f>
        <v/>
      </c>
      <c r="L344" s="42">
        <f>D344-SUM(H344,J344)</f>
        <v/>
      </c>
      <c r="N344" s="42">
        <f>D344-SUM(H344,J344,L344,)</f>
        <v/>
      </c>
      <c r="P344" s="42">
        <f>D344-SUM(H344,J344,L344,N344)</f>
        <v/>
      </c>
      <c r="R344" s="42">
        <f>D344-SUM(H344,J344,L344,N344,P344)</f>
        <v/>
      </c>
      <c r="T344" s="42">
        <f>D344-SUM(H344,J344,L344,N344,P344,R344)</f>
        <v/>
      </c>
      <c r="V344" s="42">
        <f>D344-SUM(H344,J344,L344,N344,P344,R344,T344)</f>
        <v/>
      </c>
      <c r="X344" s="56">
        <f>D344-SUM(H344,J344,L344,N344,P344,R344,T344,V344)</f>
        <v/>
      </c>
      <c r="Y344" s="57">
        <f>12*COUNT(G344,I344,K344,M344,O344,Q344,U344,W344,S344)</f>
        <v/>
      </c>
      <c r="Z344" s="40">
        <f>IF(AND('0₦'!T347&lt;&gt;0,'0₦'!T347&lt;&gt;""),9,0) + 0</f>
        <v/>
      </c>
      <c r="AA344" s="445">
        <f>'0₦'!BI347 + 0</f>
        <v/>
      </c>
      <c r="AB344" s="446">
        <f>'0₦'!BE347</f>
        <v/>
      </c>
      <c r="AC344" s="450">
        <f>'0₦'!BC347 + 0</f>
        <v/>
      </c>
      <c r="AD344" s="42">
        <f>'0₦'!BD347</f>
        <v/>
      </c>
      <c r="AE344" s="42">
        <f>'0₦'!AX347</f>
        <v/>
      </c>
      <c r="AF344" s="446">
        <f>hcbi!AA348+hcbi!Y348</f>
        <v/>
      </c>
      <c r="AG344" s="42">
        <f>'0₦'!AW347</f>
        <v/>
      </c>
      <c r="AH344" s="450">
        <f>0</f>
        <v/>
      </c>
      <c r="AI344" s="445" t="n"/>
      <c r="AJ344" s="445" t="n"/>
      <c r="AK344" s="44" t="n"/>
      <c r="AL344" s="45" t="n"/>
    </row>
    <row r="345" ht="17.1" customHeight="1" s="37">
      <c r="A345" s="441">
        <f>A338+0.1</f>
        <v/>
      </c>
      <c r="B345" s="546">
        <f>B344+1</f>
        <v/>
      </c>
      <c r="C345" s="450" t="inlineStr">
        <is>
          <t>sf21</t>
        </is>
      </c>
      <c r="D345" s="257">
        <f>SUM(Y345:AH345)</f>
        <v/>
      </c>
      <c r="E345" s="54">
        <f>'0₦'!AF348</f>
        <v/>
      </c>
      <c r="F345" s="41">
        <f>'0₦'!AG348</f>
        <v/>
      </c>
      <c r="H345" s="410">
        <f>D345</f>
        <v/>
      </c>
      <c r="J345" s="42">
        <f>D345-H345</f>
        <v/>
      </c>
      <c r="L345" s="42">
        <f>D345-SUM(H345,J345)</f>
        <v/>
      </c>
      <c r="N345" s="42">
        <f>D345-SUM(H345,J345,L345,)</f>
        <v/>
      </c>
      <c r="P345" s="42">
        <f>D345-SUM(H345,J345,L345,N345)</f>
        <v/>
      </c>
      <c r="R345" s="42">
        <f>D345-SUM(H345,J345,L345,N345,P345)</f>
        <v/>
      </c>
      <c r="T345" s="42">
        <f>D345-SUM(H345,J345,L345,N345,P345,R345)</f>
        <v/>
      </c>
      <c r="V345" s="42">
        <f>D345-SUM(H345,J345,L345,N345,P345,R345,T345)</f>
        <v/>
      </c>
      <c r="X345" s="56">
        <f>D345-SUM(H345,J345,L345,N345,P345,R345,T345,V345)</f>
        <v/>
      </c>
      <c r="Y345" s="57">
        <f>12*COUNT(G345,I345,K345,M345,O345,Q345,U345,W345,S345)</f>
        <v/>
      </c>
      <c r="Z345" s="40">
        <f>IF(AND('0₦'!T348&lt;&gt;0,'0₦'!T348&lt;&gt;""),9,0) + 0</f>
        <v/>
      </c>
      <c r="AA345" s="445">
        <f>'0₦'!BI348 + 0</f>
        <v/>
      </c>
      <c r="AB345" s="446">
        <f>'0₦'!BE348</f>
        <v/>
      </c>
      <c r="AC345" s="450">
        <f>'0₦'!BC348 + 0</f>
        <v/>
      </c>
      <c r="AD345" s="42">
        <f>'0₦'!BD348</f>
        <v/>
      </c>
      <c r="AE345" s="42">
        <f>'0₦'!AX348</f>
        <v/>
      </c>
      <c r="AF345" s="446">
        <f>hcbi!AA349+hcbi!Y349</f>
        <v/>
      </c>
      <c r="AG345" s="42">
        <f>'0₦'!AW348</f>
        <v/>
      </c>
      <c r="AH345" s="450">
        <f>0</f>
        <v/>
      </c>
      <c r="AK345" s="44" t="n"/>
      <c r="AL345" s="45" t="n"/>
    </row>
    <row r="346" ht="17.1" customHeight="1" s="37">
      <c r="B346" s="546">
        <f>B345+1</f>
        <v/>
      </c>
      <c r="C346" s="450" t="inlineStr">
        <is>
          <t>sf21</t>
        </is>
      </c>
      <c r="D346" s="257">
        <f>SUM(Y346:AH346)</f>
        <v/>
      </c>
      <c r="E346" s="54">
        <f>'0₦'!AF349</f>
        <v/>
      </c>
      <c r="F346" s="41">
        <f>'0₦'!AG349</f>
        <v/>
      </c>
      <c r="H346" s="410">
        <f>D346</f>
        <v/>
      </c>
      <c r="J346" s="42">
        <f>D346-H346</f>
        <v/>
      </c>
      <c r="L346" s="42">
        <f>D346-SUM(H346,J346)</f>
        <v/>
      </c>
      <c r="N346" s="42">
        <f>D346-SUM(H346,J346,L346,)</f>
        <v/>
      </c>
      <c r="P346" s="42">
        <f>D346-SUM(H346,J346,L346,N346)</f>
        <v/>
      </c>
      <c r="R346" s="42">
        <f>D346-SUM(H346,J346,L346,N346,P346)</f>
        <v/>
      </c>
      <c r="T346" s="42">
        <f>D346-SUM(H346,J346,L346,N346,P346,R346)</f>
        <v/>
      </c>
      <c r="V346" s="42">
        <f>D346-SUM(H346,J346,L346,N346,P346,R346,T346)</f>
        <v/>
      </c>
      <c r="X346" s="56">
        <f>D346-SUM(H346,J346,L346,N346,P346,R346,T346,V346)</f>
        <v/>
      </c>
      <c r="Y346" s="57">
        <f>12*COUNT(G346,I346,K346,M346,O346,Q346,U346,W346,S346)</f>
        <v/>
      </c>
      <c r="Z346" s="40">
        <f>IF(AND('0₦'!T349&lt;&gt;0,'0₦'!T349&lt;&gt;""),9,0) + 0</f>
        <v/>
      </c>
      <c r="AA346" s="445">
        <f>'0₦'!BI349 + 0</f>
        <v/>
      </c>
      <c r="AB346" s="446">
        <f>'0₦'!BE349</f>
        <v/>
      </c>
      <c r="AC346" s="450">
        <f>'0₦'!BC349 + 0</f>
        <v/>
      </c>
      <c r="AD346" s="42">
        <f>'0₦'!BD349</f>
        <v/>
      </c>
      <c r="AE346" s="42">
        <f>'0₦'!AX349</f>
        <v/>
      </c>
      <c r="AF346" s="446">
        <f>hcbi!AA350+hcbi!Y350</f>
        <v/>
      </c>
      <c r="AG346" s="42">
        <f>'0₦'!AW349</f>
        <v/>
      </c>
      <c r="AH346" s="450">
        <f>0</f>
        <v/>
      </c>
      <c r="AI346" s="445" t="n"/>
      <c r="AJ346" s="445" t="n"/>
      <c r="AK346" s="44" t="n"/>
      <c r="AL346" s="45" t="n"/>
    </row>
    <row r="347" ht="17.1" customHeight="1" s="37">
      <c r="B347" s="546">
        <f>B346+1</f>
        <v/>
      </c>
      <c r="C347" s="450" t="inlineStr">
        <is>
          <t>sf21</t>
        </is>
      </c>
      <c r="D347" s="257">
        <f>SUM(Y347:AH347)</f>
        <v/>
      </c>
      <c r="E347" s="54">
        <f>'0₦'!AF350</f>
        <v/>
      </c>
      <c r="F347" s="41">
        <f>'0₦'!AG350</f>
        <v/>
      </c>
      <c r="H347" s="410">
        <f>D347</f>
        <v/>
      </c>
      <c r="J347" s="42">
        <f>D347-H347</f>
        <v/>
      </c>
      <c r="L347" s="42">
        <f>D347-SUM(H347,J347)</f>
        <v/>
      </c>
      <c r="N347" s="42">
        <f>D347-SUM(H347,J347,L347,)</f>
        <v/>
      </c>
      <c r="P347" s="42">
        <f>D347-SUM(H347,J347,L347,N347)</f>
        <v/>
      </c>
      <c r="R347" s="42">
        <f>D347-SUM(H347,J347,L347,N347,P347)</f>
        <v/>
      </c>
      <c r="T347" s="42">
        <f>D347-SUM(H347,J347,L347,N347,P347,R347)</f>
        <v/>
      </c>
      <c r="V347" s="42">
        <f>D347-SUM(H347,J347,L347,N347,P347,R347,T347)</f>
        <v/>
      </c>
      <c r="X347" s="56">
        <f>D347-SUM(H347,J347,L347,N347,P347,R347,T347,V347)</f>
        <v/>
      </c>
      <c r="Y347" s="57">
        <f>12*COUNT(G347,I347,K347,M347,O347,Q347,U347,W347,S347)</f>
        <v/>
      </c>
      <c r="Z347" s="40">
        <f>IF(AND('0₦'!T350&lt;&gt;0,'0₦'!T350&lt;&gt;""),9,0) + 0</f>
        <v/>
      </c>
      <c r="AA347" s="445">
        <f>'0₦'!BI350 + 0</f>
        <v/>
      </c>
      <c r="AB347" s="446">
        <f>'0₦'!BE350</f>
        <v/>
      </c>
      <c r="AC347" s="450">
        <f>'0₦'!BC350 + 0</f>
        <v/>
      </c>
      <c r="AD347" s="42">
        <f>'0₦'!BD350</f>
        <v/>
      </c>
      <c r="AE347" s="42">
        <f>'0₦'!AX350</f>
        <v/>
      </c>
      <c r="AF347" s="446">
        <f>hcbi!AA351+hcbi!Y351</f>
        <v/>
      </c>
      <c r="AG347" s="42">
        <f>'0₦'!AW350</f>
        <v/>
      </c>
      <c r="AH347" s="450">
        <f>0</f>
        <v/>
      </c>
      <c r="AK347" s="44" t="n"/>
      <c r="AL347" s="45" t="n"/>
    </row>
    <row r="348" ht="17.1" customHeight="1" s="37">
      <c r="B348" s="546">
        <f>B347+1</f>
        <v/>
      </c>
      <c r="C348" s="450" t="inlineStr">
        <is>
          <t>sf21</t>
        </is>
      </c>
      <c r="D348" s="257">
        <f>SUM(Y348:AH348)</f>
        <v/>
      </c>
      <c r="E348" s="54">
        <f>'0₦'!AF351</f>
        <v/>
      </c>
      <c r="F348" s="41">
        <f>'0₦'!AG351</f>
        <v/>
      </c>
      <c r="H348" s="410">
        <f>D348</f>
        <v/>
      </c>
      <c r="J348" s="42">
        <f>D348-H348</f>
        <v/>
      </c>
      <c r="L348" s="42">
        <f>D348-SUM(H348,J348)</f>
        <v/>
      </c>
      <c r="N348" s="42">
        <f>D348-SUM(H348,J348,L348,)</f>
        <v/>
      </c>
      <c r="P348" s="42">
        <f>D348-SUM(H348,J348,L348,N348)</f>
        <v/>
      </c>
      <c r="R348" s="42">
        <f>D348-SUM(H348,J348,L348,N348,P348)</f>
        <v/>
      </c>
      <c r="T348" s="42">
        <f>D348-SUM(H348,J348,L348,N348,P348,R348)</f>
        <v/>
      </c>
      <c r="V348" s="42">
        <f>D348-SUM(H348,J348,L348,N348,P348,R348,T348)</f>
        <v/>
      </c>
      <c r="X348" s="56">
        <f>D348-SUM(H348,J348,L348,N348,P348,R348,T348,V348)</f>
        <v/>
      </c>
      <c r="Y348" s="57">
        <f>12*COUNT(G348,I348,K348,M348,O348,Q348,U348,W348,S348)</f>
        <v/>
      </c>
      <c r="Z348" s="40">
        <f>IF(AND('0₦'!T351&lt;&gt;0,'0₦'!T351&lt;&gt;""),9,0) + 0</f>
        <v/>
      </c>
      <c r="AA348" s="445">
        <f>'0₦'!BI351 + 0</f>
        <v/>
      </c>
      <c r="AB348" s="446">
        <f>'0₦'!BE351</f>
        <v/>
      </c>
      <c r="AC348" s="450">
        <f>'0₦'!BC351 + 0</f>
        <v/>
      </c>
      <c r="AD348" s="42">
        <f>'0₦'!BD351</f>
        <v/>
      </c>
      <c r="AE348" s="42">
        <f>'0₦'!AX351</f>
        <v/>
      </c>
      <c r="AF348" s="446">
        <f>hcbi!AA352+hcbi!Y352</f>
        <v/>
      </c>
      <c r="AG348" s="42">
        <f>'0₦'!AW351</f>
        <v/>
      </c>
      <c r="AH348" s="450">
        <f>0</f>
        <v/>
      </c>
      <c r="AI348" s="445" t="n"/>
      <c r="AJ348" s="445" t="n"/>
      <c r="AK348" s="244" t="n"/>
      <c r="AL348" s="45" t="n"/>
    </row>
    <row r="349" ht="17.1" customHeight="1" s="37">
      <c r="B349" s="546">
        <f>B348+1</f>
        <v/>
      </c>
      <c r="C349" s="450" t="inlineStr">
        <is>
          <t>sf21</t>
        </is>
      </c>
      <c r="D349" s="257">
        <f>SUM(Y349:AH349)</f>
        <v/>
      </c>
      <c r="E349" s="54">
        <f>'0₦'!AF352</f>
        <v/>
      </c>
      <c r="F349" s="41">
        <f>'0₦'!AG352</f>
        <v/>
      </c>
      <c r="H349" s="410">
        <f>D349</f>
        <v/>
      </c>
      <c r="J349" s="42">
        <f>D349-H349</f>
        <v/>
      </c>
      <c r="L349" s="42">
        <f>D349-SUM(H349,J349)</f>
        <v/>
      </c>
      <c r="N349" s="42">
        <f>D349-SUM(H349,J349,L349,)</f>
        <v/>
      </c>
      <c r="P349" s="42">
        <f>D349-SUM(H349,J349,L349,N349)</f>
        <v/>
      </c>
      <c r="R349" s="42">
        <f>D349-SUM(H349,J349,L349,N349,P349)</f>
        <v/>
      </c>
      <c r="T349" s="42">
        <f>D349-SUM(H349,J349,L349,N349,P349,R349)</f>
        <v/>
      </c>
      <c r="V349" s="42">
        <f>D349-SUM(H349,J349,L349,N349,P349,R349,T349)</f>
        <v/>
      </c>
      <c r="X349" s="56">
        <f>D349-SUM(H349,J349,L349,N349,P349,R349,T349,V349)</f>
        <v/>
      </c>
      <c r="Y349" s="57">
        <f>12*COUNT(G349,I349,K349,M349,O349,Q349,U349,W349,S349)</f>
        <v/>
      </c>
      <c r="Z349" s="40">
        <f>IF(AND('0₦'!T352&lt;&gt;0,'0₦'!T352&lt;&gt;""),9,0) + 0</f>
        <v/>
      </c>
      <c r="AA349" s="445">
        <f>'0₦'!BI352 + 0</f>
        <v/>
      </c>
      <c r="AB349" s="446">
        <f>'0₦'!BE352</f>
        <v/>
      </c>
      <c r="AC349" s="450">
        <f>'0₦'!BC352 + 0</f>
        <v/>
      </c>
      <c r="AD349" s="42">
        <f>'0₦'!BD352</f>
        <v/>
      </c>
      <c r="AE349" s="42">
        <f>'0₦'!AX352</f>
        <v/>
      </c>
      <c r="AF349" s="446">
        <f>hcbi!AA353+hcbi!Y353</f>
        <v/>
      </c>
      <c r="AG349" s="42">
        <f>'0₦'!AW352</f>
        <v/>
      </c>
      <c r="AH349" s="450">
        <f>0</f>
        <v/>
      </c>
      <c r="AK349" s="44" t="n"/>
      <c r="AL349" s="45" t="n"/>
    </row>
    <row r="350" ht="17.1" customHeight="1" s="37">
      <c r="B350" s="546">
        <f>B349+1</f>
        <v/>
      </c>
      <c r="C350" s="450" t="inlineStr">
        <is>
          <t>sf21</t>
        </is>
      </c>
      <c r="D350" s="257">
        <f>SUM(Y350:AH350)</f>
        <v/>
      </c>
      <c r="E350" s="54">
        <f>'0₦'!AF353</f>
        <v/>
      </c>
      <c r="F350" s="41">
        <f>'0₦'!AG353</f>
        <v/>
      </c>
      <c r="H350" s="410">
        <f>D350</f>
        <v/>
      </c>
      <c r="J350" s="42">
        <f>D350-H350</f>
        <v/>
      </c>
      <c r="L350" s="42">
        <f>D350-SUM(H350,J350)</f>
        <v/>
      </c>
      <c r="N350" s="42">
        <f>D350-SUM(H350,J350,L350,)</f>
        <v/>
      </c>
      <c r="P350" s="42">
        <f>D350-SUM(H350,J350,L350,N350)</f>
        <v/>
      </c>
      <c r="R350" s="42">
        <f>D350-SUM(H350,J350,L350,N350,P350)</f>
        <v/>
      </c>
      <c r="T350" s="42">
        <f>D350-SUM(H350,J350,L350,N350,P350,R350)</f>
        <v/>
      </c>
      <c r="V350" s="42">
        <f>D350-SUM(H350,J350,L350,N350,P350,R350,T350)</f>
        <v/>
      </c>
      <c r="X350" s="56">
        <f>D350-SUM(H350,J350,L350,N350,P350,R350,T350,V350)</f>
        <v/>
      </c>
      <c r="Y350" s="57">
        <f>12*COUNT(G350,I350,K350,M350,O350,Q350,U350,W350,S350)</f>
        <v/>
      </c>
      <c r="Z350" s="40">
        <f>IF(AND('0₦'!T353&lt;&gt;0,'0₦'!T353&lt;&gt;""),9,0) + 0</f>
        <v/>
      </c>
      <c r="AA350" s="445">
        <f>'0₦'!BI353 + 0</f>
        <v/>
      </c>
      <c r="AB350" s="446">
        <f>'0₦'!BE353</f>
        <v/>
      </c>
      <c r="AC350" s="450">
        <f>'0₦'!BC353 + 0</f>
        <v/>
      </c>
      <c r="AD350" s="42">
        <f>'0₦'!BD353</f>
        <v/>
      </c>
      <c r="AE350" s="42">
        <f>'0₦'!AX353</f>
        <v/>
      </c>
      <c r="AF350" s="446">
        <f>hcbi!AA354+hcbi!Y354</f>
        <v/>
      </c>
      <c r="AG350" s="42">
        <f>'0₦'!AW353</f>
        <v/>
      </c>
      <c r="AH350" s="450">
        <f>0</f>
        <v/>
      </c>
      <c r="AI350" s="445" t="n"/>
      <c r="AJ350" s="445" t="n"/>
      <c r="AK350" s="44" t="n"/>
      <c r="AL350" s="45" t="n"/>
    </row>
    <row r="351" ht="17.1" customHeight="1" s="37">
      <c r="A351" s="547" t="n"/>
      <c r="B351" s="546">
        <f>B350+1</f>
        <v/>
      </c>
      <c r="C351" s="450" t="inlineStr">
        <is>
          <t>sf21</t>
        </is>
      </c>
      <c r="D351" s="257">
        <f>SUM(Y351:AH351)</f>
        <v/>
      </c>
      <c r="E351" s="54">
        <f>'0₦'!AF354</f>
        <v/>
      </c>
      <c r="F351" s="41">
        <f>'0₦'!AG354</f>
        <v/>
      </c>
      <c r="H351" s="410">
        <f>D351</f>
        <v/>
      </c>
      <c r="J351" s="42">
        <f>D351-H351</f>
        <v/>
      </c>
      <c r="L351" s="42">
        <f>D351-SUM(H351,J351)</f>
        <v/>
      </c>
      <c r="N351" s="42">
        <f>D351-SUM(H351,J351,L351,)</f>
        <v/>
      </c>
      <c r="P351" s="42">
        <f>D351-SUM(H351,J351,L351,N351)</f>
        <v/>
      </c>
      <c r="R351" s="42">
        <f>D351-SUM(H351,J351,L351,N351,P351)</f>
        <v/>
      </c>
      <c r="T351" s="42">
        <f>D351-SUM(H351,J351,L351,N351,P351,R351)</f>
        <v/>
      </c>
      <c r="V351" s="42">
        <f>D351-SUM(H351,J351,L351,N351,P351,R351,T351)</f>
        <v/>
      </c>
      <c r="X351" s="56">
        <f>D351-SUM(H351,J351,L351,N351,P351,R351,T351,V351)</f>
        <v/>
      </c>
      <c r="Y351" s="57">
        <f>12*COUNT(G351,I351,K351,M351,O351,Q351,U351,W351,S351)</f>
        <v/>
      </c>
      <c r="Z351" s="40">
        <f>IF(AND('0₦'!T354&lt;&gt;0,'0₦'!T354&lt;&gt;""),9,0) + 0</f>
        <v/>
      </c>
      <c r="AA351" s="445">
        <f>'0₦'!BI354 + 0</f>
        <v/>
      </c>
      <c r="AB351" s="446">
        <f>'0₦'!BE354</f>
        <v/>
      </c>
      <c r="AC351" s="450">
        <f>'0₦'!BC354 + 0</f>
        <v/>
      </c>
      <c r="AD351" s="42">
        <f>'0₦'!BD354</f>
        <v/>
      </c>
      <c r="AE351" s="42">
        <f>'0₦'!AX354</f>
        <v/>
      </c>
      <c r="AF351" s="446">
        <f>hcbi!AA355+hcbi!Y355</f>
        <v/>
      </c>
      <c r="AG351" s="42">
        <f>'0₦'!AW354</f>
        <v/>
      </c>
      <c r="AH351" s="450">
        <f>0</f>
        <v/>
      </c>
      <c r="AK351" s="44" t="n"/>
      <c r="AL351" s="45" t="n"/>
    </row>
    <row r="352" ht="17.1" customHeight="1" s="37">
      <c r="A352" s="441">
        <f>A345+0.1</f>
        <v/>
      </c>
      <c r="B352" s="546">
        <f>B351+1</f>
        <v/>
      </c>
      <c r="C352" s="450" t="inlineStr">
        <is>
          <t>sf21</t>
        </is>
      </c>
      <c r="D352" s="257">
        <f>SUM(Y352:AH352)</f>
        <v/>
      </c>
      <c r="E352" s="54">
        <f>'0₦'!AF355</f>
        <v/>
      </c>
      <c r="F352" s="41">
        <f>'0₦'!AG355</f>
        <v/>
      </c>
      <c r="H352" s="410">
        <f>D352</f>
        <v/>
      </c>
      <c r="J352" s="42">
        <f>D352-H352</f>
        <v/>
      </c>
      <c r="L352" s="42">
        <f>D352-SUM(H352,J352)</f>
        <v/>
      </c>
      <c r="N352" s="42">
        <f>D352-SUM(H352,J352,L352,)</f>
        <v/>
      </c>
      <c r="P352" s="42">
        <f>D352-SUM(H352,J352,L352,N352)</f>
        <v/>
      </c>
      <c r="R352" s="42">
        <f>D352-SUM(H352,J352,L352,N352,P352)</f>
        <v/>
      </c>
      <c r="T352" s="42">
        <f>D352-SUM(H352,J352,L352,N352,P352,R352)</f>
        <v/>
      </c>
      <c r="V352" s="42">
        <f>D352-SUM(H352,J352,L352,N352,P352,R352,T352)</f>
        <v/>
      </c>
      <c r="X352" s="56">
        <f>D352-SUM(H352,J352,L352,N352,P352,R352,T352,V352)</f>
        <v/>
      </c>
      <c r="Y352" s="57">
        <f>12*COUNT(G352,I352,K352,M352,O352,Q352,U352,W352,S352)</f>
        <v/>
      </c>
      <c r="Z352" s="40">
        <f>IF(AND('0₦'!T355&lt;&gt;0,'0₦'!T355&lt;&gt;""),9,0) + 0</f>
        <v/>
      </c>
      <c r="AA352" s="445">
        <f>'0₦'!BI355 + 0</f>
        <v/>
      </c>
      <c r="AB352" s="446">
        <f>'0₦'!BE355</f>
        <v/>
      </c>
      <c r="AC352" s="450">
        <f>'0₦'!BC355 + 0</f>
        <v/>
      </c>
      <c r="AD352" s="42">
        <f>'0₦'!BD355</f>
        <v/>
      </c>
      <c r="AE352" s="42">
        <f>'0₦'!AX355</f>
        <v/>
      </c>
      <c r="AF352" s="446">
        <f>hcbi!AA356+hcbi!Y356</f>
        <v/>
      </c>
      <c r="AG352" s="42">
        <f>'0₦'!AW355</f>
        <v/>
      </c>
      <c r="AH352" s="450">
        <f>0</f>
        <v/>
      </c>
      <c r="AI352" s="445" t="n"/>
      <c r="AJ352" s="445" t="n"/>
      <c r="AK352" s="44" t="n"/>
      <c r="AL352" s="45" t="n"/>
    </row>
    <row r="353" ht="17.1" customHeight="1" s="37">
      <c r="B353" s="546">
        <f>B352+1</f>
        <v/>
      </c>
      <c r="C353" s="450" t="inlineStr">
        <is>
          <t>sf21</t>
        </is>
      </c>
      <c r="D353" s="257">
        <f>SUM(Y353:AH353)</f>
        <v/>
      </c>
      <c r="E353" s="54">
        <f>'0₦'!AF356</f>
        <v/>
      </c>
      <c r="F353" s="41">
        <f>'0₦'!AG356</f>
        <v/>
      </c>
      <c r="H353" s="410">
        <f>D353</f>
        <v/>
      </c>
      <c r="J353" s="42">
        <f>D353-H353</f>
        <v/>
      </c>
      <c r="L353" s="42">
        <f>D353-SUM(H353,J353)</f>
        <v/>
      </c>
      <c r="N353" s="42">
        <f>D353-SUM(H353,J353,L353,)</f>
        <v/>
      </c>
      <c r="P353" s="42">
        <f>D353-SUM(H353,J353,L353,N353)</f>
        <v/>
      </c>
      <c r="R353" s="42">
        <f>D353-SUM(H353,J353,L353,N353,P353)</f>
        <v/>
      </c>
      <c r="T353" s="42">
        <f>D353-SUM(H353,J353,L353,N353,P353,R353)</f>
        <v/>
      </c>
      <c r="V353" s="42">
        <f>D353-SUM(H353,J353,L353,N353,P353,R353,T353)</f>
        <v/>
      </c>
      <c r="X353" s="56">
        <f>D353-SUM(H353,J353,L353,N353,P353,R353,T353,V353)</f>
        <v/>
      </c>
      <c r="Y353" s="57">
        <f>12*COUNT(G353,I353,K353,M353,O353,Q353,U353,W353,S353)</f>
        <v/>
      </c>
      <c r="Z353" s="40">
        <f>IF(AND('0₦'!T356&lt;&gt;0,'0₦'!T356&lt;&gt;""),9,0) + 0</f>
        <v/>
      </c>
      <c r="AA353" s="445">
        <f>'0₦'!BI356 + 0</f>
        <v/>
      </c>
      <c r="AB353" s="446">
        <f>'0₦'!BE356</f>
        <v/>
      </c>
      <c r="AC353" s="450">
        <f>'0₦'!BC356 + 0</f>
        <v/>
      </c>
      <c r="AD353" s="42">
        <f>'0₦'!BD356</f>
        <v/>
      </c>
      <c r="AE353" s="42">
        <f>'0₦'!AX356</f>
        <v/>
      </c>
      <c r="AF353" s="446">
        <f>hcbi!AA357+hcbi!Y357</f>
        <v/>
      </c>
      <c r="AG353" s="42">
        <f>'0₦'!AW356</f>
        <v/>
      </c>
      <c r="AH353" s="450">
        <f>0</f>
        <v/>
      </c>
      <c r="AK353" s="44" t="n"/>
      <c r="AL353" s="45" t="n"/>
    </row>
    <row r="354" ht="17.1" customHeight="1" s="37">
      <c r="B354" s="546">
        <f>B353+1</f>
        <v/>
      </c>
      <c r="C354" s="450" t="inlineStr">
        <is>
          <t>sf21</t>
        </is>
      </c>
      <c r="D354" s="257">
        <f>SUM(Y354:AH354)</f>
        <v/>
      </c>
      <c r="E354" s="54">
        <f>'0₦'!AF357</f>
        <v/>
      </c>
      <c r="F354" s="41">
        <f>'0₦'!AG357</f>
        <v/>
      </c>
      <c r="H354" s="410">
        <f>D354</f>
        <v/>
      </c>
      <c r="J354" s="42">
        <f>D354-H354</f>
        <v/>
      </c>
      <c r="L354" s="42">
        <f>D354-SUM(H354,J354)</f>
        <v/>
      </c>
      <c r="N354" s="42">
        <f>D354-SUM(H354,J354,L354,)</f>
        <v/>
      </c>
      <c r="P354" s="42">
        <f>D354-SUM(H354,J354,L354,N354)</f>
        <v/>
      </c>
      <c r="R354" s="42">
        <f>D354-SUM(H354,J354,L354,N354,P354)</f>
        <v/>
      </c>
      <c r="T354" s="42">
        <f>D354-SUM(H354,J354,L354,N354,P354,R354)</f>
        <v/>
      </c>
      <c r="V354" s="42">
        <f>D354-SUM(H354,J354,L354,N354,P354,R354,T354)</f>
        <v/>
      </c>
      <c r="X354" s="56">
        <f>D354-SUM(H354,J354,L354,N354,P354,R354,T354,V354)</f>
        <v/>
      </c>
      <c r="Y354" s="57">
        <f>12*COUNT(G354,I354,K354,M354,O354,Q354,U354,W354,S354)</f>
        <v/>
      </c>
      <c r="Z354" s="40">
        <f>IF(AND('0₦'!T357&lt;&gt;0,'0₦'!T357&lt;&gt;""),9,0) + 0</f>
        <v/>
      </c>
      <c r="AA354" s="445">
        <f>'0₦'!BI357 + 0</f>
        <v/>
      </c>
      <c r="AB354" s="446">
        <f>'0₦'!BE357</f>
        <v/>
      </c>
      <c r="AC354" s="450">
        <f>'0₦'!BC357 + 0</f>
        <v/>
      </c>
      <c r="AD354" s="42">
        <f>'0₦'!BD357</f>
        <v/>
      </c>
      <c r="AE354" s="42">
        <f>'0₦'!AX357</f>
        <v/>
      </c>
      <c r="AF354" s="446">
        <f>hcbi!AA358+hcbi!Y358</f>
        <v/>
      </c>
      <c r="AG354" s="42">
        <f>'0₦'!AW357</f>
        <v/>
      </c>
      <c r="AH354" s="450">
        <f>0</f>
        <v/>
      </c>
      <c r="AI354" s="445" t="n"/>
      <c r="AJ354" s="445" t="n"/>
      <c r="AK354" s="44" t="n"/>
      <c r="AL354" s="45" t="n"/>
    </row>
    <row r="355" ht="17.1" customHeight="1" s="37">
      <c r="B355" s="546">
        <f>B354+1</f>
        <v/>
      </c>
      <c r="C355" s="450" t="inlineStr">
        <is>
          <t>sf21</t>
        </is>
      </c>
      <c r="D355" s="257">
        <f>SUM(Y355:AH355)</f>
        <v/>
      </c>
      <c r="E355" s="54">
        <f>'0₦'!AF358</f>
        <v/>
      </c>
      <c r="F355" s="41">
        <f>'0₦'!AG358</f>
        <v/>
      </c>
      <c r="H355" s="410">
        <f>D355</f>
        <v/>
      </c>
      <c r="J355" s="42">
        <f>D355-H355</f>
        <v/>
      </c>
      <c r="L355" s="42">
        <f>D355-SUM(H355,J355)</f>
        <v/>
      </c>
      <c r="N355" s="42">
        <f>D355-SUM(H355,J355,L355,)</f>
        <v/>
      </c>
      <c r="P355" s="42">
        <f>D355-SUM(H355,J355,L355,N355)</f>
        <v/>
      </c>
      <c r="R355" s="42">
        <f>D355-SUM(H355,J355,L355,N355,P355)</f>
        <v/>
      </c>
      <c r="T355" s="42">
        <f>D355-SUM(H355,J355,L355,N355,P355,R355)</f>
        <v/>
      </c>
      <c r="V355" s="42">
        <f>D355-SUM(H355,J355,L355,N355,P355,R355,T355)</f>
        <v/>
      </c>
      <c r="X355" s="56">
        <f>D355-SUM(H355,J355,L355,N355,P355,R355,T355,V355)</f>
        <v/>
      </c>
      <c r="Y355" s="57">
        <f>12*COUNT(G355,I355,K355,M355,O355,Q355,U355,W355,S355)</f>
        <v/>
      </c>
      <c r="Z355" s="40">
        <f>IF(AND('0₦'!T358&lt;&gt;0,'0₦'!T358&lt;&gt;""),9,0) + 0</f>
        <v/>
      </c>
      <c r="AA355" s="445">
        <f>'0₦'!BI358 + 0</f>
        <v/>
      </c>
      <c r="AB355" s="446">
        <f>'0₦'!BE358</f>
        <v/>
      </c>
      <c r="AC355" s="450">
        <f>'0₦'!BC358 + 0</f>
        <v/>
      </c>
      <c r="AD355" s="42">
        <f>'0₦'!BD358</f>
        <v/>
      </c>
      <c r="AE355" s="42">
        <f>'0₦'!AX358</f>
        <v/>
      </c>
      <c r="AF355" s="446">
        <f>hcbi!AA359+hcbi!Y359</f>
        <v/>
      </c>
      <c r="AG355" s="42">
        <f>'0₦'!AW358</f>
        <v/>
      </c>
      <c r="AH355" s="450">
        <f>0</f>
        <v/>
      </c>
      <c r="AK355" s="61" t="n"/>
      <c r="AL355" s="45" t="n"/>
    </row>
    <row r="356" ht="17.1" customHeight="1" s="37">
      <c r="B356" s="546">
        <f>B355+1</f>
        <v/>
      </c>
      <c r="C356" s="450" t="inlineStr">
        <is>
          <t>sf21</t>
        </is>
      </c>
      <c r="D356" s="257">
        <f>SUM(Y356:AH356)</f>
        <v/>
      </c>
      <c r="E356" s="54">
        <f>'0₦'!AF359</f>
        <v/>
      </c>
      <c r="F356" s="41">
        <f>'0₦'!AG359</f>
        <v/>
      </c>
      <c r="H356" s="410">
        <f>D356</f>
        <v/>
      </c>
      <c r="J356" s="42">
        <f>D356-H356</f>
        <v/>
      </c>
      <c r="L356" s="42">
        <f>D356-SUM(H356,J356)</f>
        <v/>
      </c>
      <c r="N356" s="42">
        <f>D356-SUM(H356,J356,L356,)</f>
        <v/>
      </c>
      <c r="P356" s="42">
        <f>D356-SUM(H356,J356,L356,N356)</f>
        <v/>
      </c>
      <c r="R356" s="42">
        <f>D356-SUM(H356,J356,L356,N356,P356)</f>
        <v/>
      </c>
      <c r="T356" s="42">
        <f>D356-SUM(H356,J356,L356,N356,P356,R356)</f>
        <v/>
      </c>
      <c r="V356" s="42">
        <f>D356-SUM(H356,J356,L356,N356,P356,R356,T356)</f>
        <v/>
      </c>
      <c r="X356" s="56">
        <f>D356-SUM(H356,J356,L356,N356,P356,R356,T356,V356)</f>
        <v/>
      </c>
      <c r="Y356" s="57">
        <f>12*COUNT(G356,I356,K356,M356,O356,Q356,U356,W356,S356)</f>
        <v/>
      </c>
      <c r="Z356" s="40">
        <f>IF(AND('0₦'!T359&lt;&gt;0,'0₦'!T359&lt;&gt;""),9,0) + 0</f>
        <v/>
      </c>
      <c r="AA356" s="445">
        <f>'0₦'!BI359 + 0</f>
        <v/>
      </c>
      <c r="AB356" s="446">
        <f>'0₦'!BE359</f>
        <v/>
      </c>
      <c r="AC356" s="450">
        <f>'0₦'!BC359 + 0</f>
        <v/>
      </c>
      <c r="AD356" s="42">
        <f>'0₦'!BD359</f>
        <v/>
      </c>
      <c r="AE356" s="42">
        <f>'0₦'!AX359</f>
        <v/>
      </c>
      <c r="AF356" s="446">
        <f>hcbi!AA360+hcbi!Y360</f>
        <v/>
      </c>
      <c r="AG356" s="42">
        <f>'0₦'!AW359</f>
        <v/>
      </c>
      <c r="AH356" s="450">
        <f>0</f>
        <v/>
      </c>
      <c r="AI356" s="445" t="n"/>
      <c r="AJ356" s="445" t="n"/>
      <c r="AK356" s="44" t="n"/>
      <c r="AL356" s="45" t="n"/>
    </row>
    <row r="357" ht="17.1" customHeight="1" s="37">
      <c r="B357" s="546">
        <f>B356+1</f>
        <v/>
      </c>
      <c r="C357" s="450" t="inlineStr">
        <is>
          <t>sf21</t>
        </is>
      </c>
      <c r="D357" s="257">
        <f>SUM(Y357:AH357)</f>
        <v/>
      </c>
      <c r="E357" s="54">
        <f>'0₦'!AF360</f>
        <v/>
      </c>
      <c r="F357" s="41">
        <f>'0₦'!AG360</f>
        <v/>
      </c>
      <c r="H357" s="410">
        <f>D357</f>
        <v/>
      </c>
      <c r="J357" s="42">
        <f>D357-H357</f>
        <v/>
      </c>
      <c r="L357" s="42">
        <f>D357-SUM(H357,J357)</f>
        <v/>
      </c>
      <c r="N357" s="42">
        <f>D357-SUM(H357,J357,L357,)</f>
        <v/>
      </c>
      <c r="P357" s="42">
        <f>D357-SUM(H357,J357,L357,N357)</f>
        <v/>
      </c>
      <c r="R357" s="42">
        <f>D357-SUM(H357,J357,L357,N357,P357)</f>
        <v/>
      </c>
      <c r="T357" s="42">
        <f>D357-SUM(H357,J357,L357,N357,P357,R357)</f>
        <v/>
      </c>
      <c r="V357" s="42">
        <f>D357-SUM(H357,J357,L357,N357,P357,R357,T357)</f>
        <v/>
      </c>
      <c r="X357" s="56">
        <f>D357-SUM(H357,J357,L357,N357,P357,R357,T357,V357)</f>
        <v/>
      </c>
      <c r="Y357" s="57">
        <f>12*COUNT(G357,I357,K357,M357,O357,Q357,U357,W357,S357)</f>
        <v/>
      </c>
      <c r="Z357" s="40">
        <f>IF(AND('0₦'!T360&lt;&gt;0,'0₦'!T360&lt;&gt;""),9,0) + 0</f>
        <v/>
      </c>
      <c r="AA357" s="445">
        <f>'0₦'!BI360 + 0</f>
        <v/>
      </c>
      <c r="AB357" s="446">
        <f>'0₦'!BE360</f>
        <v/>
      </c>
      <c r="AC357" s="450">
        <f>'0₦'!BC360 + 0</f>
        <v/>
      </c>
      <c r="AD357" s="42">
        <f>'0₦'!BD360</f>
        <v/>
      </c>
      <c r="AE357" s="42">
        <f>'0₦'!AX360</f>
        <v/>
      </c>
      <c r="AF357" s="446">
        <f>hcbi!AA361+hcbi!Y361</f>
        <v/>
      </c>
      <c r="AG357" s="42">
        <f>'0₦'!AW360</f>
        <v/>
      </c>
      <c r="AH357" s="450">
        <f>0</f>
        <v/>
      </c>
      <c r="AK357" s="44" t="n"/>
      <c r="AL357" s="45" t="n"/>
    </row>
    <row r="358" ht="17.1" customHeight="1" s="37">
      <c r="A358" s="547" t="n"/>
      <c r="B358" s="546">
        <f>B357+1</f>
        <v/>
      </c>
      <c r="C358" s="450" t="inlineStr">
        <is>
          <t>sf21</t>
        </is>
      </c>
      <c r="D358" s="257">
        <f>SUM(Y358:AH358)</f>
        <v/>
      </c>
      <c r="E358" s="54">
        <f>'0₦'!AF361</f>
        <v/>
      </c>
      <c r="F358" s="41">
        <f>'0₦'!AG361</f>
        <v/>
      </c>
      <c r="H358" s="410">
        <f>D358</f>
        <v/>
      </c>
      <c r="J358" s="42">
        <f>D358-H358</f>
        <v/>
      </c>
      <c r="L358" s="42">
        <f>D358-SUM(H358,J358)</f>
        <v/>
      </c>
      <c r="N358" s="42">
        <f>D358-SUM(H358,J358,L358,)</f>
        <v/>
      </c>
      <c r="P358" s="42">
        <f>D358-SUM(H358,J358,L358,N358)</f>
        <v/>
      </c>
      <c r="R358" s="42">
        <f>D358-SUM(H358,J358,L358,N358,P358)</f>
        <v/>
      </c>
      <c r="T358" s="42">
        <f>D358-SUM(H358,J358,L358,N358,P358,R358)</f>
        <v/>
      </c>
      <c r="V358" s="42">
        <f>D358-SUM(H358,J358,L358,N358,P358,R358,T358)</f>
        <v/>
      </c>
      <c r="X358" s="56">
        <f>D358-SUM(H358,J358,L358,N358,P358,R358,T358,V358)</f>
        <v/>
      </c>
      <c r="Y358" s="57">
        <f>12*COUNT(G358,I358,K358,M358,O358,Q358,U358,W358,S358)</f>
        <v/>
      </c>
      <c r="Z358" s="40">
        <f>IF(AND('0₦'!T361&lt;&gt;0,'0₦'!T361&lt;&gt;""),9,0) + 0</f>
        <v/>
      </c>
      <c r="AA358" s="445">
        <f>'0₦'!BI361 + 0</f>
        <v/>
      </c>
      <c r="AB358" s="446">
        <f>'0₦'!BE361</f>
        <v/>
      </c>
      <c r="AC358" s="450">
        <f>'0₦'!BC361 + 0</f>
        <v/>
      </c>
      <c r="AD358" s="42">
        <f>'0₦'!BD361</f>
        <v/>
      </c>
      <c r="AE358" s="42">
        <f>'0₦'!AX361</f>
        <v/>
      </c>
      <c r="AF358" s="446">
        <f>hcbi!AA362+hcbi!Y362</f>
        <v/>
      </c>
      <c r="AG358" s="42">
        <f>'0₦'!AW361</f>
        <v/>
      </c>
      <c r="AH358" s="450">
        <f>0</f>
        <v/>
      </c>
      <c r="AI358" s="445" t="n"/>
      <c r="AJ358" s="445" t="n"/>
      <c r="AK358" s="44" t="n"/>
      <c r="AL358" s="45" t="n"/>
    </row>
    <row r="359" ht="17.1" customHeight="1" s="37">
      <c r="A359" s="441">
        <f>A352+0.1</f>
        <v/>
      </c>
      <c r="B359" s="546">
        <f>B358+1</f>
        <v/>
      </c>
      <c r="C359" s="450" t="inlineStr">
        <is>
          <t>sf21</t>
        </is>
      </c>
      <c r="D359" s="257">
        <f>SUM(Y359:AH359)</f>
        <v/>
      </c>
      <c r="E359" s="54">
        <f>'0₦'!AF362</f>
        <v/>
      </c>
      <c r="F359" s="41">
        <f>'0₦'!AG362</f>
        <v/>
      </c>
      <c r="H359" s="410">
        <f>D359</f>
        <v/>
      </c>
      <c r="J359" s="42">
        <f>D359-H359</f>
        <v/>
      </c>
      <c r="L359" s="42">
        <f>D359-SUM(H359,J359)</f>
        <v/>
      </c>
      <c r="N359" s="42">
        <f>D359-SUM(H359,J359,L359,)</f>
        <v/>
      </c>
      <c r="P359" s="42">
        <f>D359-SUM(H359,J359,L359,N359)</f>
        <v/>
      </c>
      <c r="R359" s="42">
        <f>D359-SUM(H359,J359,L359,N359,P359)</f>
        <v/>
      </c>
      <c r="T359" s="42">
        <f>D359-SUM(H359,J359,L359,N359,P359,R359)</f>
        <v/>
      </c>
      <c r="V359" s="42">
        <f>D359-SUM(H359,J359,L359,N359,P359,R359,T359)</f>
        <v/>
      </c>
      <c r="X359" s="56">
        <f>D359-SUM(H359,J359,L359,N359,P359,R359,T359,V359)</f>
        <v/>
      </c>
      <c r="Y359" s="57">
        <f>12*COUNT(G359,I359,K359,M359,O359,Q359,U359,W359,S359)</f>
        <v/>
      </c>
      <c r="Z359" s="40">
        <f>IF(AND('0₦'!T362&lt;&gt;0,'0₦'!T362&lt;&gt;""),9,0) + 0</f>
        <v/>
      </c>
      <c r="AA359" s="445">
        <f>'0₦'!BI362 + 0</f>
        <v/>
      </c>
      <c r="AB359" s="446">
        <f>'0₦'!BE362</f>
        <v/>
      </c>
      <c r="AC359" s="450">
        <f>'0₦'!BC362 + 0</f>
        <v/>
      </c>
      <c r="AD359" s="42">
        <f>'0₦'!BD362</f>
        <v/>
      </c>
      <c r="AE359" s="42">
        <f>'0₦'!AX362</f>
        <v/>
      </c>
      <c r="AF359" s="446">
        <f>hcbi!AA363+hcbi!Y363</f>
        <v/>
      </c>
      <c r="AG359" s="42">
        <f>'0₦'!AW362</f>
        <v/>
      </c>
      <c r="AH359" s="450">
        <f>0</f>
        <v/>
      </c>
      <c r="AK359" s="44" t="n"/>
      <c r="AL359" s="45" t="n"/>
    </row>
    <row r="360" ht="17.1" customHeight="1" s="37">
      <c r="B360" s="546">
        <f>B359+1</f>
        <v/>
      </c>
      <c r="C360" s="450" t="inlineStr">
        <is>
          <t>sf21</t>
        </is>
      </c>
      <c r="D360" s="257">
        <f>SUM(Y360:AH360)</f>
        <v/>
      </c>
      <c r="E360" s="54">
        <f>'0₦'!AF363</f>
        <v/>
      </c>
      <c r="F360" s="41">
        <f>'0₦'!AG363</f>
        <v/>
      </c>
      <c r="H360" s="410">
        <f>D360</f>
        <v/>
      </c>
      <c r="J360" s="42">
        <f>D360-H360</f>
        <v/>
      </c>
      <c r="L360" s="42">
        <f>D360-SUM(H360,J360)</f>
        <v/>
      </c>
      <c r="N360" s="42">
        <f>D360-SUM(H360,J360,L360,)</f>
        <v/>
      </c>
      <c r="P360" s="42">
        <f>D360-SUM(H360,J360,L360,N360)</f>
        <v/>
      </c>
      <c r="R360" s="42">
        <f>D360-SUM(H360,J360,L360,N360,P360)</f>
        <v/>
      </c>
      <c r="T360" s="42">
        <f>D360-SUM(H360,J360,L360,N360,P360,R360)</f>
        <v/>
      </c>
      <c r="V360" s="42">
        <f>D360-SUM(H360,J360,L360,N360,P360,R360,T360)</f>
        <v/>
      </c>
      <c r="X360" s="56">
        <f>D360-SUM(H360,J360,L360,N360,P360,R360,T360,V360)</f>
        <v/>
      </c>
      <c r="Y360" s="57">
        <f>12*COUNT(G360,I360,K360,M360,O360,Q360,U360,W360,S360)</f>
        <v/>
      </c>
      <c r="Z360" s="40">
        <f>IF(AND('0₦'!T363&lt;&gt;0,'0₦'!T363&lt;&gt;""),9,0) + 0</f>
        <v/>
      </c>
      <c r="AA360" s="445">
        <f>'0₦'!BI363 + 0</f>
        <v/>
      </c>
      <c r="AB360" s="446">
        <f>'0₦'!BE363</f>
        <v/>
      </c>
      <c r="AC360" s="450">
        <f>'0₦'!BC363 + 0</f>
        <v/>
      </c>
      <c r="AD360" s="42">
        <f>'0₦'!BD363</f>
        <v/>
      </c>
      <c r="AE360" s="42">
        <f>'0₦'!AX363</f>
        <v/>
      </c>
      <c r="AF360" s="446">
        <f>hcbi!AA364+hcbi!Y364</f>
        <v/>
      </c>
      <c r="AG360" s="42">
        <f>'0₦'!AW363</f>
        <v/>
      </c>
      <c r="AH360" s="450">
        <f>0</f>
        <v/>
      </c>
      <c r="AI360" s="445" t="n"/>
      <c r="AJ360" s="445" t="n"/>
      <c r="AK360" s="44" t="n"/>
      <c r="AL360" s="45" t="n"/>
    </row>
    <row r="361" ht="17.1" customHeight="1" s="37">
      <c r="B361" s="546">
        <f>B360+1</f>
        <v/>
      </c>
      <c r="C361" s="450" t="inlineStr">
        <is>
          <t>sf21</t>
        </is>
      </c>
      <c r="D361" s="257">
        <f>SUM(Y361:AH361)</f>
        <v/>
      </c>
      <c r="E361" s="54">
        <f>'0₦'!AF364</f>
        <v/>
      </c>
      <c r="F361" s="41">
        <f>'0₦'!AG364</f>
        <v/>
      </c>
      <c r="H361" s="410">
        <f>D361</f>
        <v/>
      </c>
      <c r="J361" s="42">
        <f>D361-H361</f>
        <v/>
      </c>
      <c r="L361" s="42">
        <f>D361-SUM(H361,J361)</f>
        <v/>
      </c>
      <c r="N361" s="42">
        <f>D361-SUM(H361,J361,L361,)</f>
        <v/>
      </c>
      <c r="P361" s="42">
        <f>D361-SUM(H361,J361,L361,N361)</f>
        <v/>
      </c>
      <c r="R361" s="42">
        <f>D361-SUM(H361,J361,L361,N361,P361)</f>
        <v/>
      </c>
      <c r="T361" s="42">
        <f>D361-SUM(H361,J361,L361,N361,P361,R361)</f>
        <v/>
      </c>
      <c r="V361" s="42">
        <f>D361-SUM(H361,J361,L361,N361,P361,R361,T361)</f>
        <v/>
      </c>
      <c r="X361" s="56">
        <f>D361-SUM(H361,J361,L361,N361,P361,R361,T361,V361)</f>
        <v/>
      </c>
      <c r="Y361" s="57">
        <f>12*COUNT(G361,I361,K361,M361,O361,Q361,U361,W361,S361)</f>
        <v/>
      </c>
      <c r="Z361" s="40">
        <f>IF(AND('0₦'!T364&lt;&gt;0,'0₦'!T364&lt;&gt;""),9,0) + 0</f>
        <v/>
      </c>
      <c r="AA361" s="445">
        <f>'0₦'!BI364 + 0</f>
        <v/>
      </c>
      <c r="AB361" s="446">
        <f>'0₦'!BE364</f>
        <v/>
      </c>
      <c r="AC361" s="450">
        <f>'0₦'!BC364 + 0</f>
        <v/>
      </c>
      <c r="AD361" s="42">
        <f>'0₦'!BD364</f>
        <v/>
      </c>
      <c r="AE361" s="42">
        <f>'0₦'!AX364</f>
        <v/>
      </c>
      <c r="AF361" s="446">
        <f>hcbi!AA365+hcbi!Y365</f>
        <v/>
      </c>
      <c r="AG361" s="42">
        <f>'0₦'!AW364</f>
        <v/>
      </c>
      <c r="AH361" s="450">
        <f>0</f>
        <v/>
      </c>
      <c r="AK361" s="44" t="n"/>
      <c r="AL361" s="45" t="n"/>
    </row>
    <row r="362" ht="17.1" customHeight="1" s="37">
      <c r="B362" s="546">
        <f>B361+1</f>
        <v/>
      </c>
      <c r="C362" s="450" t="inlineStr">
        <is>
          <t>sf21</t>
        </is>
      </c>
      <c r="D362" s="257">
        <f>SUM(Y362:AH362)</f>
        <v/>
      </c>
      <c r="E362" s="54">
        <f>'0₦'!AF365</f>
        <v/>
      </c>
      <c r="F362" s="41">
        <f>'0₦'!AG365</f>
        <v/>
      </c>
      <c r="H362" s="410">
        <f>D362</f>
        <v/>
      </c>
      <c r="J362" s="42">
        <f>D362-H362</f>
        <v/>
      </c>
      <c r="L362" s="42">
        <f>D362-SUM(H362,J362)</f>
        <v/>
      </c>
      <c r="N362" s="42">
        <f>D362-SUM(H362,J362,L362,)</f>
        <v/>
      </c>
      <c r="P362" s="42">
        <f>D362-SUM(H362,J362,L362,N362)</f>
        <v/>
      </c>
      <c r="R362" s="42">
        <f>D362-SUM(H362,J362,L362,N362,P362)</f>
        <v/>
      </c>
      <c r="T362" s="42">
        <f>D362-SUM(H362,J362,L362,N362,P362,R362)</f>
        <v/>
      </c>
      <c r="V362" s="42">
        <f>D362-SUM(H362,J362,L362,N362,P362,R362,T362)</f>
        <v/>
      </c>
      <c r="X362" s="56">
        <f>D362-SUM(H362,J362,L362,N362,P362,R362,T362,V362)</f>
        <v/>
      </c>
      <c r="Y362" s="57">
        <f>12*COUNT(G362,I362,K362,M362,O362,Q362,U362,W362,S362)</f>
        <v/>
      </c>
      <c r="Z362" s="40">
        <f>IF(AND('0₦'!T365&lt;&gt;0,'0₦'!T365&lt;&gt;""),9,0) + 0</f>
        <v/>
      </c>
      <c r="AA362" s="445">
        <f>'0₦'!BI365 + 0</f>
        <v/>
      </c>
      <c r="AB362" s="446">
        <f>'0₦'!BE365</f>
        <v/>
      </c>
      <c r="AC362" s="450">
        <f>'0₦'!BC365 + 0</f>
        <v/>
      </c>
      <c r="AD362" s="42">
        <f>'0₦'!BD365</f>
        <v/>
      </c>
      <c r="AE362" s="42">
        <f>'0₦'!AX365</f>
        <v/>
      </c>
      <c r="AF362" s="446">
        <f>hcbi!AA366+hcbi!Y366</f>
        <v/>
      </c>
      <c r="AG362" s="42">
        <f>'0₦'!AW365</f>
        <v/>
      </c>
      <c r="AH362" s="450">
        <f>0</f>
        <v/>
      </c>
      <c r="AI362" s="445" t="n"/>
      <c r="AJ362" s="445" t="n"/>
      <c r="AK362" s="44" t="n"/>
      <c r="AL362" s="45" t="n"/>
    </row>
    <row r="363" ht="17.1" customHeight="1" s="37">
      <c r="B363" s="546">
        <f>B362+1</f>
        <v/>
      </c>
      <c r="C363" s="450" t="inlineStr">
        <is>
          <t>sf21</t>
        </is>
      </c>
      <c r="D363" s="257">
        <f>SUM(Y363:AH363)</f>
        <v/>
      </c>
      <c r="E363" s="54">
        <f>'0₦'!AF366</f>
        <v/>
      </c>
      <c r="F363" s="41">
        <f>'0₦'!AG366</f>
        <v/>
      </c>
      <c r="H363" s="410">
        <f>D363</f>
        <v/>
      </c>
      <c r="J363" s="42">
        <f>D363-H363</f>
        <v/>
      </c>
      <c r="L363" s="42">
        <f>D363-SUM(H363,J363)</f>
        <v/>
      </c>
      <c r="N363" s="42">
        <f>D363-SUM(H363,J363,L363,)</f>
        <v/>
      </c>
      <c r="P363" s="42">
        <f>D363-SUM(H363,J363,L363,N363)</f>
        <v/>
      </c>
      <c r="R363" s="42">
        <f>D363-SUM(H363,J363,L363,N363,P363)</f>
        <v/>
      </c>
      <c r="T363" s="42">
        <f>D363-SUM(H363,J363,L363,N363,P363,R363)</f>
        <v/>
      </c>
      <c r="V363" s="42">
        <f>D363-SUM(H363,J363,L363,N363,P363,R363,T363)</f>
        <v/>
      </c>
      <c r="X363" s="56">
        <f>D363-SUM(H363,J363,L363,N363,P363,R363,T363,V363)</f>
        <v/>
      </c>
      <c r="Y363" s="57">
        <f>12*COUNT(G363,I363,K363,M363,O363,Q363,U363,W363,S363)</f>
        <v/>
      </c>
      <c r="Z363" s="40">
        <f>IF(AND('0₦'!T366&lt;&gt;0,'0₦'!T366&lt;&gt;""),9,0) + 0</f>
        <v/>
      </c>
      <c r="AA363" s="445">
        <f>'0₦'!BI366 + 0</f>
        <v/>
      </c>
      <c r="AB363" s="446">
        <f>'0₦'!BE366</f>
        <v/>
      </c>
      <c r="AC363" s="450">
        <f>'0₦'!BC366 + 0</f>
        <v/>
      </c>
      <c r="AD363" s="42">
        <f>'0₦'!BD366</f>
        <v/>
      </c>
      <c r="AE363" s="42">
        <f>'0₦'!AX366</f>
        <v/>
      </c>
      <c r="AF363" s="446">
        <f>hcbi!AA367+hcbi!Y367</f>
        <v/>
      </c>
      <c r="AG363" s="42">
        <f>'0₦'!AW366</f>
        <v/>
      </c>
      <c r="AH363" s="450">
        <f>0</f>
        <v/>
      </c>
      <c r="AK363" s="44" t="n"/>
      <c r="AL363" s="45" t="n"/>
    </row>
    <row r="364" ht="17.1" customHeight="1" s="37">
      <c r="B364" s="546">
        <f>B363+1</f>
        <v/>
      </c>
      <c r="C364" s="450" t="inlineStr">
        <is>
          <t>sf21</t>
        </is>
      </c>
      <c r="D364" s="257">
        <f>SUM(Y364:AH364)</f>
        <v/>
      </c>
      <c r="E364" s="54">
        <f>'0₦'!AF367</f>
        <v/>
      </c>
      <c r="F364" s="41">
        <f>'0₦'!AG367</f>
        <v/>
      </c>
      <c r="H364" s="410">
        <f>D364</f>
        <v/>
      </c>
      <c r="J364" s="42">
        <f>D364-H364</f>
        <v/>
      </c>
      <c r="L364" s="42">
        <f>D364-SUM(H364,J364)</f>
        <v/>
      </c>
      <c r="N364" s="42">
        <f>D364-SUM(H364,J364,L364,)</f>
        <v/>
      </c>
      <c r="P364" s="42">
        <f>D364-SUM(H364,J364,L364,N364)</f>
        <v/>
      </c>
      <c r="R364" s="42">
        <f>D364-SUM(H364,J364,L364,N364,P364)</f>
        <v/>
      </c>
      <c r="T364" s="42">
        <f>D364-SUM(H364,J364,L364,N364,P364,R364)</f>
        <v/>
      </c>
      <c r="V364" s="42">
        <f>D364-SUM(H364,J364,L364,N364,P364,R364,T364)</f>
        <v/>
      </c>
      <c r="X364" s="56">
        <f>D364-SUM(H364,J364,L364,N364,P364,R364,T364,V364)</f>
        <v/>
      </c>
      <c r="Y364" s="57">
        <f>12*COUNT(G364,I364,K364,M364,O364,Q364,U364,W364,S364)</f>
        <v/>
      </c>
      <c r="Z364" s="40">
        <f>IF(AND('0₦'!T367&lt;&gt;0,'0₦'!T367&lt;&gt;""),9,0) + 0</f>
        <v/>
      </c>
      <c r="AA364" s="445">
        <f>'0₦'!BI367 + 0</f>
        <v/>
      </c>
      <c r="AB364" s="446">
        <f>'0₦'!BE367</f>
        <v/>
      </c>
      <c r="AC364" s="450">
        <f>'0₦'!BC367 + 0</f>
        <v/>
      </c>
      <c r="AD364" s="42">
        <f>'0₦'!BD367</f>
        <v/>
      </c>
      <c r="AE364" s="42">
        <f>'0₦'!AX367</f>
        <v/>
      </c>
      <c r="AF364" s="446">
        <f>hcbi!AA368+hcbi!Y368</f>
        <v/>
      </c>
      <c r="AG364" s="42">
        <f>'0₦'!AW367</f>
        <v/>
      </c>
      <c r="AH364" s="450">
        <f>0</f>
        <v/>
      </c>
      <c r="AI364" s="445" t="n"/>
      <c r="AJ364" s="445" t="n"/>
      <c r="AK364" s="44" t="n"/>
      <c r="AL364" s="45" t="n"/>
    </row>
    <row r="365" ht="17.1" customHeight="1" s="37">
      <c r="A365" s="547" t="n"/>
      <c r="B365" s="546">
        <f>B364+1</f>
        <v/>
      </c>
      <c r="C365" s="450" t="inlineStr">
        <is>
          <t>sf21</t>
        </is>
      </c>
      <c r="D365" s="257">
        <f>SUM(Y365:AH365)</f>
        <v/>
      </c>
      <c r="E365" s="54">
        <f>'0₦'!AF368</f>
        <v/>
      </c>
      <c r="F365" s="41">
        <f>'0₦'!AG368</f>
        <v/>
      </c>
      <c r="H365" s="410">
        <f>D365</f>
        <v/>
      </c>
      <c r="J365" s="42">
        <f>D365-H365</f>
        <v/>
      </c>
      <c r="L365" s="42">
        <f>D365-SUM(H365,J365)</f>
        <v/>
      </c>
      <c r="N365" s="42">
        <f>D365-SUM(H365,J365,L365,)</f>
        <v/>
      </c>
      <c r="P365" s="42">
        <f>D365-SUM(H365,J365,L365,N365)</f>
        <v/>
      </c>
      <c r="R365" s="42">
        <f>D365-SUM(H365,J365,L365,N365,P365)</f>
        <v/>
      </c>
      <c r="T365" s="42">
        <f>D365-SUM(H365,J365,L365,N365,P365,R365)</f>
        <v/>
      </c>
      <c r="V365" s="42">
        <f>D365-SUM(H365,J365,L365,N365,P365,R365,T365)</f>
        <v/>
      </c>
      <c r="X365" s="56">
        <f>D365-SUM(H365,J365,L365,N365,P365,R365,T365,V365)</f>
        <v/>
      </c>
      <c r="Y365" s="57">
        <f>12*COUNT(G365,I365,K365,M365,O365,Q365,U365,W365,S365)</f>
        <v/>
      </c>
      <c r="Z365" s="40">
        <f>IF(AND('0₦'!T368&lt;&gt;0,'0₦'!T368&lt;&gt;""),9,0) + 0</f>
        <v/>
      </c>
      <c r="AA365" s="445">
        <f>'0₦'!BI368 -10</f>
        <v/>
      </c>
      <c r="AB365" s="446">
        <f>'0₦'!BE368</f>
        <v/>
      </c>
      <c r="AC365" s="450">
        <f>'0₦'!BC368 + 0</f>
        <v/>
      </c>
      <c r="AD365" s="42">
        <f>'0₦'!BD368</f>
        <v/>
      </c>
      <c r="AE365" s="42">
        <f>'0₦'!AX368</f>
        <v/>
      </c>
      <c r="AF365" s="446">
        <f>hcbi!AA369+hcbi!Y369</f>
        <v/>
      </c>
      <c r="AG365" s="42">
        <f>'0₦'!AW368</f>
        <v/>
      </c>
      <c r="AH365" s="450">
        <f>0</f>
        <v/>
      </c>
      <c r="AK365" s="44" t="n"/>
      <c r="AL365" s="45" t="n"/>
    </row>
    <row r="366">
      <c r="A366" s="480" t="n"/>
      <c r="B366" s="83" t="n"/>
      <c r="C366" s="83" t="n"/>
      <c r="D366" s="83" t="n"/>
      <c r="E366" s="83" t="n"/>
      <c r="F366" s="83" t="n"/>
      <c r="G366" s="83" t="n"/>
      <c r="H366" s="83" t="n"/>
      <c r="I366" s="83" t="n"/>
      <c r="J366" s="83" t="n"/>
      <c r="K366" s="83" t="n"/>
      <c r="L366" s="83" t="n"/>
      <c r="M366" s="83" t="n"/>
      <c r="N366" s="83" t="n"/>
      <c r="O366" s="83" t="n"/>
      <c r="P366" s="83" t="n"/>
      <c r="Q366" s="83" t="n"/>
      <c r="R366" s="83" t="n"/>
      <c r="S366" s="83" t="n"/>
      <c r="T366" s="83" t="n"/>
      <c r="U366" s="83" t="n"/>
      <c r="V366" s="83" t="n"/>
      <c r="W366" s="83" t="n"/>
      <c r="X366" s="185" t="n"/>
      <c r="Y366" s="259" t="n"/>
      <c r="Z366" s="185" t="n"/>
      <c r="AA366" s="186" t="n"/>
      <c r="AB366" s="186" t="n"/>
      <c r="AC366" s="83" t="n"/>
      <c r="AD366" s="83" t="n"/>
      <c r="AE366" s="83" t="n"/>
      <c r="AF366" s="83" t="n"/>
      <c r="AG366" s="83" t="n"/>
      <c r="AH366" s="83" t="n"/>
      <c r="AI366" s="83" t="n"/>
      <c r="AJ366" s="83" t="n"/>
      <c r="AK366" s="83" t="n"/>
      <c r="AL366" s="83" t="n"/>
    </row>
    <row r="367" ht="15.75" customHeight="1" s="37">
      <c r="A367" s="47" t="n"/>
      <c r="B367" s="47" t="n"/>
      <c r="C367" s="47" t="n"/>
      <c r="D367" s="413">
        <f>AVERAGE(D2:D365)</f>
        <v/>
      </c>
      <c r="E367" s="47" t="n"/>
      <c r="F367" s="47" t="n"/>
      <c r="G367" s="413" t="n"/>
      <c r="H367" s="47" t="n"/>
      <c r="I367" s="47" t="n"/>
      <c r="J367" s="47" t="n"/>
      <c r="K367" s="47" t="n"/>
      <c r="L367" s="47" t="n"/>
      <c r="M367" s="47" t="n"/>
      <c r="N367" s="47" t="n"/>
      <c r="O367" s="47" t="n"/>
      <c r="P367" s="47" t="n"/>
      <c r="Q367" s="47" t="n"/>
      <c r="R367" s="47" t="n"/>
      <c r="S367" s="47" t="n"/>
      <c r="T367" s="47" t="n"/>
      <c r="U367" s="47" t="n"/>
      <c r="V367" s="47" t="n"/>
      <c r="W367" s="47" t="n"/>
      <c r="X367" s="276" t="n"/>
      <c r="Y367" s="277" t="n"/>
      <c r="Z367" s="185">
        <f>AVERAGE(Z2:Z365)</f>
        <v/>
      </c>
      <c r="AA367" s="142" t="n"/>
      <c r="AB367" s="142" t="n"/>
      <c r="AC367" s="47" t="n"/>
      <c r="AD367" s="47" t="n"/>
      <c r="AE367" s="47" t="n"/>
      <c r="AF367" s="47" t="n"/>
      <c r="AG367" s="47" t="n"/>
      <c r="AH367" s="47" t="n"/>
      <c r="AI367" s="47" t="n"/>
      <c r="AJ367" s="47" t="n"/>
      <c r="AK367" s="47" t="n"/>
      <c r="AL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276" t="n"/>
      <c r="Y368" s="277" t="n"/>
      <c r="Z368" s="276" t="n"/>
      <c r="AA368" s="142" t="n"/>
      <c r="AB368" s="142" t="n"/>
      <c r="AC368" s="47" t="n"/>
      <c r="AD368" s="47" t="n"/>
      <c r="AE368" s="47" t="n"/>
      <c r="AF368" s="47" t="n"/>
      <c r="AG368" s="47" t="n"/>
      <c r="AH368" s="47" t="n"/>
      <c r="AI368" s="47" t="n"/>
      <c r="AJ368" s="47" t="n"/>
      <c r="AK368" s="47" t="n"/>
      <c r="AL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276" t="n"/>
      <c r="Y369" s="277" t="n"/>
      <c r="Z369" s="276" t="n"/>
      <c r="AA369" s="142" t="n"/>
      <c r="AB369" s="142" t="n"/>
      <c r="AC369" s="47" t="n"/>
      <c r="AD369" s="47" t="n"/>
      <c r="AE369" s="47" t="n"/>
      <c r="AF369" s="47" t="n"/>
      <c r="AG369" s="47" t="n"/>
      <c r="AH369" s="47" t="n"/>
      <c r="AI369" s="47" t="n"/>
      <c r="AJ369" s="47" t="n"/>
      <c r="AK369" s="47" t="n"/>
      <c r="AL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276" t="n"/>
      <c r="Y370" s="277" t="n"/>
      <c r="Z370" s="276" t="n"/>
      <c r="AA370" s="142" t="n"/>
      <c r="AB370" s="142" t="n"/>
      <c r="AC370" s="47" t="n"/>
      <c r="AD370" s="47" t="n"/>
      <c r="AE370" s="47" t="n"/>
      <c r="AF370" s="47" t="n"/>
      <c r="AG370" s="47" t="n"/>
      <c r="AH370" s="47" t="n"/>
      <c r="AI370" s="47" t="n"/>
      <c r="AJ370" s="47" t="n"/>
      <c r="AK370" s="47" t="n"/>
      <c r="AL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276" t="n"/>
      <c r="Y371" s="277" t="n"/>
      <c r="Z371" s="276" t="n"/>
      <c r="AA371" s="142" t="n"/>
      <c r="AB371" s="142" t="n"/>
      <c r="AC371" s="47" t="n"/>
      <c r="AD371" s="47" t="n"/>
      <c r="AE371" s="47" t="n"/>
      <c r="AF371" s="47" t="n"/>
      <c r="AG371" s="47" t="n"/>
      <c r="AH371" s="47" t="n"/>
      <c r="AI371" s="47" t="n"/>
      <c r="AJ371" s="47" t="n"/>
      <c r="AK371" s="47" t="n"/>
      <c r="AL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276" t="n"/>
      <c r="Y372" s="277" t="n"/>
      <c r="Z372" s="276" t="n"/>
      <c r="AA372" s="142" t="n"/>
      <c r="AB372" s="142" t="n"/>
      <c r="AC372" s="47" t="n"/>
      <c r="AD372" s="47" t="n"/>
      <c r="AE372" s="47" t="n"/>
      <c r="AF372" s="47" t="n"/>
      <c r="AG372" s="47" t="n"/>
      <c r="AH372" s="47" t="n"/>
      <c r="AI372" s="47" t="n"/>
      <c r="AJ372" s="47" t="n"/>
      <c r="AK372" s="47" t="n"/>
      <c r="AL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276" t="n"/>
      <c r="Y373" s="277" t="n"/>
      <c r="Z373" s="276" t="n"/>
      <c r="AA373" s="142" t="n"/>
      <c r="AB373" s="142" t="n"/>
      <c r="AC373" s="47" t="n"/>
      <c r="AD373" s="47" t="n"/>
      <c r="AE373" s="47" t="n"/>
      <c r="AF373" s="47" t="n"/>
      <c r="AG373" s="47" t="n"/>
      <c r="AH373" s="47" t="n"/>
      <c r="AI373" s="47" t="n"/>
      <c r="AJ373" s="47" t="n"/>
      <c r="AK373" s="47" t="n"/>
      <c r="AL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276" t="n"/>
      <c r="Y374" s="277" t="n"/>
      <c r="Z374" s="276" t="n"/>
      <c r="AA374" s="142" t="n"/>
      <c r="AB374" s="142" t="n"/>
      <c r="AC374" s="47" t="n"/>
      <c r="AD374" s="47" t="n"/>
      <c r="AE374" s="47" t="n"/>
      <c r="AF374" s="47" t="n"/>
      <c r="AG374" s="47" t="n"/>
      <c r="AH374" s="47" t="n"/>
      <c r="AI374" s="47" t="n"/>
      <c r="AJ374" s="47" t="n"/>
      <c r="AK374" s="47" t="n"/>
      <c r="AL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276" t="n"/>
      <c r="Y375" s="277" t="n"/>
      <c r="Z375" s="276" t="n"/>
      <c r="AA375" s="142" t="n"/>
      <c r="AB375" s="142" t="n"/>
      <c r="AC375" s="47" t="n"/>
      <c r="AD375" s="47" t="n"/>
      <c r="AE375" s="47" t="n"/>
      <c r="AF375" s="47" t="n"/>
      <c r="AG375" s="47" t="n"/>
      <c r="AH375" s="47" t="n"/>
      <c r="AI375" s="47" t="n"/>
      <c r="AJ375" s="47" t="n"/>
      <c r="AK375" s="47" t="n"/>
      <c r="AL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276" t="n"/>
      <c r="Y376" s="277" t="n"/>
      <c r="Z376" s="276" t="n"/>
      <c r="AA376" s="142" t="n"/>
      <c r="AB376" s="142" t="n"/>
      <c r="AC376" s="47" t="n"/>
      <c r="AD376" s="47" t="n"/>
      <c r="AE376" s="47" t="n"/>
      <c r="AF376" s="47" t="n"/>
      <c r="AG376" s="47" t="n"/>
      <c r="AH376" s="47" t="n"/>
      <c r="AI376" s="47" t="n"/>
      <c r="AJ376" s="47" t="n"/>
      <c r="AK376" s="47" t="n"/>
      <c r="AL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276" t="n"/>
      <c r="Y377" s="277" t="n"/>
      <c r="Z377" s="276" t="n"/>
      <c r="AA377" s="142" t="n"/>
      <c r="AB377" s="142" t="n"/>
      <c r="AC377" s="47" t="n"/>
      <c r="AD377" s="47" t="n"/>
      <c r="AE377" s="47" t="n"/>
      <c r="AF377" s="47" t="n"/>
      <c r="AG377" s="47" t="n"/>
      <c r="AH377" s="47" t="n"/>
      <c r="AI377" s="47" t="n"/>
      <c r="AJ377" s="47" t="n"/>
      <c r="AK377" s="47" t="n"/>
      <c r="AL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276" t="n"/>
      <c r="Y378" s="277" t="n"/>
      <c r="Z378" s="276" t="n"/>
      <c r="AA378" s="142" t="n"/>
      <c r="AB378" s="142" t="n"/>
      <c r="AC378" s="47" t="n"/>
      <c r="AD378" s="47" t="n"/>
      <c r="AE378" s="47" t="n"/>
      <c r="AF378" s="47" t="n"/>
      <c r="AG378" s="47" t="n"/>
      <c r="AH378" s="47" t="n"/>
      <c r="AI378" s="47" t="n"/>
      <c r="AJ378" s="47" t="n"/>
      <c r="AK378" s="47" t="n"/>
      <c r="AL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276" t="n"/>
      <c r="Y379" s="277" t="n"/>
      <c r="Z379" s="276" t="n"/>
      <c r="AA379" s="142" t="n"/>
      <c r="AB379" s="142" t="n"/>
      <c r="AC379" s="47" t="n"/>
      <c r="AD379" s="47" t="n"/>
      <c r="AE379" s="47" t="n"/>
      <c r="AF379" s="47" t="n"/>
      <c r="AG379" s="47" t="n"/>
      <c r="AH379" s="47" t="n"/>
      <c r="AI379" s="47" t="n"/>
      <c r="AJ379" s="47" t="n"/>
      <c r="AK379" s="47" t="n"/>
      <c r="AL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276" t="n"/>
      <c r="Y380" s="277" t="n"/>
      <c r="Z380" s="276" t="n"/>
      <c r="AA380" s="142" t="n"/>
      <c r="AB380" s="142" t="n"/>
      <c r="AC380" s="47" t="n"/>
      <c r="AD380" s="47" t="n"/>
      <c r="AE380" s="47" t="n"/>
      <c r="AF380" s="47" t="n"/>
      <c r="AG380" s="47" t="n"/>
      <c r="AH380" s="47" t="n"/>
      <c r="AI380" s="47" t="n"/>
      <c r="AJ380" s="47" t="n"/>
      <c r="AK380" s="47" t="n"/>
      <c r="AL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276" t="n"/>
      <c r="Y381" s="277" t="n"/>
      <c r="Z381" s="276" t="n"/>
      <c r="AA381" s="142" t="n"/>
      <c r="AB381" s="142" t="n"/>
      <c r="AC381" s="47" t="n"/>
      <c r="AD381" s="47" t="n"/>
      <c r="AE381" s="47" t="n"/>
      <c r="AF381" s="47" t="n"/>
      <c r="AG381" s="47" t="n"/>
      <c r="AH381" s="47" t="n"/>
      <c r="AI381" s="47" t="n"/>
      <c r="AJ381" s="47" t="n"/>
      <c r="AK381" s="47" t="n"/>
      <c r="AL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276" t="n"/>
      <c r="Y382" s="277" t="n"/>
      <c r="Z382" s="276" t="n"/>
      <c r="AA382" s="142" t="n"/>
      <c r="AB382" s="142" t="n"/>
      <c r="AC382" s="47" t="n"/>
      <c r="AD382" s="47" t="n"/>
      <c r="AE382" s="47" t="n"/>
      <c r="AF382" s="47" t="n"/>
      <c r="AG382" s="47" t="n"/>
      <c r="AH382" s="47" t="n"/>
      <c r="AI382" s="47" t="n"/>
      <c r="AJ382" s="47" t="n"/>
      <c r="AK382" s="47" t="n"/>
      <c r="AL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276" t="n"/>
      <c r="Y383" s="277" t="n"/>
      <c r="Z383" s="276" t="n"/>
      <c r="AA383" s="142" t="n"/>
      <c r="AB383" s="142" t="n"/>
      <c r="AC383" s="47" t="n"/>
      <c r="AD383" s="47" t="n"/>
      <c r="AE383" s="47" t="n"/>
      <c r="AF383" s="47" t="n"/>
      <c r="AG383" s="47" t="n"/>
      <c r="AH383" s="47" t="n"/>
      <c r="AI383" s="47" t="n"/>
      <c r="AJ383" s="47" t="n"/>
      <c r="AK383" s="47" t="n"/>
      <c r="AL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276" t="n"/>
      <c r="Y384" s="277" t="n"/>
      <c r="Z384" s="276" t="n"/>
      <c r="AA384" s="142" t="n"/>
      <c r="AB384" s="142" t="n"/>
      <c r="AC384" s="47" t="n"/>
      <c r="AD384" s="47" t="n"/>
      <c r="AE384" s="47" t="n"/>
      <c r="AF384" s="47" t="n"/>
      <c r="AG384" s="47" t="n"/>
      <c r="AH384" s="47" t="n"/>
      <c r="AI384" s="47" t="n"/>
      <c r="AJ384" s="47" t="n"/>
      <c r="AK384" s="47" t="n"/>
      <c r="AL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276" t="n"/>
      <c r="Y385" s="277" t="n"/>
      <c r="Z385" s="276" t="n"/>
      <c r="AA385" s="142" t="n"/>
      <c r="AB385" s="142" t="n"/>
      <c r="AC385" s="47" t="n"/>
      <c r="AD385" s="47" t="n"/>
      <c r="AE385" s="47" t="n"/>
      <c r="AF385" s="47" t="n"/>
      <c r="AG385" s="47" t="n"/>
      <c r="AH385" s="47" t="n"/>
      <c r="AI385" s="47" t="n"/>
      <c r="AJ385" s="47" t="n"/>
      <c r="AK385" s="47" t="n"/>
      <c r="AL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276" t="n"/>
      <c r="Y386" s="277" t="n"/>
      <c r="Z386" s="276" t="n"/>
      <c r="AA386" s="142" t="n"/>
      <c r="AB386" s="142" t="n"/>
      <c r="AC386" s="47" t="n"/>
      <c r="AD386" s="47" t="n"/>
      <c r="AE386" s="47" t="n"/>
      <c r="AF386" s="47" t="n"/>
      <c r="AG386" s="47" t="n"/>
      <c r="AH386" s="47" t="n"/>
      <c r="AI386" s="47" t="n"/>
      <c r="AJ386" s="47" t="n"/>
      <c r="AK386" s="47" t="n"/>
      <c r="AL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276" t="n"/>
      <c r="Y387" s="277" t="n"/>
      <c r="Z387" s="276" t="n"/>
      <c r="AA387" s="142" t="n"/>
      <c r="AB387" s="142" t="n"/>
      <c r="AC387" s="47" t="n"/>
      <c r="AD387" s="47" t="n"/>
      <c r="AE387" s="47" t="n"/>
      <c r="AF387" s="47" t="n"/>
      <c r="AG387" s="47" t="n"/>
      <c r="AH387" s="47" t="n"/>
      <c r="AI387" s="47" t="n"/>
      <c r="AJ387" s="47" t="n"/>
      <c r="AK387" s="47" t="n"/>
      <c r="AL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276" t="n"/>
      <c r="Y388" s="277" t="n"/>
      <c r="Z388" s="276" t="n"/>
      <c r="AA388" s="142" t="n"/>
      <c r="AB388" s="142" t="n"/>
      <c r="AC388" s="47" t="n"/>
      <c r="AD388" s="47" t="n"/>
      <c r="AE388" s="47" t="n"/>
      <c r="AF388" s="47" t="n"/>
      <c r="AG388" s="47" t="n"/>
      <c r="AH388" s="47" t="n"/>
      <c r="AI388" s="47" t="n"/>
      <c r="AJ388" s="47" t="n"/>
      <c r="AK388" s="47" t="n"/>
      <c r="AL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276" t="n"/>
      <c r="Y389" s="277" t="n"/>
      <c r="Z389" s="276" t="n"/>
      <c r="AA389" s="142" t="n"/>
      <c r="AB389" s="142" t="n"/>
      <c r="AC389" s="47" t="n"/>
      <c r="AD389" s="47" t="n"/>
      <c r="AE389" s="47" t="n"/>
      <c r="AF389" s="47" t="n"/>
      <c r="AG389" s="47" t="n"/>
      <c r="AH389" s="47" t="n"/>
      <c r="AI389" s="47" t="n"/>
      <c r="AJ389" s="47" t="n"/>
      <c r="AK389" s="47" t="n"/>
      <c r="AL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276" t="n"/>
      <c r="Y390" s="277" t="n"/>
      <c r="Z390" s="276" t="n"/>
      <c r="AA390" s="142" t="n"/>
      <c r="AB390" s="142" t="n"/>
      <c r="AC390" s="47" t="n"/>
      <c r="AD390" s="47" t="n"/>
      <c r="AE390" s="47" t="n"/>
      <c r="AF390" s="47" t="n"/>
      <c r="AG390" s="47" t="n"/>
      <c r="AH390" s="47" t="n"/>
      <c r="AI390" s="47" t="n"/>
      <c r="AJ390" s="47" t="n"/>
      <c r="AK390" s="47" t="n"/>
      <c r="AL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276" t="n"/>
      <c r="Y391" s="277" t="n"/>
      <c r="Z391" s="276" t="n"/>
      <c r="AA391" s="142" t="n"/>
      <c r="AB391" s="142" t="n"/>
      <c r="AC391" s="47" t="n"/>
      <c r="AD391" s="47" t="n"/>
      <c r="AE391" s="47" t="n"/>
      <c r="AF391" s="47" t="n"/>
      <c r="AG391" s="47" t="n"/>
      <c r="AH391" s="47" t="n"/>
      <c r="AI391" s="47" t="n"/>
      <c r="AJ391" s="47" t="n"/>
      <c r="AK391" s="47" t="n"/>
      <c r="AL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276" t="n"/>
      <c r="Y392" s="277" t="n"/>
      <c r="Z392" s="276" t="n"/>
      <c r="AA392" s="142" t="n"/>
      <c r="AB392" s="142" t="n"/>
      <c r="AC392" s="47" t="n"/>
      <c r="AD392" s="47" t="n"/>
      <c r="AE392" s="47" t="n"/>
      <c r="AF392" s="47" t="n"/>
      <c r="AG392" s="47" t="n"/>
      <c r="AH392" s="47" t="n"/>
      <c r="AI392" s="47" t="n"/>
      <c r="AJ392" s="47" t="n"/>
      <c r="AK392" s="47" t="n"/>
      <c r="AL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276" t="n"/>
      <c r="Y393" s="277" t="n"/>
      <c r="Z393" s="276" t="n"/>
      <c r="AA393" s="142" t="n"/>
      <c r="AB393" s="142" t="n"/>
      <c r="AC393" s="47" t="n"/>
      <c r="AD393" s="47" t="n"/>
      <c r="AE393" s="47" t="n"/>
      <c r="AF393" s="47" t="n"/>
      <c r="AG393" s="47" t="n"/>
      <c r="AH393" s="47" t="n"/>
      <c r="AI393" s="47" t="n"/>
      <c r="AJ393" s="47" t="n"/>
      <c r="AK393" s="47" t="n"/>
      <c r="AL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276" t="n"/>
      <c r="Y394" s="277" t="n"/>
      <c r="Z394" s="276" t="n"/>
      <c r="AA394" s="142" t="n"/>
      <c r="AB394" s="142" t="n"/>
      <c r="AC394" s="47" t="n"/>
      <c r="AD394" s="47" t="n"/>
      <c r="AE394" s="47" t="n"/>
      <c r="AF394" s="47" t="n"/>
      <c r="AG394" s="47" t="n"/>
      <c r="AH394" s="47" t="n"/>
      <c r="AI394" s="47" t="n"/>
      <c r="AJ394" s="47" t="n"/>
      <c r="AK394" s="47" t="n"/>
      <c r="AL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276" t="n"/>
      <c r="Y395" s="277" t="n"/>
      <c r="Z395" s="276" t="n"/>
      <c r="AA395" s="142" t="n"/>
      <c r="AB395" s="142" t="n"/>
      <c r="AC395" s="47" t="n"/>
      <c r="AD395" s="47" t="n"/>
      <c r="AE395" s="47" t="n"/>
      <c r="AF395" s="47" t="n"/>
      <c r="AG395" s="47" t="n"/>
      <c r="AH395" s="47" t="n"/>
      <c r="AI395" s="47" t="n"/>
      <c r="AJ395" s="47" t="n"/>
      <c r="AK395" s="47" t="n"/>
      <c r="AL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276" t="n"/>
      <c r="Y396" s="277" t="n"/>
      <c r="Z396" s="276" t="n"/>
      <c r="AA396" s="142" t="n"/>
      <c r="AB396" s="142" t="n"/>
      <c r="AC396" s="47" t="n"/>
      <c r="AD396" s="47" t="n"/>
      <c r="AE396" s="47" t="n"/>
      <c r="AF396" s="47" t="n"/>
      <c r="AG396" s="47" t="n"/>
      <c r="AH396" s="47" t="n"/>
      <c r="AI396" s="47" t="n"/>
      <c r="AJ396" s="47" t="n"/>
      <c r="AK396" s="47" t="n"/>
      <c r="AL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276" t="n"/>
      <c r="Y397" s="277" t="n"/>
      <c r="Z397" s="276" t="n"/>
      <c r="AA397" s="142" t="n"/>
      <c r="AB397" s="142" t="n"/>
      <c r="AC397" s="47" t="n"/>
      <c r="AD397" s="47" t="n"/>
      <c r="AE397" s="47" t="n"/>
      <c r="AF397" s="47" t="n"/>
      <c r="AG397" s="47" t="n"/>
      <c r="AH397" s="47" t="n"/>
      <c r="AI397" s="47" t="n"/>
      <c r="AJ397" s="47" t="n"/>
      <c r="AK397" s="47" t="n"/>
      <c r="AL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276" t="n"/>
      <c r="Y398" s="277" t="n"/>
      <c r="Z398" s="276" t="n"/>
      <c r="AA398" s="142" t="n"/>
      <c r="AB398" s="142" t="n"/>
      <c r="AC398" s="47" t="n"/>
      <c r="AD398" s="47" t="n"/>
      <c r="AE398" s="47" t="n"/>
      <c r="AF398" s="47" t="n"/>
      <c r="AG398" s="47" t="n"/>
      <c r="AH398" s="47" t="n"/>
      <c r="AI398" s="47" t="n"/>
      <c r="AJ398" s="47" t="n"/>
      <c r="AK398" s="47" t="n"/>
      <c r="AL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276" t="n"/>
      <c r="Y399" s="277" t="n"/>
      <c r="Z399" s="276" t="n"/>
      <c r="AA399" s="142" t="n"/>
      <c r="AB399" s="142" t="n"/>
      <c r="AC399" s="47" t="n"/>
      <c r="AD399" s="47" t="n"/>
      <c r="AE399" s="47" t="n"/>
      <c r="AF399" s="47" t="n"/>
      <c r="AG399" s="47" t="n"/>
      <c r="AH399" s="47" t="n"/>
      <c r="AI399" s="47" t="n"/>
      <c r="AJ399" s="47" t="n"/>
      <c r="AK399" s="47" t="n"/>
      <c r="AL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276" t="n"/>
      <c r="Y400" s="277" t="n"/>
      <c r="Z400" s="276" t="n"/>
      <c r="AA400" s="142" t="n"/>
      <c r="AB400" s="142" t="n"/>
      <c r="AC400" s="47" t="n"/>
      <c r="AD400" s="47" t="n"/>
      <c r="AE400" s="47" t="n"/>
      <c r="AF400" s="47" t="n"/>
      <c r="AG400" s="47" t="n"/>
      <c r="AH400" s="47" t="n"/>
      <c r="AI400" s="47" t="n"/>
      <c r="AJ400" s="47" t="n"/>
      <c r="AK400" s="47" t="n"/>
      <c r="AL400" s="47" t="n"/>
    </row>
    <row r="401">
      <c r="A401" s="47" t="n"/>
      <c r="B401" s="47" t="n"/>
      <c r="C401" s="47" t="n"/>
      <c r="D401" s="47" t="n"/>
      <c r="E401" s="47" t="n"/>
      <c r="F401" s="47" t="n"/>
      <c r="G401" s="47" t="n"/>
      <c r="H401" s="47" t="n"/>
      <c r="I401" s="47" t="n"/>
      <c r="J401" s="47" t="n"/>
      <c r="K401" s="47" t="n"/>
      <c r="L401" s="47" t="n"/>
      <c r="M401" s="47" t="n"/>
      <c r="N401" s="47" t="n"/>
      <c r="O401" s="47" t="n"/>
      <c r="P401" s="47" t="n"/>
      <c r="Q401" s="47" t="n"/>
      <c r="R401" s="47" t="n"/>
      <c r="S401" s="47" t="n"/>
      <c r="T401" s="47" t="n"/>
      <c r="U401" s="47" t="n"/>
      <c r="V401" s="47" t="n"/>
      <c r="W401" s="47" t="n"/>
      <c r="X401" s="276" t="n"/>
      <c r="Y401" s="277" t="n"/>
      <c r="Z401" s="276" t="n"/>
      <c r="AA401" s="142" t="n"/>
      <c r="AB401" s="142" t="n"/>
      <c r="AC401" s="47" t="n"/>
      <c r="AD401" s="47" t="n"/>
      <c r="AE401" s="47" t="n"/>
      <c r="AF401" s="47" t="n"/>
      <c r="AG401" s="47" t="n"/>
      <c r="AH401" s="47" t="n"/>
      <c r="AI401" s="47" t="n"/>
      <c r="AJ401" s="47" t="n"/>
      <c r="AK401" s="47" t="n"/>
      <c r="AL401" s="47" t="n"/>
    </row>
    <row r="402">
      <c r="A402" s="47" t="n"/>
      <c r="B402" s="47" t="n"/>
      <c r="C402" s="47" t="n"/>
      <c r="D402" s="47" t="n"/>
      <c r="E402" s="47" t="n"/>
      <c r="F402" s="47" t="n"/>
      <c r="G402" s="47" t="n"/>
      <c r="H402" s="47" t="n"/>
      <c r="I402" s="47" t="n"/>
      <c r="J402" s="47" t="n"/>
      <c r="K402" s="47" t="n"/>
      <c r="L402" s="47" t="n"/>
      <c r="M402" s="47" t="n"/>
      <c r="N402" s="47" t="n"/>
      <c r="O402" s="47" t="n"/>
      <c r="P402" s="47" t="n"/>
      <c r="Q402" s="47" t="n"/>
      <c r="R402" s="47" t="n"/>
      <c r="S402" s="47" t="n"/>
      <c r="T402" s="47" t="n"/>
      <c r="U402" s="47" t="n"/>
      <c r="V402" s="47" t="n"/>
      <c r="W402" s="47" t="n"/>
      <c r="X402" s="276" t="n"/>
      <c r="Y402" s="277" t="n"/>
      <c r="Z402" s="276" t="n"/>
      <c r="AA402" s="142" t="n"/>
      <c r="AB402" s="142" t="n"/>
      <c r="AC402" s="47" t="n"/>
      <c r="AD402" s="47" t="n"/>
      <c r="AE402" s="47" t="n"/>
      <c r="AF402" s="47" t="n"/>
      <c r="AG402" s="47" t="n"/>
      <c r="AH402" s="47" t="n"/>
      <c r="AI402" s="47" t="n"/>
      <c r="AJ402" s="47" t="n"/>
      <c r="AK402" s="47" t="n"/>
      <c r="AL402" s="47" t="n"/>
    </row>
    <row r="403">
      <c r="A403" s="47" t="n"/>
      <c r="B403" s="47" t="n"/>
      <c r="C403" s="47" t="n"/>
      <c r="D403" s="47" t="n"/>
      <c r="E403" s="47" t="n"/>
      <c r="F403" s="47" t="n"/>
      <c r="G403" s="47" t="n"/>
      <c r="H403" s="47" t="n"/>
      <c r="I403" s="47" t="n"/>
      <c r="J403" s="47" t="n"/>
      <c r="K403" s="47" t="n"/>
      <c r="L403" s="47" t="n"/>
      <c r="M403" s="47" t="n"/>
      <c r="N403" s="47" t="n"/>
      <c r="O403" s="47" t="n"/>
      <c r="P403" s="47" t="n"/>
      <c r="Q403" s="47" t="n"/>
      <c r="R403" s="47" t="n"/>
      <c r="S403" s="47" t="n"/>
      <c r="T403" s="47" t="n"/>
      <c r="U403" s="47" t="n"/>
      <c r="V403" s="47" t="n"/>
      <c r="W403" s="47" t="n"/>
      <c r="X403" s="276" t="n"/>
      <c r="Y403" s="277" t="n"/>
      <c r="Z403" s="276" t="n"/>
      <c r="AA403" s="142" t="n"/>
      <c r="AB403" s="142" t="n"/>
      <c r="AC403" s="47" t="n"/>
      <c r="AD403" s="47" t="n"/>
      <c r="AE403" s="47" t="n"/>
      <c r="AF403" s="47" t="n"/>
      <c r="AG403" s="47" t="n"/>
      <c r="AH403" s="47" t="n"/>
      <c r="AI403" s="47" t="n"/>
      <c r="AJ403" s="47" t="n"/>
      <c r="AK403" s="47" t="n"/>
      <c r="AL403" s="47" t="n"/>
    </row>
    <row r="404">
      <c r="A404" s="47" t="n"/>
      <c r="B404" s="47" t="n"/>
      <c r="C404" s="47" t="n"/>
      <c r="D404" s="47" t="n"/>
      <c r="E404" s="47" t="n"/>
      <c r="F404" s="47" t="n"/>
      <c r="G404" s="47" t="n"/>
      <c r="H404" s="47" t="n"/>
      <c r="I404" s="47" t="n"/>
      <c r="J404" s="47" t="n"/>
      <c r="K404" s="47" t="n"/>
      <c r="L404" s="47" t="n"/>
      <c r="M404" s="47" t="n"/>
      <c r="N404" s="47" t="n"/>
      <c r="O404" s="47" t="n"/>
      <c r="P404" s="47" t="n"/>
      <c r="Q404" s="47" t="n"/>
      <c r="R404" s="47" t="n"/>
      <c r="S404" s="47" t="n"/>
      <c r="T404" s="47" t="n"/>
      <c r="U404" s="47" t="n"/>
      <c r="V404" s="47" t="n"/>
      <c r="W404" s="47" t="n"/>
      <c r="X404" s="276" t="n"/>
      <c r="Y404" s="277" t="n"/>
      <c r="Z404" s="276" t="n"/>
      <c r="AA404" s="142" t="n"/>
      <c r="AB404" s="142" t="n"/>
      <c r="AC404" s="47" t="n"/>
      <c r="AD404" s="47" t="n"/>
      <c r="AE404" s="47" t="n"/>
      <c r="AF404" s="47" t="n"/>
      <c r="AG404" s="47" t="n"/>
      <c r="AH404" s="47" t="n"/>
      <c r="AI404" s="47" t="n"/>
      <c r="AJ404" s="47" t="n"/>
      <c r="AK404" s="47" t="n"/>
      <c r="AL404" s="47" t="n"/>
    </row>
    <row r="405">
      <c r="A405" s="47" t="n"/>
      <c r="B405" s="47" t="n"/>
      <c r="C405" s="47" t="n"/>
      <c r="D405" s="47" t="n"/>
      <c r="E405" s="47" t="n"/>
      <c r="F405" s="47" t="n"/>
      <c r="G405" s="47" t="n"/>
      <c r="H405" s="47" t="n"/>
      <c r="I405" s="47" t="n"/>
      <c r="J405" s="47" t="n"/>
      <c r="K405" s="47" t="n"/>
      <c r="L405" s="47" t="n"/>
      <c r="M405" s="47" t="n"/>
      <c r="N405" s="47" t="n"/>
      <c r="O405" s="47" t="n"/>
      <c r="P405" s="47" t="n"/>
      <c r="Q405" s="47" t="n"/>
      <c r="R405" s="47" t="n"/>
      <c r="S405" s="47" t="n"/>
      <c r="T405" s="47" t="n"/>
      <c r="U405" s="47" t="n"/>
      <c r="V405" s="47" t="n"/>
      <c r="W405" s="47" t="n"/>
      <c r="X405" s="276" t="n"/>
      <c r="Y405" s="277" t="n"/>
      <c r="Z405" s="276" t="n"/>
      <c r="AA405" s="142" t="n"/>
      <c r="AB405" s="142" t="n"/>
      <c r="AC405" s="47" t="n"/>
      <c r="AD405" s="47" t="n"/>
      <c r="AE405" s="47" t="n"/>
      <c r="AF405" s="47" t="n"/>
      <c r="AG405" s="47" t="n"/>
      <c r="AH405" s="47" t="n"/>
      <c r="AI405" s="47" t="n"/>
      <c r="AJ405" s="47" t="n"/>
      <c r="AK405" s="47" t="n"/>
      <c r="AL405" s="47" t="n"/>
    </row>
    <row r="406">
      <c r="A406" s="47" t="n"/>
      <c r="B406" s="47" t="n"/>
      <c r="C406" s="47" t="n"/>
      <c r="D406" s="47" t="n"/>
      <c r="E406" s="47" t="n"/>
      <c r="F406" s="47" t="n"/>
      <c r="G406" s="47" t="n"/>
      <c r="H406" s="47" t="n"/>
      <c r="I406" s="47" t="n"/>
      <c r="J406" s="47" t="n"/>
      <c r="K406" s="47" t="n"/>
      <c r="L406" s="47" t="n"/>
      <c r="M406" s="47" t="n"/>
      <c r="N406" s="47" t="n"/>
      <c r="O406" s="47" t="n"/>
      <c r="P406" s="47" t="n"/>
      <c r="Q406" s="47" t="n"/>
      <c r="R406" s="47" t="n"/>
      <c r="S406" s="47" t="n"/>
      <c r="T406" s="47" t="n"/>
      <c r="U406" s="47" t="n"/>
      <c r="V406" s="47" t="n"/>
      <c r="W406" s="47" t="n"/>
      <c r="X406" s="276" t="n"/>
      <c r="Y406" s="277" t="n"/>
      <c r="Z406" s="276" t="n"/>
      <c r="AA406" s="142" t="n"/>
      <c r="AB406" s="142" t="n"/>
      <c r="AC406" s="47" t="n"/>
      <c r="AD406" s="47" t="n"/>
      <c r="AE406" s="47" t="n"/>
      <c r="AF406" s="47" t="n"/>
      <c r="AG406" s="47" t="n"/>
      <c r="AH406" s="47" t="n"/>
      <c r="AI406" s="47" t="n"/>
      <c r="AJ406" s="47" t="n"/>
      <c r="AK406" s="47" t="n"/>
      <c r="AL406" s="47" t="n"/>
    </row>
    <row r="407">
      <c r="A407" s="47" t="n"/>
      <c r="B407" s="47" t="n"/>
      <c r="C407" s="47" t="n"/>
      <c r="D407" s="47" t="n"/>
      <c r="E407" s="47" t="n"/>
      <c r="F407" s="47" t="n"/>
      <c r="G407" s="47" t="n"/>
      <c r="H407" s="47" t="n"/>
      <c r="I407" s="47" t="n"/>
      <c r="J407" s="47" t="n"/>
      <c r="K407" s="47" t="n"/>
      <c r="L407" s="47" t="n"/>
      <c r="M407" s="47" t="n"/>
      <c r="N407" s="47" t="n"/>
      <c r="O407" s="47" t="n"/>
      <c r="P407" s="47" t="n"/>
      <c r="Q407" s="47" t="n"/>
      <c r="R407" s="47" t="n"/>
      <c r="S407" s="47" t="n"/>
      <c r="T407" s="47" t="n"/>
      <c r="U407" s="47" t="n"/>
      <c r="V407" s="47" t="n"/>
      <c r="W407" s="47" t="n"/>
      <c r="X407" s="276" t="n"/>
      <c r="Y407" s="277" t="n"/>
      <c r="Z407" s="276" t="n"/>
      <c r="AA407" s="142" t="n"/>
      <c r="AB407" s="142" t="n"/>
      <c r="AC407" s="47" t="n"/>
      <c r="AD407" s="47" t="n"/>
      <c r="AE407" s="47" t="n"/>
      <c r="AF407" s="47" t="n"/>
      <c r="AG407" s="47" t="n"/>
      <c r="AH407" s="47" t="n"/>
      <c r="AI407" s="47" t="n"/>
      <c r="AJ407" s="47" t="n"/>
      <c r="AK407" s="47" t="n"/>
      <c r="AL407" s="47" t="n"/>
    </row>
    <row r="408">
      <c r="A408" s="47" t="n"/>
      <c r="B408" s="47" t="n"/>
      <c r="C408" s="47" t="n"/>
      <c r="D408" s="47" t="n"/>
      <c r="E408" s="47" t="n"/>
      <c r="F408" s="47" t="n"/>
      <c r="G408" s="47" t="n"/>
      <c r="H408" s="47" t="n"/>
      <c r="I408" s="47" t="n"/>
      <c r="J408" s="47" t="n"/>
      <c r="K408" s="47" t="n"/>
      <c r="L408" s="47" t="n"/>
      <c r="M408" s="47" t="n"/>
      <c r="N408" s="47" t="n"/>
      <c r="O408" s="47" t="n"/>
      <c r="P408" s="47" t="n"/>
      <c r="Q408" s="47" t="n"/>
      <c r="R408" s="47" t="n"/>
      <c r="S408" s="47" t="n"/>
      <c r="T408" s="47" t="n"/>
      <c r="U408" s="47" t="n"/>
      <c r="V408" s="47" t="n"/>
      <c r="W408" s="47" t="n"/>
      <c r="X408" s="276" t="n"/>
      <c r="Y408" s="277" t="n"/>
      <c r="Z408" s="276" t="n"/>
      <c r="AA408" s="142" t="n"/>
      <c r="AB408" s="142" t="n"/>
      <c r="AC408" s="47" t="n"/>
      <c r="AD408" s="47" t="n"/>
      <c r="AE408" s="47" t="n"/>
      <c r="AF408" s="47" t="n"/>
      <c r="AG408" s="47" t="n"/>
      <c r="AH408" s="47" t="n"/>
      <c r="AI408" s="47" t="n"/>
      <c r="AJ408" s="47" t="n"/>
      <c r="AK408" s="47" t="n"/>
      <c r="AL408" s="47" t="n"/>
    </row>
    <row r="409">
      <c r="A409" s="47" t="n"/>
      <c r="B409" s="47" t="n"/>
      <c r="C409" s="47" t="n"/>
      <c r="D409" s="47" t="n"/>
      <c r="E409" s="47" t="n"/>
      <c r="F409" s="47" t="n"/>
      <c r="G409" s="47" t="n"/>
      <c r="H409" s="47" t="n"/>
      <c r="I409" s="47" t="n"/>
      <c r="J409" s="47" t="n"/>
      <c r="K409" s="47" t="n"/>
      <c r="L409" s="47" t="n"/>
      <c r="M409" s="47" t="n"/>
      <c r="N409" s="47" t="n"/>
      <c r="O409" s="47" t="n"/>
      <c r="P409" s="47" t="n"/>
      <c r="Q409" s="47" t="n"/>
      <c r="R409" s="47" t="n"/>
      <c r="S409" s="47" t="n"/>
      <c r="T409" s="47" t="n"/>
      <c r="U409" s="47" t="n"/>
      <c r="V409" s="47" t="n"/>
      <c r="W409" s="47" t="n"/>
      <c r="X409" s="276" t="n"/>
      <c r="Y409" s="277" t="n"/>
      <c r="Z409" s="276" t="n"/>
      <c r="AA409" s="142" t="n"/>
      <c r="AB409" s="142" t="n"/>
      <c r="AC409" s="47" t="n"/>
      <c r="AD409" s="47" t="n"/>
      <c r="AE409" s="47" t="n"/>
      <c r="AF409" s="47" t="n"/>
      <c r="AG409" s="47" t="n"/>
      <c r="AH409" s="47" t="n"/>
      <c r="AI409" s="47" t="n"/>
      <c r="AJ409" s="47" t="n"/>
      <c r="AK409" s="47" t="n"/>
      <c r="AL409" s="47" t="n"/>
    </row>
    <row r="410">
      <c r="A410" s="47" t="n"/>
      <c r="B410" s="47" t="n"/>
      <c r="C410" s="47" t="n"/>
      <c r="D410" s="47" t="n"/>
      <c r="E410" s="47" t="n"/>
      <c r="F410" s="47" t="n"/>
      <c r="G410" s="47" t="n"/>
      <c r="H410" s="47" t="n"/>
      <c r="I410" s="47" t="n"/>
      <c r="J410" s="47" t="n"/>
      <c r="K410" s="47" t="n"/>
      <c r="L410" s="47" t="n"/>
      <c r="M410" s="47" t="n"/>
      <c r="N410" s="47" t="n"/>
      <c r="O410" s="47" t="n"/>
      <c r="P410" s="47" t="n"/>
      <c r="Q410" s="47" t="n"/>
      <c r="R410" s="47" t="n"/>
      <c r="S410" s="47" t="n"/>
      <c r="T410" s="47" t="n"/>
      <c r="U410" s="47" t="n"/>
      <c r="V410" s="47" t="n"/>
      <c r="W410" s="47" t="n"/>
      <c r="X410" s="276" t="n"/>
      <c r="Y410" s="277" t="n"/>
      <c r="Z410" s="276" t="n"/>
      <c r="AA410" s="142" t="n"/>
      <c r="AB410" s="142" t="n"/>
      <c r="AC410" s="47" t="n"/>
      <c r="AD410" s="47" t="n"/>
      <c r="AE410" s="47" t="n"/>
      <c r="AF410" s="47" t="n"/>
      <c r="AG410" s="47" t="n"/>
      <c r="AH410" s="47" t="n"/>
      <c r="AI410" s="47" t="n"/>
      <c r="AJ410" s="47" t="n"/>
      <c r="AK410" s="47" t="n"/>
      <c r="AL410" s="47" t="n"/>
    </row>
    <row r="411">
      <c r="A411" s="47" t="n"/>
      <c r="B411" s="47" t="n"/>
      <c r="C411" s="47" t="n"/>
      <c r="D411" s="47" t="n"/>
      <c r="E411" s="47" t="n"/>
      <c r="F411" s="47" t="n"/>
      <c r="G411" s="47" t="n"/>
      <c r="H411" s="47" t="n"/>
      <c r="I411" s="47" t="n"/>
      <c r="J411" s="47" t="n"/>
      <c r="K411" s="47" t="n"/>
      <c r="L411" s="47" t="n"/>
      <c r="M411" s="47" t="n"/>
      <c r="N411" s="47" t="n"/>
      <c r="O411" s="47" t="n"/>
      <c r="P411" s="47" t="n"/>
      <c r="Q411" s="47" t="n"/>
      <c r="R411" s="47" t="n"/>
      <c r="S411" s="47" t="n"/>
      <c r="T411" s="47" t="n"/>
      <c r="U411" s="47" t="n"/>
      <c r="V411" s="47" t="n"/>
      <c r="W411" s="47" t="n"/>
      <c r="X411" s="276" t="n"/>
      <c r="Y411" s="277" t="n"/>
      <c r="Z411" s="276" t="n"/>
      <c r="AA411" s="142" t="n"/>
      <c r="AB411" s="142" t="n"/>
      <c r="AC411" s="47" t="n"/>
      <c r="AD411" s="47" t="n"/>
      <c r="AE411" s="47" t="n"/>
      <c r="AF411" s="47" t="n"/>
      <c r="AG411" s="47" t="n"/>
      <c r="AH411" s="47" t="n"/>
      <c r="AI411" s="47" t="n"/>
      <c r="AJ411" s="47" t="n"/>
      <c r="AK411" s="47" t="n"/>
      <c r="AL411" s="47" t="n"/>
    </row>
    <row r="412">
      <c r="A412" s="47" t="n"/>
      <c r="B412" s="47" t="n"/>
      <c r="C412" s="47" t="n"/>
      <c r="D412" s="47" t="n"/>
      <c r="E412" s="47" t="n"/>
      <c r="F412" s="47" t="n"/>
      <c r="G412" s="47" t="n"/>
      <c r="H412" s="47" t="n"/>
      <c r="I412" s="47" t="n"/>
      <c r="J412" s="47" t="n"/>
      <c r="K412" s="47" t="n"/>
      <c r="L412" s="47" t="n"/>
      <c r="M412" s="47" t="n"/>
      <c r="N412" s="47" t="n"/>
      <c r="O412" s="47" t="n"/>
      <c r="P412" s="47" t="n"/>
      <c r="Q412" s="47" t="n"/>
      <c r="R412" s="47" t="n"/>
      <c r="S412" s="47" t="n"/>
      <c r="T412" s="47" t="n"/>
      <c r="U412" s="47" t="n"/>
      <c r="V412" s="47" t="n"/>
      <c r="W412" s="47" t="n"/>
      <c r="X412" s="276" t="n"/>
      <c r="Y412" s="277" t="n"/>
      <c r="Z412" s="276" t="n"/>
      <c r="AA412" s="142" t="n"/>
      <c r="AB412" s="142" t="n"/>
      <c r="AC412" s="47" t="n"/>
      <c r="AD412" s="47" t="n"/>
      <c r="AE412" s="47" t="n"/>
      <c r="AF412" s="47" t="n"/>
      <c r="AG412" s="47" t="n"/>
      <c r="AH412" s="47" t="n"/>
      <c r="AI412" s="47" t="n"/>
      <c r="AJ412" s="47" t="n"/>
      <c r="AK412" s="47" t="n"/>
      <c r="AL412" s="47" t="n"/>
    </row>
    <row r="413">
      <c r="A413" s="47" t="n"/>
      <c r="B413" s="47" t="n"/>
      <c r="C413" s="47" t="n"/>
      <c r="D413" s="47" t="n"/>
      <c r="E413" s="47" t="n"/>
      <c r="F413" s="47" t="n"/>
      <c r="G413" s="47" t="n"/>
      <c r="H413" s="47" t="n"/>
      <c r="I413" s="47" t="n"/>
      <c r="J413" s="47" t="n"/>
      <c r="K413" s="47" t="n"/>
      <c r="L413" s="47" t="n"/>
      <c r="M413" s="47" t="n"/>
      <c r="N413" s="47" t="n"/>
      <c r="O413" s="47" t="n"/>
      <c r="P413" s="47" t="n"/>
      <c r="Q413" s="47" t="n"/>
      <c r="R413" s="47" t="n"/>
      <c r="S413" s="47" t="n"/>
      <c r="T413" s="47" t="n"/>
      <c r="U413" s="47" t="n"/>
      <c r="V413" s="47" t="n"/>
      <c r="W413" s="47" t="n"/>
      <c r="X413" s="276" t="n"/>
      <c r="Y413" s="277" t="n"/>
      <c r="Z413" s="276" t="n"/>
      <c r="AA413" s="142" t="n"/>
      <c r="AB413" s="142" t="n"/>
      <c r="AC413" s="47" t="n"/>
      <c r="AD413" s="47" t="n"/>
      <c r="AE413" s="47" t="n"/>
      <c r="AF413" s="47" t="n"/>
      <c r="AG413" s="47" t="n"/>
      <c r="AH413" s="47" t="n"/>
      <c r="AI413" s="47" t="n"/>
      <c r="AJ413" s="47" t="n"/>
      <c r="AK413" s="47" t="n"/>
      <c r="AL413" s="47" t="n"/>
    </row>
    <row r="414">
      <c r="A414" s="47" t="n"/>
      <c r="B414" s="47" t="n"/>
      <c r="C414" s="47" t="n"/>
      <c r="D414" s="47" t="n"/>
      <c r="E414" s="47" t="n"/>
      <c r="F414" s="47" t="n"/>
      <c r="G414" s="47" t="n"/>
      <c r="H414" s="47" t="n"/>
      <c r="I414" s="47" t="n"/>
      <c r="J414" s="47" t="n"/>
      <c r="K414" s="47" t="n"/>
      <c r="L414" s="47" t="n"/>
      <c r="M414" s="47" t="n"/>
      <c r="N414" s="47" t="n"/>
      <c r="O414" s="47" t="n"/>
      <c r="P414" s="47" t="n"/>
      <c r="Q414" s="47" t="n"/>
      <c r="R414" s="47" t="n"/>
      <c r="S414" s="47" t="n"/>
      <c r="T414" s="47" t="n"/>
      <c r="U414" s="47" t="n"/>
      <c r="V414" s="47" t="n"/>
      <c r="W414" s="47" t="n"/>
      <c r="X414" s="276" t="n"/>
      <c r="Y414" s="277" t="n"/>
      <c r="Z414" s="276" t="n"/>
      <c r="AA414" s="142" t="n"/>
      <c r="AB414" s="142" t="n"/>
      <c r="AC414" s="47" t="n"/>
      <c r="AD414" s="47" t="n"/>
      <c r="AE414" s="47" t="n"/>
      <c r="AF414" s="47" t="n"/>
      <c r="AG414" s="47" t="n"/>
      <c r="AH414" s="47" t="n"/>
      <c r="AI414" s="47" t="n"/>
      <c r="AJ414" s="47" t="n"/>
      <c r="AK414" s="47" t="n"/>
      <c r="AL414" s="47" t="n"/>
    </row>
    <row r="415">
      <c r="A415" s="47" t="n"/>
      <c r="B415" s="47" t="n"/>
      <c r="C415" s="47" t="n"/>
      <c r="D415" s="47" t="n"/>
      <c r="E415" s="47" t="n"/>
      <c r="F415" s="47" t="n"/>
      <c r="G415" s="47" t="n"/>
      <c r="H415" s="47" t="n"/>
      <c r="I415" s="47" t="n"/>
      <c r="J415" s="47" t="n"/>
      <c r="K415" s="47" t="n"/>
      <c r="L415" s="47" t="n"/>
      <c r="M415" s="47" t="n"/>
      <c r="N415" s="47" t="n"/>
      <c r="O415" s="47" t="n"/>
      <c r="P415" s="47" t="n"/>
      <c r="Q415" s="47" t="n"/>
      <c r="R415" s="47" t="n"/>
      <c r="S415" s="47" t="n"/>
      <c r="T415" s="47" t="n"/>
      <c r="U415" s="47" t="n"/>
      <c r="V415" s="47" t="n"/>
      <c r="W415" s="47" t="n"/>
      <c r="X415" s="276" t="n"/>
      <c r="Y415" s="277" t="n"/>
      <c r="Z415" s="276" t="n"/>
      <c r="AA415" s="142" t="n"/>
      <c r="AB415" s="142" t="n"/>
      <c r="AC415" s="47" t="n"/>
      <c r="AD415" s="47" t="n"/>
      <c r="AE415" s="47" t="n"/>
      <c r="AF415" s="47" t="n"/>
      <c r="AG415" s="47" t="n"/>
      <c r="AH415" s="47" t="n"/>
      <c r="AI415" s="47" t="n"/>
      <c r="AJ415" s="47" t="n"/>
      <c r="AK415" s="47" t="n"/>
      <c r="AL415" s="47" t="n"/>
    </row>
    <row r="416">
      <c r="A416" s="47" t="n"/>
      <c r="B416" s="47" t="n"/>
      <c r="C416" s="47" t="n"/>
      <c r="D416" s="47" t="n"/>
      <c r="E416" s="47" t="n"/>
      <c r="F416" s="47" t="n"/>
      <c r="G416" s="47" t="n"/>
      <c r="H416" s="47" t="n"/>
      <c r="I416" s="47" t="n"/>
      <c r="J416" s="47" t="n"/>
      <c r="K416" s="47" t="n"/>
      <c r="L416" s="47" t="n"/>
      <c r="M416" s="47" t="n"/>
      <c r="N416" s="47" t="n"/>
      <c r="O416" s="47" t="n"/>
      <c r="P416" s="47" t="n"/>
      <c r="Q416" s="47" t="n"/>
      <c r="R416" s="47" t="n"/>
      <c r="S416" s="47" t="n"/>
      <c r="T416" s="47" t="n"/>
      <c r="U416" s="47" t="n"/>
      <c r="V416" s="47" t="n"/>
      <c r="W416" s="47" t="n"/>
      <c r="X416" s="276" t="n"/>
      <c r="Y416" s="277" t="n"/>
      <c r="Z416" s="276" t="n"/>
      <c r="AA416" s="142" t="n"/>
      <c r="AB416" s="142" t="n"/>
      <c r="AC416" s="47" t="n"/>
      <c r="AD416" s="47" t="n"/>
      <c r="AE416" s="47" t="n"/>
      <c r="AF416" s="47" t="n"/>
      <c r="AG416" s="47" t="n"/>
      <c r="AH416" s="47" t="n"/>
      <c r="AI416" s="47" t="n"/>
      <c r="AJ416" s="47" t="n"/>
      <c r="AK416" s="47" t="n"/>
      <c r="AL416" s="47" t="n"/>
    </row>
    <row r="417">
      <c r="A417" s="47" t="n"/>
      <c r="B417" s="47" t="n"/>
      <c r="C417" s="47" t="n"/>
      <c r="D417" s="47" t="n"/>
      <c r="E417" s="47" t="n"/>
      <c r="F417" s="47" t="n"/>
      <c r="G417" s="47" t="n"/>
      <c r="H417" s="47" t="n"/>
      <c r="I417" s="47" t="n"/>
      <c r="J417" s="47" t="n"/>
      <c r="K417" s="47" t="n"/>
      <c r="L417" s="47" t="n"/>
      <c r="M417" s="47" t="n"/>
      <c r="N417" s="47" t="n"/>
      <c r="O417" s="47" t="n"/>
      <c r="P417" s="47" t="n"/>
      <c r="Q417" s="47" t="n"/>
      <c r="R417" s="47" t="n"/>
      <c r="S417" s="47" t="n"/>
      <c r="T417" s="47" t="n"/>
      <c r="U417" s="47" t="n"/>
      <c r="V417" s="47" t="n"/>
      <c r="W417" s="47" t="n"/>
      <c r="X417" s="276" t="n"/>
      <c r="Y417" s="277" t="n"/>
      <c r="Z417" s="276" t="n"/>
      <c r="AA417" s="142" t="n"/>
      <c r="AB417" s="142" t="n"/>
      <c r="AC417" s="47" t="n"/>
      <c r="AD417" s="47" t="n"/>
      <c r="AE417" s="47" t="n"/>
      <c r="AF417" s="47" t="n"/>
      <c r="AG417" s="47" t="n"/>
      <c r="AH417" s="47" t="n"/>
      <c r="AI417" s="47" t="n"/>
      <c r="AJ417" s="47" t="n"/>
      <c r="AK417" s="47" t="n"/>
      <c r="AL417" s="47" t="n"/>
    </row>
    <row r="418">
      <c r="A418" s="47" t="n"/>
      <c r="B418" s="47" t="n"/>
      <c r="C418" s="47" t="n"/>
      <c r="D418" s="47" t="n"/>
      <c r="E418" s="47" t="n"/>
      <c r="F418" s="47" t="n"/>
      <c r="G418" s="47" t="n"/>
      <c r="H418" s="47" t="n"/>
      <c r="I418" s="47" t="n"/>
      <c r="J418" s="47" t="n"/>
      <c r="K418" s="47" t="n"/>
      <c r="L418" s="47" t="n"/>
      <c r="M418" s="47" t="n"/>
      <c r="N418" s="47" t="n"/>
      <c r="O418" s="47" t="n"/>
      <c r="P418" s="47" t="n"/>
      <c r="Q418" s="47" t="n"/>
      <c r="R418" s="47" t="n"/>
      <c r="S418" s="47" t="n"/>
      <c r="T418" s="47" t="n"/>
      <c r="U418" s="47" t="n"/>
      <c r="V418" s="47" t="n"/>
      <c r="W418" s="47" t="n"/>
      <c r="X418" s="276" t="n"/>
      <c r="Y418" s="277" t="n"/>
      <c r="Z418" s="276" t="n"/>
      <c r="AA418" s="142" t="n"/>
      <c r="AB418" s="142" t="n"/>
      <c r="AC418" s="47" t="n"/>
      <c r="AD418" s="47" t="n"/>
      <c r="AE418" s="47" t="n"/>
      <c r="AF418" s="47" t="n"/>
      <c r="AG418" s="47" t="n"/>
      <c r="AH418" s="47" t="n"/>
      <c r="AI418" s="47" t="n"/>
      <c r="AJ418" s="47" t="n"/>
      <c r="AK418" s="47" t="n"/>
      <c r="AL418" s="47" t="n"/>
    </row>
    <row r="419">
      <c r="A419" s="47" t="n"/>
      <c r="B419" s="47" t="n"/>
      <c r="C419" s="47" t="n"/>
      <c r="D419" s="47" t="n"/>
      <c r="E419" s="47" t="n"/>
      <c r="F419" s="47" t="n"/>
      <c r="G419" s="47" t="n"/>
      <c r="H419" s="47" t="n"/>
      <c r="I419" s="47" t="n"/>
      <c r="J419" s="47" t="n"/>
      <c r="K419" s="47" t="n"/>
      <c r="L419" s="47" t="n"/>
      <c r="M419" s="47" t="n"/>
      <c r="N419" s="47" t="n"/>
      <c r="O419" s="47" t="n"/>
      <c r="P419" s="47" t="n"/>
      <c r="Q419" s="47" t="n"/>
      <c r="R419" s="47" t="n"/>
      <c r="S419" s="47" t="n"/>
      <c r="T419" s="47" t="n"/>
      <c r="U419" s="47" t="n"/>
      <c r="V419" s="47" t="n"/>
      <c r="W419" s="47" t="n"/>
      <c r="X419" s="276" t="n"/>
      <c r="Y419" s="277" t="n"/>
      <c r="Z419" s="276" t="n"/>
      <c r="AA419" s="142" t="n"/>
      <c r="AB419" s="142" t="n"/>
      <c r="AC419" s="47" t="n"/>
      <c r="AD419" s="47" t="n"/>
      <c r="AE419" s="47" t="n"/>
      <c r="AF419" s="47" t="n"/>
      <c r="AG419" s="47" t="n"/>
      <c r="AH419" s="47" t="n"/>
      <c r="AI419" s="47" t="n"/>
      <c r="AJ419" s="47" t="n"/>
      <c r="AK419" s="47" t="n"/>
      <c r="AL419" s="47" t="n"/>
    </row>
    <row r="420">
      <c r="A420" s="47" t="n"/>
      <c r="B420" s="47" t="n"/>
      <c r="C420" s="47" t="n"/>
      <c r="D420" s="47" t="n"/>
      <c r="E420" s="47" t="n"/>
      <c r="F420" s="47" t="n"/>
      <c r="G420" s="47" t="n"/>
      <c r="H420" s="47" t="n"/>
      <c r="I420" s="47" t="n"/>
      <c r="J420" s="47" t="n"/>
      <c r="K420" s="47" t="n"/>
      <c r="L420" s="47" t="n"/>
      <c r="M420" s="47" t="n"/>
      <c r="N420" s="47" t="n"/>
      <c r="O420" s="47" t="n"/>
      <c r="P420" s="47" t="n"/>
      <c r="Q420" s="47" t="n"/>
      <c r="R420" s="47" t="n"/>
      <c r="S420" s="47" t="n"/>
      <c r="T420" s="47" t="n"/>
      <c r="U420" s="47" t="n"/>
      <c r="V420" s="47" t="n"/>
      <c r="W420" s="47" t="n"/>
      <c r="X420" s="276" t="n"/>
      <c r="Y420" s="277" t="n"/>
      <c r="Z420" s="276" t="n"/>
      <c r="AA420" s="142" t="n"/>
      <c r="AB420" s="142" t="n"/>
      <c r="AC420" s="47" t="n"/>
      <c r="AD420" s="47" t="n"/>
      <c r="AE420" s="47" t="n"/>
      <c r="AF420" s="47" t="n"/>
      <c r="AG420" s="47" t="n"/>
      <c r="AH420" s="47" t="n"/>
      <c r="AI420" s="47" t="n"/>
      <c r="AJ420" s="47" t="n"/>
      <c r="AK420" s="47" t="n"/>
      <c r="AL420" s="47" t="n"/>
    </row>
    <row r="421">
      <c r="A421" s="47" t="n"/>
      <c r="B421" s="47" t="n"/>
      <c r="C421" s="47" t="n"/>
      <c r="D421" s="47" t="n"/>
      <c r="E421" s="47" t="n"/>
      <c r="F421" s="47" t="n"/>
      <c r="G421" s="47" t="n"/>
      <c r="H421" s="47" t="n"/>
      <c r="I421" s="47" t="n"/>
      <c r="J421" s="47" t="n"/>
      <c r="K421" s="47" t="n"/>
      <c r="L421" s="47" t="n"/>
      <c r="M421" s="47" t="n"/>
      <c r="N421" s="47" t="n"/>
      <c r="O421" s="47" t="n"/>
      <c r="P421" s="47" t="n"/>
      <c r="Q421" s="47" t="n"/>
      <c r="R421" s="47" t="n"/>
      <c r="S421" s="47" t="n"/>
      <c r="T421" s="47" t="n"/>
      <c r="U421" s="47" t="n"/>
      <c r="V421" s="47" t="n"/>
      <c r="W421" s="47" t="n"/>
      <c r="X421" s="276" t="n"/>
      <c r="Y421" s="277" t="n"/>
      <c r="Z421" s="276" t="n"/>
      <c r="AA421" s="142" t="n"/>
      <c r="AB421" s="142" t="n"/>
      <c r="AC421" s="47" t="n"/>
      <c r="AD421" s="47" t="n"/>
      <c r="AE421" s="47" t="n"/>
      <c r="AF421" s="47" t="n"/>
      <c r="AG421" s="47" t="n"/>
      <c r="AH421" s="47" t="n"/>
      <c r="AI421" s="47" t="n"/>
      <c r="AJ421" s="47" t="n"/>
      <c r="AK421" s="47" t="n"/>
      <c r="AL421" s="47" t="n"/>
    </row>
    <row r="422">
      <c r="A422" s="47" t="n"/>
      <c r="B422" s="47" t="n"/>
      <c r="C422" s="47" t="n"/>
      <c r="D422" s="47" t="n"/>
      <c r="E422" s="47" t="n"/>
      <c r="F422" s="47" t="n"/>
      <c r="G422" s="47" t="n"/>
      <c r="H422" s="47" t="n"/>
      <c r="I422" s="47" t="n"/>
      <c r="J422" s="47" t="n"/>
      <c r="K422" s="47" t="n"/>
      <c r="L422" s="47" t="n"/>
      <c r="M422" s="47" t="n"/>
      <c r="N422" s="47" t="n"/>
      <c r="O422" s="47" t="n"/>
      <c r="P422" s="47" t="n"/>
      <c r="Q422" s="47" t="n"/>
      <c r="R422" s="47" t="n"/>
      <c r="S422" s="47" t="n"/>
      <c r="T422" s="47" t="n"/>
      <c r="U422" s="47" t="n"/>
      <c r="V422" s="47" t="n"/>
      <c r="W422" s="47" t="n"/>
      <c r="X422" s="276" t="n"/>
      <c r="Y422" s="277" t="n"/>
      <c r="Z422" s="276" t="n"/>
      <c r="AA422" s="142" t="n"/>
      <c r="AB422" s="142" t="n"/>
      <c r="AC422" s="47" t="n"/>
      <c r="AD422" s="47" t="n"/>
      <c r="AE422" s="47" t="n"/>
      <c r="AF422" s="47" t="n"/>
      <c r="AG422" s="47" t="n"/>
      <c r="AH422" s="47" t="n"/>
      <c r="AI422" s="47" t="n"/>
      <c r="AJ422" s="47" t="n"/>
      <c r="AK422" s="47" t="n"/>
      <c r="AL422" s="47" t="n"/>
    </row>
    <row r="423">
      <c r="A423" s="47" t="n"/>
      <c r="B423" s="47" t="n"/>
      <c r="C423" s="47" t="n"/>
      <c r="D423" s="47" t="n"/>
      <c r="E423" s="47" t="n"/>
      <c r="F423" s="47" t="n"/>
      <c r="G423" s="47" t="n"/>
      <c r="H423" s="47" t="n"/>
      <c r="I423" s="47" t="n"/>
      <c r="J423" s="47" t="n"/>
      <c r="K423" s="47" t="n"/>
      <c r="L423" s="47" t="n"/>
      <c r="M423" s="47" t="n"/>
      <c r="N423" s="47" t="n"/>
      <c r="O423" s="47" t="n"/>
      <c r="P423" s="47" t="n"/>
      <c r="Q423" s="47" t="n"/>
      <c r="R423" s="47" t="n"/>
      <c r="S423" s="47" t="n"/>
      <c r="T423" s="47" t="n"/>
      <c r="U423" s="47" t="n"/>
      <c r="V423" s="47" t="n"/>
      <c r="W423" s="47" t="n"/>
      <c r="X423" s="276" t="n"/>
      <c r="Y423" s="277" t="n"/>
      <c r="Z423" s="276" t="n"/>
      <c r="AA423" s="142" t="n"/>
      <c r="AB423" s="142" t="n"/>
      <c r="AC423" s="47" t="n"/>
      <c r="AD423" s="47" t="n"/>
      <c r="AE423" s="47" t="n"/>
      <c r="AF423" s="47" t="n"/>
      <c r="AG423" s="47" t="n"/>
      <c r="AH423" s="47" t="n"/>
      <c r="AI423" s="47" t="n"/>
      <c r="AJ423" s="47" t="n"/>
      <c r="AK423" s="47" t="n"/>
      <c r="AL423" s="47" t="n"/>
    </row>
    <row r="424">
      <c r="A424" s="47" t="n"/>
      <c r="B424" s="47" t="n"/>
      <c r="C424" s="47" t="n"/>
      <c r="D424" s="47" t="n"/>
      <c r="E424" s="47" t="n"/>
      <c r="F424" s="47" t="n"/>
      <c r="G424" s="47" t="n"/>
      <c r="H424" s="47" t="n"/>
      <c r="I424" s="47" t="n"/>
      <c r="J424" s="47" t="n"/>
      <c r="K424" s="47" t="n"/>
      <c r="L424" s="47" t="n"/>
      <c r="M424" s="47" t="n"/>
      <c r="N424" s="47" t="n"/>
      <c r="O424" s="47" t="n"/>
      <c r="P424" s="47" t="n"/>
      <c r="Q424" s="47" t="n"/>
      <c r="R424" s="47" t="n"/>
      <c r="S424" s="47" t="n"/>
      <c r="T424" s="47" t="n"/>
      <c r="U424" s="47" t="n"/>
      <c r="V424" s="47" t="n"/>
      <c r="W424" s="47" t="n"/>
      <c r="X424" s="276" t="n"/>
      <c r="Y424" s="277" t="n"/>
      <c r="Z424" s="276" t="n"/>
      <c r="AA424" s="142" t="n"/>
      <c r="AB424" s="142" t="n"/>
      <c r="AC424" s="47" t="n"/>
      <c r="AD424" s="47" t="n"/>
      <c r="AE424" s="47" t="n"/>
      <c r="AF424" s="47" t="n"/>
      <c r="AG424" s="47" t="n"/>
      <c r="AH424" s="47" t="n"/>
      <c r="AI424" s="47" t="n"/>
      <c r="AJ424" s="47" t="n"/>
      <c r="AK424" s="47" t="n"/>
      <c r="AL424" s="47" t="n"/>
    </row>
    <row r="425">
      <c r="A425" s="47" t="n"/>
      <c r="B425" s="47" t="n"/>
      <c r="C425" s="47" t="n"/>
      <c r="D425" s="47" t="n"/>
      <c r="E425" s="47" t="n"/>
      <c r="F425" s="47" t="n"/>
      <c r="G425" s="47" t="n"/>
      <c r="H425" s="47" t="n"/>
      <c r="I425" s="47" t="n"/>
      <c r="J425" s="47" t="n"/>
      <c r="K425" s="47" t="n"/>
      <c r="L425" s="47" t="n"/>
      <c r="M425" s="47" t="n"/>
      <c r="N425" s="47" t="n"/>
      <c r="O425" s="47" t="n"/>
      <c r="P425" s="47" t="n"/>
      <c r="Q425" s="47" t="n"/>
      <c r="R425" s="47" t="n"/>
      <c r="S425" s="47" t="n"/>
      <c r="T425" s="47" t="n"/>
      <c r="U425" s="47" t="n"/>
      <c r="V425" s="47" t="n"/>
      <c r="W425" s="47" t="n"/>
      <c r="X425" s="276" t="n"/>
      <c r="Y425" s="277" t="n"/>
      <c r="Z425" s="276" t="n"/>
      <c r="AA425" s="142" t="n"/>
      <c r="AB425" s="142" t="n"/>
      <c r="AC425" s="47" t="n"/>
      <c r="AD425" s="47" t="n"/>
      <c r="AE425" s="47" t="n"/>
      <c r="AF425" s="47" t="n"/>
      <c r="AG425" s="47" t="n"/>
      <c r="AH425" s="47" t="n"/>
      <c r="AI425" s="47" t="n"/>
      <c r="AJ425" s="47" t="n"/>
      <c r="AK425" s="47" t="n"/>
      <c r="AL425" s="47" t="n"/>
    </row>
    <row r="426">
      <c r="A426" s="47" t="n"/>
      <c r="B426" s="47" t="n"/>
      <c r="C426" s="47" t="n"/>
      <c r="D426" s="47" t="n"/>
      <c r="E426" s="47" t="n"/>
      <c r="F426" s="47" t="n"/>
      <c r="G426" s="47" t="n"/>
      <c r="H426" s="47" t="n"/>
      <c r="I426" s="47" t="n"/>
      <c r="J426" s="47" t="n"/>
      <c r="K426" s="47" t="n"/>
      <c r="L426" s="47" t="n"/>
      <c r="M426" s="47" t="n"/>
      <c r="N426" s="47" t="n"/>
      <c r="O426" s="47" t="n"/>
      <c r="P426" s="47" t="n"/>
      <c r="Q426" s="47" t="n"/>
      <c r="R426" s="47" t="n"/>
      <c r="S426" s="47" t="n"/>
      <c r="T426" s="47" t="n"/>
      <c r="U426" s="47" t="n"/>
      <c r="V426" s="47" t="n"/>
      <c r="W426" s="47" t="n"/>
      <c r="X426" s="276" t="n"/>
      <c r="Y426" s="277" t="n"/>
      <c r="Z426" s="276" t="n"/>
      <c r="AA426" s="142" t="n"/>
      <c r="AB426" s="142" t="n"/>
      <c r="AC426" s="47" t="n"/>
      <c r="AD426" s="47" t="n"/>
      <c r="AE426" s="47" t="n"/>
      <c r="AF426" s="47" t="n"/>
      <c r="AG426" s="47" t="n"/>
      <c r="AH426" s="47" t="n"/>
      <c r="AI426" s="47" t="n"/>
      <c r="AJ426" s="47" t="n"/>
      <c r="AK426" s="47" t="n"/>
      <c r="AL426" s="47" t="n"/>
    </row>
    <row r="427">
      <c r="A427" s="47" t="n"/>
      <c r="B427" s="47" t="n"/>
      <c r="C427" s="47" t="n"/>
      <c r="D427" s="47" t="n"/>
      <c r="E427" s="47" t="n"/>
      <c r="F427" s="47" t="n"/>
      <c r="G427" s="47" t="n"/>
      <c r="H427" s="47" t="n"/>
      <c r="I427" s="47" t="n"/>
      <c r="J427" s="47" t="n"/>
      <c r="K427" s="47" t="n"/>
      <c r="L427" s="47" t="n"/>
      <c r="M427" s="47" t="n"/>
      <c r="N427" s="47" t="n"/>
      <c r="O427" s="47" t="n"/>
      <c r="P427" s="47" t="n"/>
      <c r="Q427" s="47" t="n"/>
      <c r="R427" s="47" t="n"/>
      <c r="S427" s="47" t="n"/>
      <c r="T427" s="47" t="n"/>
      <c r="U427" s="47" t="n"/>
      <c r="V427" s="47" t="n"/>
      <c r="W427" s="47" t="n"/>
      <c r="X427" s="276" t="n"/>
      <c r="Y427" s="277" t="n"/>
      <c r="Z427" s="276" t="n"/>
      <c r="AA427" s="142" t="n"/>
      <c r="AB427" s="142" t="n"/>
      <c r="AC427" s="47" t="n"/>
      <c r="AD427" s="47" t="n"/>
      <c r="AE427" s="47" t="n"/>
      <c r="AF427" s="47" t="n"/>
      <c r="AG427" s="47" t="n"/>
      <c r="AH427" s="47" t="n"/>
      <c r="AI427" s="47" t="n"/>
      <c r="AJ427" s="47" t="n"/>
      <c r="AK427" s="47" t="n"/>
      <c r="AL427" s="47" t="n"/>
    </row>
    <row r="428">
      <c r="A428" s="47" t="n"/>
      <c r="B428" s="47" t="n"/>
      <c r="C428" s="47" t="n"/>
      <c r="D428" s="47" t="n"/>
      <c r="E428" s="47" t="n"/>
      <c r="F428" s="47" t="n"/>
      <c r="G428" s="47" t="n"/>
      <c r="H428" s="47" t="n"/>
      <c r="I428" s="47" t="n"/>
      <c r="J428" s="47" t="n"/>
      <c r="K428" s="47" t="n"/>
      <c r="L428" s="47" t="n"/>
      <c r="M428" s="47" t="n"/>
      <c r="N428" s="47" t="n"/>
      <c r="O428" s="47" t="n"/>
      <c r="P428" s="47" t="n"/>
      <c r="Q428" s="47" t="n"/>
      <c r="R428" s="47" t="n"/>
      <c r="S428" s="47" t="n"/>
      <c r="T428" s="47" t="n"/>
      <c r="U428" s="47" t="n"/>
      <c r="V428" s="47" t="n"/>
      <c r="W428" s="47" t="n"/>
      <c r="X428" s="276" t="n"/>
      <c r="Y428" s="277" t="n"/>
      <c r="Z428" s="276" t="n"/>
      <c r="AA428" s="142" t="n"/>
      <c r="AB428" s="142" t="n"/>
      <c r="AC428" s="47" t="n"/>
      <c r="AD428" s="47" t="n"/>
      <c r="AE428" s="47" t="n"/>
      <c r="AF428" s="47" t="n"/>
      <c r="AG428" s="47" t="n"/>
      <c r="AH428" s="47" t="n"/>
      <c r="AI428" s="47" t="n"/>
      <c r="AJ428" s="47" t="n"/>
      <c r="AK428" s="47" t="n"/>
      <c r="AL428" s="47" t="n"/>
    </row>
    <row r="429">
      <c r="A429" s="47" t="n"/>
      <c r="B429" s="47" t="n"/>
      <c r="C429" s="47" t="n"/>
      <c r="D429" s="47" t="n"/>
      <c r="E429" s="47" t="n"/>
      <c r="F429" s="47" t="n"/>
      <c r="G429" s="47" t="n"/>
      <c r="H429" s="47" t="n"/>
      <c r="I429" s="47" t="n"/>
      <c r="J429" s="47" t="n"/>
      <c r="K429" s="47" t="n"/>
      <c r="L429" s="47" t="n"/>
      <c r="M429" s="47" t="n"/>
      <c r="N429" s="47" t="n"/>
      <c r="O429" s="47" t="n"/>
      <c r="P429" s="47" t="n"/>
      <c r="Q429" s="47" t="n"/>
      <c r="R429" s="47" t="n"/>
      <c r="S429" s="47" t="n"/>
      <c r="T429" s="47" t="n"/>
      <c r="U429" s="47" t="n"/>
      <c r="V429" s="47" t="n"/>
      <c r="W429" s="47" t="n"/>
      <c r="X429" s="276" t="n"/>
      <c r="Y429" s="277" t="n"/>
      <c r="Z429" s="276" t="n"/>
      <c r="AA429" s="142" t="n"/>
      <c r="AB429" s="142" t="n"/>
      <c r="AC429" s="47" t="n"/>
      <c r="AD429" s="47" t="n"/>
      <c r="AE429" s="47" t="n"/>
      <c r="AF429" s="47" t="n"/>
      <c r="AG429" s="47" t="n"/>
      <c r="AH429" s="47" t="n"/>
      <c r="AI429" s="47" t="n"/>
      <c r="AJ429" s="47" t="n"/>
      <c r="AK429" s="47" t="n"/>
      <c r="AL429" s="47" t="n"/>
    </row>
    <row r="430">
      <c r="A430" s="47" t="n"/>
      <c r="B430" s="47" t="n"/>
      <c r="C430" s="47" t="n"/>
      <c r="D430" s="47" t="n"/>
      <c r="E430" s="47" t="n"/>
      <c r="F430" s="47" t="n"/>
      <c r="G430" s="47" t="n"/>
      <c r="H430" s="47" t="n"/>
      <c r="I430" s="47" t="n"/>
      <c r="J430" s="47" t="n"/>
      <c r="K430" s="47" t="n"/>
      <c r="L430" s="47" t="n"/>
      <c r="M430" s="47" t="n"/>
      <c r="N430" s="47" t="n"/>
      <c r="O430" s="47" t="n"/>
      <c r="P430" s="47" t="n"/>
      <c r="Q430" s="47" t="n"/>
      <c r="R430" s="47" t="n"/>
      <c r="S430" s="47" t="n"/>
      <c r="T430" s="47" t="n"/>
      <c r="U430" s="47" t="n"/>
      <c r="V430" s="47" t="n"/>
      <c r="W430" s="47" t="n"/>
      <c r="X430" s="276" t="n"/>
      <c r="Y430" s="277" t="n"/>
      <c r="Z430" s="276" t="n"/>
      <c r="AA430" s="142" t="n"/>
      <c r="AB430" s="142" t="n"/>
      <c r="AC430" s="47" t="n"/>
      <c r="AD430" s="47" t="n"/>
      <c r="AE430" s="47" t="n"/>
      <c r="AF430" s="47" t="n"/>
      <c r="AG430" s="47" t="n"/>
      <c r="AH430" s="47" t="n"/>
      <c r="AI430" s="47" t="n"/>
      <c r="AJ430" s="47" t="n"/>
      <c r="AK430" s="47" t="n"/>
      <c r="AL430" s="47" t="n"/>
    </row>
    <row r="431">
      <c r="A431" s="47" t="n"/>
      <c r="B431" s="47" t="n"/>
      <c r="C431" s="47" t="n"/>
      <c r="D431" s="47" t="n"/>
      <c r="E431" s="47" t="n"/>
      <c r="F431" s="47" t="n"/>
      <c r="G431" s="47" t="n"/>
      <c r="H431" s="47" t="n"/>
      <c r="I431" s="47" t="n"/>
      <c r="J431" s="47" t="n"/>
      <c r="K431" s="47" t="n"/>
      <c r="L431" s="47" t="n"/>
      <c r="M431" s="47" t="n"/>
      <c r="N431" s="47" t="n"/>
      <c r="O431" s="47" t="n"/>
      <c r="P431" s="47" t="n"/>
      <c r="Q431" s="47" t="n"/>
      <c r="R431" s="47" t="n"/>
      <c r="S431" s="47" t="n"/>
      <c r="T431" s="47" t="n"/>
      <c r="U431" s="47" t="n"/>
      <c r="V431" s="47" t="n"/>
      <c r="W431" s="47" t="n"/>
      <c r="X431" s="276" t="n"/>
      <c r="Y431" s="277" t="n"/>
      <c r="Z431" s="276" t="n"/>
      <c r="AA431" s="142" t="n"/>
      <c r="AB431" s="142" t="n"/>
      <c r="AC431" s="47" t="n"/>
      <c r="AD431" s="47" t="n"/>
      <c r="AE431" s="47" t="n"/>
      <c r="AF431" s="47" t="n"/>
      <c r="AG431" s="47" t="n"/>
      <c r="AH431" s="47" t="n"/>
      <c r="AI431" s="47" t="n"/>
      <c r="AJ431" s="47" t="n"/>
      <c r="AK431" s="47" t="n"/>
      <c r="AL431" s="47" t="n"/>
    </row>
    <row r="432">
      <c r="A432" s="47" t="n"/>
      <c r="B432" s="47" t="n"/>
      <c r="C432" s="47" t="n"/>
      <c r="D432" s="47" t="n"/>
      <c r="E432" s="47" t="n"/>
      <c r="F432" s="47" t="n"/>
      <c r="G432" s="47" t="n"/>
      <c r="H432" s="47" t="n"/>
      <c r="I432" s="47" t="n"/>
      <c r="J432" s="47" t="n"/>
      <c r="K432" s="47" t="n"/>
      <c r="L432" s="47" t="n"/>
      <c r="M432" s="47" t="n"/>
      <c r="N432" s="47" t="n"/>
      <c r="O432" s="47" t="n"/>
      <c r="P432" s="47" t="n"/>
      <c r="Q432" s="47" t="n"/>
      <c r="R432" s="47" t="n"/>
      <c r="S432" s="47" t="n"/>
      <c r="T432" s="47" t="n"/>
      <c r="U432" s="47" t="n"/>
      <c r="V432" s="47" t="n"/>
      <c r="W432" s="47" t="n"/>
      <c r="X432" s="276" t="n"/>
      <c r="Y432" s="277" t="n"/>
      <c r="Z432" s="276" t="n"/>
      <c r="AA432" s="142" t="n"/>
      <c r="AB432" s="142" t="n"/>
      <c r="AC432" s="47" t="n"/>
      <c r="AD432" s="47" t="n"/>
      <c r="AE432" s="47" t="n"/>
      <c r="AF432" s="47" t="n"/>
      <c r="AG432" s="47" t="n"/>
      <c r="AH432" s="47" t="n"/>
      <c r="AI432" s="47" t="n"/>
      <c r="AJ432" s="47" t="n"/>
      <c r="AK432" s="47" t="n"/>
      <c r="AL432" s="47" t="n"/>
    </row>
    <row r="433">
      <c r="A433" s="47" t="n"/>
      <c r="B433" s="47" t="n"/>
      <c r="C433" s="47" t="n"/>
      <c r="D433" s="47" t="n"/>
      <c r="E433" s="47" t="n"/>
      <c r="F433" s="47" t="n"/>
      <c r="G433" s="47" t="n"/>
      <c r="H433" s="47" t="n"/>
      <c r="I433" s="47" t="n"/>
      <c r="J433" s="47" t="n"/>
      <c r="K433" s="47" t="n"/>
      <c r="L433" s="47" t="n"/>
      <c r="M433" s="47" t="n"/>
      <c r="N433" s="47" t="n"/>
      <c r="O433" s="47" t="n"/>
      <c r="P433" s="47" t="n"/>
      <c r="Q433" s="47" t="n"/>
      <c r="R433" s="47" t="n"/>
      <c r="S433" s="47" t="n"/>
      <c r="T433" s="47" t="n"/>
      <c r="U433" s="47" t="n"/>
      <c r="V433" s="47" t="n"/>
      <c r="W433" s="47" t="n"/>
      <c r="X433" s="276" t="n"/>
      <c r="Y433" s="277" t="n"/>
      <c r="Z433" s="276" t="n"/>
      <c r="AA433" s="142" t="n"/>
      <c r="AB433" s="142" t="n"/>
      <c r="AC433" s="47" t="n"/>
      <c r="AD433" s="47" t="n"/>
      <c r="AE433" s="47" t="n"/>
      <c r="AF433" s="47" t="n"/>
      <c r="AG433" s="47" t="n"/>
      <c r="AH433" s="47" t="n"/>
      <c r="AI433" s="47" t="n"/>
      <c r="AJ433" s="47" t="n"/>
      <c r="AK433" s="47" t="n"/>
      <c r="AL433" s="47" t="n"/>
    </row>
    <row r="434">
      <c r="A434" s="47" t="n"/>
      <c r="B434" s="47" t="n"/>
      <c r="C434" s="47" t="n"/>
      <c r="D434" s="47" t="n"/>
      <c r="E434" s="47" t="n"/>
      <c r="F434" s="47" t="n"/>
      <c r="G434" s="47" t="n"/>
      <c r="H434" s="47" t="n"/>
      <c r="I434" s="47" t="n"/>
      <c r="J434" s="47" t="n"/>
      <c r="K434" s="47" t="n"/>
      <c r="L434" s="47" t="n"/>
      <c r="M434" s="47" t="n"/>
      <c r="N434" s="47" t="n"/>
      <c r="O434" s="47" t="n"/>
      <c r="P434" s="47" t="n"/>
      <c r="Q434" s="47" t="n"/>
      <c r="R434" s="47" t="n"/>
      <c r="S434" s="47" t="n"/>
      <c r="T434" s="47" t="n"/>
      <c r="U434" s="47" t="n"/>
      <c r="V434" s="47" t="n"/>
      <c r="W434" s="47" t="n"/>
      <c r="X434" s="276" t="n"/>
      <c r="Y434" s="277" t="n"/>
      <c r="Z434" s="276" t="n"/>
      <c r="AA434" s="142" t="n"/>
      <c r="AB434" s="142" t="n"/>
      <c r="AC434" s="47" t="n"/>
      <c r="AD434" s="47" t="n"/>
      <c r="AE434" s="47" t="n"/>
      <c r="AF434" s="47" t="n"/>
      <c r="AG434" s="47" t="n"/>
      <c r="AH434" s="47" t="n"/>
      <c r="AI434" s="47" t="n"/>
      <c r="AJ434" s="47" t="n"/>
      <c r="AK434" s="47" t="n"/>
      <c r="AL434" s="47" t="n"/>
    </row>
    <row r="435">
      <c r="P435" s="47" t="n"/>
    </row>
  </sheetData>
  <mergeCells count="426">
    <mergeCell ref="A331:A337"/>
    <mergeCell ref="AJ328:AJ329"/>
    <mergeCell ref="AJ278:AJ279"/>
    <mergeCell ref="A72:A78"/>
    <mergeCell ref="AJ72:AJ73"/>
    <mergeCell ref="AI40:AI41"/>
    <mergeCell ref="AI338:AI339"/>
    <mergeCell ref="AJ270:AJ271"/>
    <mergeCell ref="AJ342:AJ343"/>
    <mergeCell ref="A184:A190"/>
    <mergeCell ref="AJ136:AJ137"/>
    <mergeCell ref="AI104:AI105"/>
    <mergeCell ref="AI340:AI341"/>
    <mergeCell ref="AI106:AI107"/>
    <mergeCell ref="AI264:AI265"/>
    <mergeCell ref="AI328:AI329"/>
    <mergeCell ref="AJ54:AJ55"/>
    <mergeCell ref="AJ212:AJ213"/>
    <mergeCell ref="AJ56:AJ57"/>
    <mergeCell ref="AJ154:AJ155"/>
    <mergeCell ref="AJ276:AJ277"/>
    <mergeCell ref="AJ214:AJ215"/>
    <mergeCell ref="AI182:AI183"/>
    <mergeCell ref="AJ316:AJ317"/>
    <mergeCell ref="AJ120:AJ121"/>
    <mergeCell ref="A16:A22"/>
    <mergeCell ref="AI246:AI247"/>
    <mergeCell ref="AJ268:AJ269"/>
    <mergeCell ref="A303:A309"/>
    <mergeCell ref="AI54:AI55"/>
    <mergeCell ref="AJ82:AJ83"/>
    <mergeCell ref="AJ180:AJ181"/>
    <mergeCell ref="AI252:AI253"/>
    <mergeCell ref="AJ220:AJ221"/>
    <mergeCell ref="AJ146:AJ147"/>
    <mergeCell ref="AI346:AI347"/>
    <mergeCell ref="AJ284:AJ285"/>
    <mergeCell ref="AJ222:AJ223"/>
    <mergeCell ref="AI112:AI113"/>
    <mergeCell ref="AJ200:AJ201"/>
    <mergeCell ref="AJ4:AJ5"/>
    <mergeCell ref="AJ344:AJ345"/>
    <mergeCell ref="AJ286:AJ287"/>
    <mergeCell ref="AI176:AI177"/>
    <mergeCell ref="AI170:AI171"/>
    <mergeCell ref="AJ202:AJ203"/>
    <mergeCell ref="AJ152:AJ153"/>
    <mergeCell ref="AI278:AI279"/>
    <mergeCell ref="AI178:AI179"/>
    <mergeCell ref="AI34:AI35"/>
    <mergeCell ref="AI172:AI173"/>
    <mergeCell ref="A233:A239"/>
    <mergeCell ref="AI270:AI271"/>
    <mergeCell ref="AI236:AI237"/>
    <mergeCell ref="AI334:AI335"/>
    <mergeCell ref="AJ362:AJ363"/>
    <mergeCell ref="AI344:AI345"/>
    <mergeCell ref="AJ70:AJ71"/>
    <mergeCell ref="AJ228:AJ229"/>
    <mergeCell ref="AJ364:AJ365"/>
    <mergeCell ref="AJ170:AJ171"/>
    <mergeCell ref="AI198:AI199"/>
    <mergeCell ref="AI296:AI297"/>
    <mergeCell ref="AI262:AI263"/>
    <mergeCell ref="AI62:AI63"/>
    <mergeCell ref="AI56:AI57"/>
    <mergeCell ref="AI298:AI299"/>
    <mergeCell ref="AI64:AI65"/>
    <mergeCell ref="AI120:AI121"/>
    <mergeCell ref="AI362:AI363"/>
    <mergeCell ref="AJ246:AJ247"/>
    <mergeCell ref="G1:H1"/>
    <mergeCell ref="AJ12:AJ13"/>
    <mergeCell ref="A177:A183"/>
    <mergeCell ref="AJ248:AJ249"/>
    <mergeCell ref="AJ14:AJ15"/>
    <mergeCell ref="AJ312:AJ313"/>
    <mergeCell ref="A37:A43"/>
    <mergeCell ref="AJ314:AJ315"/>
    <mergeCell ref="AI204:AI205"/>
    <mergeCell ref="AI284:AI285"/>
    <mergeCell ref="AI222:AI223"/>
    <mergeCell ref="A324:A330"/>
    <mergeCell ref="AI4:AI5"/>
    <mergeCell ref="AI50:AI51"/>
    <mergeCell ref="AI110:AI111"/>
    <mergeCell ref="A261:A267"/>
    <mergeCell ref="AI286:AI287"/>
    <mergeCell ref="AJ176:AJ177"/>
    <mergeCell ref="AI52:AI53"/>
    <mergeCell ref="AJ142:AJ143"/>
    <mergeCell ref="AI350:AI351"/>
    <mergeCell ref="AJ80:AJ81"/>
    <mergeCell ref="A107:A113"/>
    <mergeCell ref="AJ234:AJ235"/>
    <mergeCell ref="AJ172:AJ173"/>
    <mergeCell ref="I1:J1"/>
    <mergeCell ref="AJ242:AJ243"/>
    <mergeCell ref="AJ302:AJ303"/>
    <mergeCell ref="AJ236:AJ237"/>
    <mergeCell ref="AJ2:AJ3"/>
    <mergeCell ref="AJ300:AJ301"/>
    <mergeCell ref="AI128:AI129"/>
    <mergeCell ref="AI364:AI365"/>
    <mergeCell ref="A254:A260"/>
    <mergeCell ref="AJ110:AJ111"/>
    <mergeCell ref="AI192:AI193"/>
    <mergeCell ref="A198:A204"/>
    <mergeCell ref="A247:A253"/>
    <mergeCell ref="AI80:AI81"/>
    <mergeCell ref="AI194:AI195"/>
    <mergeCell ref="W1:X1"/>
    <mergeCell ref="AJ78:AJ79"/>
    <mergeCell ref="O1:P1"/>
    <mergeCell ref="AJ28:AJ29"/>
    <mergeCell ref="AJ326:AJ327"/>
    <mergeCell ref="AI154:AI155"/>
    <mergeCell ref="AJ92:AJ93"/>
    <mergeCell ref="AJ30:AJ31"/>
    <mergeCell ref="AJ184:AJ185"/>
    <mergeCell ref="AI156:AI157"/>
    <mergeCell ref="AI12:AI13"/>
    <mergeCell ref="AI248:AI249"/>
    <mergeCell ref="A338:A344"/>
    <mergeCell ref="AJ290:AJ291"/>
    <mergeCell ref="AI220:AI221"/>
    <mergeCell ref="AI14:AI15"/>
    <mergeCell ref="A275:A281"/>
    <mergeCell ref="AI312:AI313"/>
    <mergeCell ref="AI78:AI79"/>
    <mergeCell ref="AI314:AI315"/>
    <mergeCell ref="AJ8:AJ9"/>
    <mergeCell ref="AJ244:AJ245"/>
    <mergeCell ref="A135:A141"/>
    <mergeCell ref="AJ262:AJ263"/>
    <mergeCell ref="AJ10:AJ11"/>
    <mergeCell ref="AJ66:AJ67"/>
    <mergeCell ref="AJ308:AJ309"/>
    <mergeCell ref="AI142:AI143"/>
    <mergeCell ref="AJ74:AJ75"/>
    <mergeCell ref="AJ310:AJ311"/>
    <mergeCell ref="AI200:AI201"/>
    <mergeCell ref="AJ18:AJ19"/>
    <mergeCell ref="AI144:AI145"/>
    <mergeCell ref="Q1:R1"/>
    <mergeCell ref="AJ34:AJ35"/>
    <mergeCell ref="AI302:AI303"/>
    <mergeCell ref="AI8:AI9"/>
    <mergeCell ref="AI2:AI3"/>
    <mergeCell ref="AJ36:AJ37"/>
    <mergeCell ref="AI244:AI245"/>
    <mergeCell ref="A30:A36"/>
    <mergeCell ref="AJ334:AJ335"/>
    <mergeCell ref="A128:A134"/>
    <mergeCell ref="AJ128:AJ129"/>
    <mergeCell ref="AI1:AK1"/>
    <mergeCell ref="AI210:AI211"/>
    <mergeCell ref="AJ100:AJ101"/>
    <mergeCell ref="AJ94:AJ95"/>
    <mergeCell ref="A65:A71"/>
    <mergeCell ref="AJ336:AJ337"/>
    <mergeCell ref="AI226:AI227"/>
    <mergeCell ref="AJ192:AJ193"/>
    <mergeCell ref="AI318:AI319"/>
    <mergeCell ref="AJ194:AJ195"/>
    <mergeCell ref="AI84:AI85"/>
    <mergeCell ref="AI320:AI321"/>
    <mergeCell ref="AI28:AI29"/>
    <mergeCell ref="AJ258:AJ259"/>
    <mergeCell ref="AI86:AI87"/>
    <mergeCell ref="AI36:AI37"/>
    <mergeCell ref="AI30:AI31"/>
    <mergeCell ref="AI150:AI151"/>
    <mergeCell ref="A156:A162"/>
    <mergeCell ref="AI94:AI95"/>
    <mergeCell ref="A93:A99"/>
    <mergeCell ref="AJ24:AJ25"/>
    <mergeCell ref="AJ88:AJ89"/>
    <mergeCell ref="AJ26:AJ27"/>
    <mergeCell ref="AJ324:AJ325"/>
    <mergeCell ref="AJ124:AJ125"/>
    <mergeCell ref="AI152:AI153"/>
    <mergeCell ref="AJ118:AJ119"/>
    <mergeCell ref="AJ44:AJ45"/>
    <mergeCell ref="A359:A365"/>
    <mergeCell ref="AJ90:AJ91"/>
    <mergeCell ref="A296:A302"/>
    <mergeCell ref="AI216:AI217"/>
    <mergeCell ref="AJ182:AJ183"/>
    <mergeCell ref="AI10:AI11"/>
    <mergeCell ref="AI308:AI309"/>
    <mergeCell ref="AI74:AI75"/>
    <mergeCell ref="AI310:AI311"/>
    <mergeCell ref="AI24:AI25"/>
    <mergeCell ref="AI138:AI139"/>
    <mergeCell ref="AI76:AI77"/>
    <mergeCell ref="AJ208:AJ209"/>
    <mergeCell ref="AI234:AI235"/>
    <mergeCell ref="AJ266:AJ267"/>
    <mergeCell ref="AJ322:AJ323"/>
    <mergeCell ref="AJ260:AJ261"/>
    <mergeCell ref="A9:A15"/>
    <mergeCell ref="AJ210:AJ211"/>
    <mergeCell ref="AI100:AI101"/>
    <mergeCell ref="AI336:AI337"/>
    <mergeCell ref="A226:A232"/>
    <mergeCell ref="AJ274:AJ275"/>
    <mergeCell ref="AI102:AI103"/>
    <mergeCell ref="A149:A155"/>
    <mergeCell ref="AI166:AI167"/>
    <mergeCell ref="AJ50:AJ51"/>
    <mergeCell ref="AI258:AI259"/>
    <mergeCell ref="AJ292:AJ293"/>
    <mergeCell ref="A86:A92"/>
    <mergeCell ref="AJ58:AJ59"/>
    <mergeCell ref="AJ52:AJ53"/>
    <mergeCell ref="AI260:AI261"/>
    <mergeCell ref="AJ350:AJ351"/>
    <mergeCell ref="AJ150:AJ151"/>
    <mergeCell ref="AJ144:AJ145"/>
    <mergeCell ref="AJ116:AJ117"/>
    <mergeCell ref="AI316:AI317"/>
    <mergeCell ref="AI242:AI243"/>
    <mergeCell ref="AJ352:AJ353"/>
    <mergeCell ref="AI342:AI343"/>
    <mergeCell ref="AI26:AI27"/>
    <mergeCell ref="AJ160:AJ161"/>
    <mergeCell ref="A114:A120"/>
    <mergeCell ref="A170:A176"/>
    <mergeCell ref="AI148:AI149"/>
    <mergeCell ref="AJ216:AJ217"/>
    <mergeCell ref="AJ32:AJ33"/>
    <mergeCell ref="AJ330:AJ331"/>
    <mergeCell ref="AJ134:AJ135"/>
    <mergeCell ref="AJ280:AJ281"/>
    <mergeCell ref="AJ218:AJ219"/>
    <mergeCell ref="AJ46:AJ47"/>
    <mergeCell ref="AJ40:AJ41"/>
    <mergeCell ref="AJ282:AJ283"/>
    <mergeCell ref="AJ138:AJ139"/>
    <mergeCell ref="A317:A323"/>
    <mergeCell ref="AI202:AI203"/>
    <mergeCell ref="AI174:AI175"/>
    <mergeCell ref="AJ140:AJ141"/>
    <mergeCell ref="AI168:AI169"/>
    <mergeCell ref="M1:N1"/>
    <mergeCell ref="AI266:AI267"/>
    <mergeCell ref="AI232:AI233"/>
    <mergeCell ref="AI32:AI33"/>
    <mergeCell ref="A100:A106"/>
    <mergeCell ref="AI330:AI331"/>
    <mergeCell ref="AI268:AI269"/>
    <mergeCell ref="AJ358:AJ359"/>
    <mergeCell ref="AJ102:AJ103"/>
    <mergeCell ref="A289:A295"/>
    <mergeCell ref="AJ360:AJ361"/>
    <mergeCell ref="AI184:AI185"/>
    <mergeCell ref="AJ68:AJ69"/>
    <mergeCell ref="AJ166:AJ167"/>
    <mergeCell ref="AI292:AI293"/>
    <mergeCell ref="AI96:AI97"/>
    <mergeCell ref="AJ230:AJ231"/>
    <mergeCell ref="AJ168:AJ169"/>
    <mergeCell ref="AI58:AI59"/>
    <mergeCell ref="AI294:AI295"/>
    <mergeCell ref="S1:T1"/>
    <mergeCell ref="AI250:AI251"/>
    <mergeCell ref="A51:A57"/>
    <mergeCell ref="U1:V1"/>
    <mergeCell ref="AI98:AI99"/>
    <mergeCell ref="AI60:AI61"/>
    <mergeCell ref="AI116:AI117"/>
    <mergeCell ref="AI358:AI359"/>
    <mergeCell ref="AI352:AI353"/>
    <mergeCell ref="AI162:AI163"/>
    <mergeCell ref="AI118:AI119"/>
    <mergeCell ref="A2:A8"/>
    <mergeCell ref="AI164:AI165"/>
    <mergeCell ref="A219:A225"/>
    <mergeCell ref="AJ48:AJ49"/>
    <mergeCell ref="AJ346:AJ347"/>
    <mergeCell ref="AI70:AI71"/>
    <mergeCell ref="AI22:AI23"/>
    <mergeCell ref="AJ348:AJ349"/>
    <mergeCell ref="AJ148:AJ149"/>
    <mergeCell ref="AJ204:AJ205"/>
    <mergeCell ref="AI134:AI135"/>
    <mergeCell ref="AI280:AI281"/>
    <mergeCell ref="AI218:AI219"/>
    <mergeCell ref="AI332:AI333"/>
    <mergeCell ref="AJ156:AJ157"/>
    <mergeCell ref="AI46:AI47"/>
    <mergeCell ref="A191:A197"/>
    <mergeCell ref="AI282:AI283"/>
    <mergeCell ref="AI48:AI49"/>
    <mergeCell ref="AJ174:AJ175"/>
    <mergeCell ref="AJ238:AJ239"/>
    <mergeCell ref="AJ232:AJ233"/>
    <mergeCell ref="AJ132:AJ133"/>
    <mergeCell ref="AI208:AI209"/>
    <mergeCell ref="AJ296:AJ297"/>
    <mergeCell ref="AI124:AI125"/>
    <mergeCell ref="AI300:AI301"/>
    <mergeCell ref="AI360:AI361"/>
    <mergeCell ref="AJ62:AJ63"/>
    <mergeCell ref="AJ298:AJ299"/>
    <mergeCell ref="AI188:AI189"/>
    <mergeCell ref="AI66:AI67"/>
    <mergeCell ref="AI126:AI127"/>
    <mergeCell ref="A23:A29"/>
    <mergeCell ref="A121:A127"/>
    <mergeCell ref="AI190:AI191"/>
    <mergeCell ref="A58:A64"/>
    <mergeCell ref="AJ354:AJ355"/>
    <mergeCell ref="AJ250:AJ251"/>
    <mergeCell ref="A310:A316"/>
    <mergeCell ref="AJ16:AJ17"/>
    <mergeCell ref="AJ76:AJ77"/>
    <mergeCell ref="A352:A358"/>
    <mergeCell ref="AJ162:AJ163"/>
    <mergeCell ref="AI92:AI93"/>
    <mergeCell ref="AJ226:AJ227"/>
    <mergeCell ref="AJ164:AJ165"/>
    <mergeCell ref="AI290:AI291"/>
    <mergeCell ref="A205:A211"/>
    <mergeCell ref="AI354:AI355"/>
    <mergeCell ref="AI348:AI349"/>
    <mergeCell ref="AJ42:AJ43"/>
    <mergeCell ref="AI114:AI115"/>
    <mergeCell ref="AI356:AI357"/>
    <mergeCell ref="AI212:AI213"/>
    <mergeCell ref="A240:A246"/>
    <mergeCell ref="AJ240:AJ241"/>
    <mergeCell ref="AI214:AI215"/>
    <mergeCell ref="AJ6:AJ7"/>
    <mergeCell ref="AI272:AI273"/>
    <mergeCell ref="AJ108:AJ109"/>
    <mergeCell ref="AJ304:AJ305"/>
    <mergeCell ref="AJ98:AJ99"/>
    <mergeCell ref="AI326:AI327"/>
    <mergeCell ref="AJ64:AJ65"/>
    <mergeCell ref="AJ306:AJ307"/>
    <mergeCell ref="AI130:AI131"/>
    <mergeCell ref="AI68:AI69"/>
    <mergeCell ref="AJ112:AJ113"/>
    <mergeCell ref="AI140:AI141"/>
    <mergeCell ref="AI238:AI239"/>
    <mergeCell ref="AI132:AI133"/>
    <mergeCell ref="AI82:AI83"/>
    <mergeCell ref="AI240:AI241"/>
    <mergeCell ref="AI196:AI197"/>
    <mergeCell ref="A268:A274"/>
    <mergeCell ref="AI206:AI207"/>
    <mergeCell ref="AJ96:AJ97"/>
    <mergeCell ref="AJ332:AJ333"/>
    <mergeCell ref="AJ188:AJ189"/>
    <mergeCell ref="AJ126:AJ127"/>
    <mergeCell ref="AJ190:AJ191"/>
    <mergeCell ref="AI158:AI159"/>
    <mergeCell ref="K1:L1"/>
    <mergeCell ref="AJ254:AJ255"/>
    <mergeCell ref="AI160:AI161"/>
    <mergeCell ref="AI16:AI17"/>
    <mergeCell ref="A44:A50"/>
    <mergeCell ref="A142:A148"/>
    <mergeCell ref="AJ294:AJ295"/>
    <mergeCell ref="AI122:AI123"/>
    <mergeCell ref="AI224:AI225"/>
    <mergeCell ref="AI276:AI277"/>
    <mergeCell ref="AI18:AI19"/>
    <mergeCell ref="A79:A85"/>
    <mergeCell ref="AJ60:AJ61"/>
    <mergeCell ref="AI186:AI187"/>
    <mergeCell ref="AI228:AI229"/>
    <mergeCell ref="AJ158:AJ159"/>
    <mergeCell ref="AI42:AI43"/>
    <mergeCell ref="AJ84:AJ85"/>
    <mergeCell ref="AJ272:AJ273"/>
    <mergeCell ref="AJ22:AJ23"/>
    <mergeCell ref="AJ114:AJ115"/>
    <mergeCell ref="AJ356:AJ357"/>
    <mergeCell ref="AI44:AI45"/>
    <mergeCell ref="AJ86:AJ87"/>
    <mergeCell ref="AJ122:AJ123"/>
    <mergeCell ref="AJ178:AJ179"/>
    <mergeCell ref="AI146:AI147"/>
    <mergeCell ref="AI6:AI7"/>
    <mergeCell ref="AI304:AI305"/>
    <mergeCell ref="AI108:AI109"/>
    <mergeCell ref="A163:A169"/>
    <mergeCell ref="AJ38:AJ39"/>
    <mergeCell ref="AI306:AI307"/>
    <mergeCell ref="AI72:AI73"/>
    <mergeCell ref="AJ338:AJ339"/>
    <mergeCell ref="AI136:AI137"/>
    <mergeCell ref="AJ104:AJ105"/>
    <mergeCell ref="AJ20:AJ21"/>
    <mergeCell ref="AJ340:AJ341"/>
    <mergeCell ref="AI230:AI231"/>
    <mergeCell ref="AJ196:AJ197"/>
    <mergeCell ref="AJ318:AJ319"/>
    <mergeCell ref="AJ256:AJ257"/>
    <mergeCell ref="AI322:AI323"/>
    <mergeCell ref="AJ206:AJ207"/>
    <mergeCell ref="AJ264:AJ265"/>
    <mergeCell ref="AJ198:AJ199"/>
    <mergeCell ref="AI88:AI89"/>
    <mergeCell ref="AI288:AI289"/>
    <mergeCell ref="AJ320:AJ321"/>
    <mergeCell ref="AI324:AI325"/>
    <mergeCell ref="AI38:AI39"/>
    <mergeCell ref="AI274:AI275"/>
    <mergeCell ref="AI90:AI91"/>
    <mergeCell ref="A345:A351"/>
    <mergeCell ref="AI254:AI255"/>
    <mergeCell ref="A282:A288"/>
    <mergeCell ref="AI20:AI21"/>
    <mergeCell ref="AI256:AI257"/>
    <mergeCell ref="AJ224:AJ225"/>
    <mergeCell ref="AJ186:AJ187"/>
    <mergeCell ref="AJ288:AJ289"/>
    <mergeCell ref="AI180:AI181"/>
    <mergeCell ref="AJ252:AJ253"/>
    <mergeCell ref="A212:A218"/>
    <mergeCell ref="AJ106:AJ107"/>
    <mergeCell ref="AJ130:AJ131"/>
  </mergeCells>
  <conditionalFormatting sqref="C2:C365">
    <cfRule type="cellIs" priority="13" operator="equal" dxfId="31">
      <formula>"sf21"</formula>
    </cfRule>
  </conditionalFormatting>
  <conditionalFormatting sqref="D2:D365">
    <cfRule type="cellIs" priority="354" operator="between" dxfId="35">
      <formula>500</formula>
      <formula>999</formula>
    </cfRule>
    <cfRule type="cellIs" priority="355" operator="between" dxfId="60" stopIfTrue="1">
      <formula>1000</formula>
      <formula>1500</formula>
    </cfRule>
    <cfRule type="cellIs" priority="326" operator="greaterThan" dxfId="86" stopIfTrue="1">
      <formula>1500</formula>
    </cfRule>
    <cfRule type="cellIs" priority="353" operator="between" dxfId="359">
      <formula>1</formula>
      <formula>499</formula>
    </cfRule>
  </conditionalFormatting>
  <conditionalFormatting sqref="E1:E1048576">
    <cfRule type="cellIs" priority="379" operator="between" dxfId="31">
      <formula>1001</formula>
      <formula>3500</formula>
    </cfRule>
  </conditionalFormatting>
  <conditionalFormatting sqref="E2:E365">
    <cfRule type="cellIs" priority="378" operator="between" dxfId="34" stopIfTrue="1">
      <formula>1</formula>
      <formula>1000</formula>
    </cfRule>
  </conditionalFormatting>
  <conditionalFormatting sqref="F2:F365">
    <cfRule type="cellIs" priority="376" operator="between" dxfId="39">
      <formula>1000</formula>
      <formula>3500</formula>
    </cfRule>
    <cfRule type="cellIs" priority="377" operator="between" dxfId="38" stopIfTrue="1">
      <formula>1</formula>
      <formula>1000</formula>
    </cfRule>
  </conditionalFormatting>
  <conditionalFormatting sqref="G2:G365">
    <cfRule type="cellIs" priority="285" operator="greaterThan" dxfId="314">
      <formula>0.5</formula>
    </cfRule>
  </conditionalFormatting>
  <conditionalFormatting sqref="H2:H3">
    <cfRule type="cellIs" priority="23" operator="greaterThan" dxfId="314">
      <formula>0.5</formula>
    </cfRule>
  </conditionalFormatting>
  <conditionalFormatting sqref="H2:H365">
    <cfRule type="cellIs" priority="30" operator="greaterThan" dxfId="312" stopIfTrue="1">
      <formula>0.5</formula>
    </cfRule>
  </conditionalFormatting>
  <conditionalFormatting sqref="H4">
    <cfRule type="cellIs" priority="281" operator="greaterThan" dxfId="314">
      <formula>0.5</formula>
    </cfRule>
  </conditionalFormatting>
  <conditionalFormatting sqref="H5">
    <cfRule type="cellIs" priority="16" operator="greaterThan" dxfId="314">
      <formula>0.5</formula>
    </cfRule>
  </conditionalFormatting>
  <conditionalFormatting sqref="H6:H9 H13:H16 H19:H365">
    <cfRule type="cellIs" priority="384" operator="greaterThan" dxfId="312" stopIfTrue="1">
      <formula>0.5</formula>
    </cfRule>
  </conditionalFormatting>
  <conditionalFormatting sqref="H7">
    <cfRule type="cellIs" priority="280" operator="greaterThan" dxfId="314">
      <formula>0.5</formula>
    </cfRule>
  </conditionalFormatting>
  <conditionalFormatting sqref="H10:H12">
    <cfRule type="cellIs" priority="12" operator="greaterThan" dxfId="314">
      <formula>0.5</formula>
    </cfRule>
  </conditionalFormatting>
  <conditionalFormatting sqref="H14">
    <cfRule type="cellIs" priority="278" operator="greaterThan" dxfId="314">
      <formula>0.5</formula>
    </cfRule>
  </conditionalFormatting>
  <conditionalFormatting sqref="H17:H18">
    <cfRule type="cellIs" priority="5" operator="greaterThan" dxfId="314">
      <formula>0.5</formula>
    </cfRule>
  </conditionalFormatting>
  <conditionalFormatting sqref="H24:H30">
    <cfRule type="cellIs" priority="274" operator="greaterThan" dxfId="314">
      <formula>0.5</formula>
    </cfRule>
  </conditionalFormatting>
  <conditionalFormatting sqref="H40:H45">
    <cfRule type="cellIs" priority="262" operator="greaterThan" dxfId="314">
      <formula>0.5</formula>
    </cfRule>
  </conditionalFormatting>
  <conditionalFormatting sqref="H47:H365">
    <cfRule type="cellIs" priority="260" operator="greaterThan" dxfId="314">
      <formula>0.5</formula>
    </cfRule>
  </conditionalFormatting>
  <conditionalFormatting sqref="I2:I10 I12:I16 I18:I365">
    <cfRule type="cellIs" priority="22" operator="greaterThan" dxfId="314">
      <formula>0</formula>
    </cfRule>
  </conditionalFormatting>
  <conditionalFormatting sqref="I24">
    <cfRule type="cellIs" priority="21" operator="greaterThan" dxfId="314">
      <formula>0.5</formula>
    </cfRule>
  </conditionalFormatting>
  <conditionalFormatting sqref="I11:J11">
    <cfRule type="cellIs" priority="9" operator="greaterThan" dxfId="314">
      <formula>0.5</formula>
    </cfRule>
  </conditionalFormatting>
  <conditionalFormatting sqref="I17:J17">
    <cfRule type="cellIs" priority="3" operator="greaterThan" dxfId="314">
      <formula>0.5</formula>
    </cfRule>
  </conditionalFormatting>
  <conditionalFormatting sqref="J2:J10 J12:J16 J18:J376">
    <cfRule type="cellIs" priority="385" operator="greaterThan" dxfId="337">
      <formula>0.5</formula>
    </cfRule>
  </conditionalFormatting>
  <conditionalFormatting sqref="J11">
    <cfRule type="cellIs" priority="10" operator="greaterThan" dxfId="312" stopIfTrue="1">
      <formula>0.5</formula>
    </cfRule>
  </conditionalFormatting>
  <conditionalFormatting sqref="J17">
    <cfRule type="cellIs" priority="4" operator="greaterThan" dxfId="312" stopIfTrue="1">
      <formula>0.5</formula>
    </cfRule>
  </conditionalFormatting>
  <conditionalFormatting sqref="K2:K365">
    <cfRule type="cellIs" priority="403" operator="greaterThan" dxfId="314">
      <formula>0</formula>
    </cfRule>
  </conditionalFormatting>
  <conditionalFormatting sqref="K24:L24">
    <cfRule type="cellIs" priority="272" operator="greaterThan" dxfId="314">
      <formula>0.5</formula>
    </cfRule>
  </conditionalFormatting>
  <conditionalFormatting sqref="L2:L365">
    <cfRule type="cellIs" priority="389" operator="greaterThan" dxfId="26">
      <formula>0.5</formula>
    </cfRule>
  </conditionalFormatting>
  <conditionalFormatting sqref="M2:M365">
    <cfRule type="cellIs" priority="25" operator="greaterThan" dxfId="314" stopIfTrue="1">
      <formula>0</formula>
    </cfRule>
  </conditionalFormatting>
  <conditionalFormatting sqref="M366:M1048576">
    <cfRule type="cellIs" priority="65" operator="greaterThan" dxfId="314">
      <formula>0.5</formula>
    </cfRule>
  </conditionalFormatting>
  <conditionalFormatting sqref="N2:N365">
    <cfRule type="cellIs" priority="33" operator="greaterThan" dxfId="328">
      <formula>0.5</formula>
    </cfRule>
  </conditionalFormatting>
  <conditionalFormatting sqref="N6:N365">
    <cfRule type="cellIs" priority="340" operator="greaterThan" dxfId="328">
      <formula>0.5</formula>
    </cfRule>
  </conditionalFormatting>
  <conditionalFormatting sqref="N24">
    <cfRule type="cellIs" priority="270" operator="greaterThan" dxfId="314">
      <formula>0.5</formula>
    </cfRule>
  </conditionalFormatting>
  <conditionalFormatting sqref="O2:O357">
    <cfRule type="cellIs" priority="24" operator="greaterThan" dxfId="314" stopIfTrue="1">
      <formula>0</formula>
    </cfRule>
  </conditionalFormatting>
  <conditionalFormatting sqref="P2:P365">
    <cfRule type="cellIs" priority="335" operator="greaterThan" dxfId="272">
      <formula>0.5</formula>
    </cfRule>
  </conditionalFormatting>
  <conditionalFormatting sqref="P29:R29">
    <cfRule type="cellIs" priority="265" operator="greaterThan" dxfId="314">
      <formula>0.5</formula>
    </cfRule>
  </conditionalFormatting>
  <conditionalFormatting sqref="Q2:Q9 Q11:Q365">
    <cfRule type="cellIs" priority="269" operator="equal" dxfId="307" stopIfTrue="1">
      <formula>1</formula>
    </cfRule>
  </conditionalFormatting>
  <conditionalFormatting sqref="Q10:R10">
    <cfRule type="cellIs" priority="6" operator="greaterThan" dxfId="314">
      <formula>0.5</formula>
    </cfRule>
  </conditionalFormatting>
  <conditionalFormatting sqref="R10">
    <cfRule type="cellIs" priority="7" operator="greaterThan" dxfId="312" stopIfTrue="1">
      <formula>0.5</formula>
    </cfRule>
  </conditionalFormatting>
  <conditionalFormatting sqref="R2:R9 R11:R365">
    <cfRule type="cellIs" priority="392" operator="greaterThan" dxfId="320">
      <formula>0.5</formula>
    </cfRule>
  </conditionalFormatting>
  <conditionalFormatting sqref="T2:T365 T26:U26">
    <cfRule type="cellIs" priority="391" operator="greaterThan" dxfId="317">
      <formula>0.5</formula>
    </cfRule>
  </conditionalFormatting>
  <conditionalFormatting sqref="U2:U59365">
    <cfRule type="cellIs" priority="267" operator="equal" dxfId="307">
      <formula>1</formula>
    </cfRule>
  </conditionalFormatting>
  <conditionalFormatting sqref="V2:V365">
    <cfRule type="cellIs" priority="286" operator="greaterThan" dxfId="317">
      <formula>0.5</formula>
    </cfRule>
    <cfRule type="cellIs" priority="380" operator="greaterThan" dxfId="316">
      <formula>0.5</formula>
    </cfRule>
  </conditionalFormatting>
  <conditionalFormatting sqref="S2:S366 W2:W16 W18:W365">
    <cfRule type="cellIs" priority="268" operator="equal" dxfId="307">
      <formula>1</formula>
    </cfRule>
  </conditionalFormatting>
  <conditionalFormatting sqref="W17:X17">
    <cfRule type="cellIs" priority="1" operator="greaterThan" dxfId="314">
      <formula>0.5</formula>
    </cfRule>
  </conditionalFormatting>
  <conditionalFormatting sqref="X1:X16 X18:X1048576">
    <cfRule type="cellIs" priority="323" operator="greaterThan" dxfId="38">
      <formula>0</formula>
    </cfRule>
  </conditionalFormatting>
  <conditionalFormatting sqref="X17">
    <cfRule type="cellIs" priority="2" operator="greaterThan" dxfId="312" stopIfTrue="1">
      <formula>0.5</formula>
    </cfRule>
  </conditionalFormatting>
  <conditionalFormatting sqref="Y2:Y365">
    <cfRule type="cellIs" priority="368" operator="between" dxfId="51" stopIfTrue="1">
      <formula>1</formula>
      <formula>55</formula>
    </cfRule>
    <cfRule type="cellIs" priority="369" operator="greaterThan" dxfId="57" stopIfTrue="1">
      <formula>55</formula>
    </cfRule>
  </conditionalFormatting>
  <conditionalFormatting sqref="Z2:Z365">
    <cfRule type="cellIs" priority="375" operator="equal" dxfId="31">
      <formula>9</formula>
    </cfRule>
    <cfRule type="cellIs" priority="373" operator="greaterThan" dxfId="21">
      <formula>99</formula>
    </cfRule>
    <cfRule type="cellIs" priority="374" operator="between" dxfId="307">
      <formula>9</formula>
      <formula>100</formula>
    </cfRule>
  </conditionalFormatting>
  <conditionalFormatting sqref="AA2:AA365">
    <cfRule type="cellIs" priority="322" operator="between" dxfId="37">
      <formula>50</formula>
      <formula>199</formula>
    </cfRule>
    <cfRule type="cellIs" priority="321" operator="greaterThan" dxfId="43" stopIfTrue="1">
      <formula>199</formula>
    </cfRule>
  </conditionalFormatting>
  <conditionalFormatting sqref="AA2:AC365">
    <cfRule type="cellIs" priority="300" operator="between" dxfId="31">
      <formula>0</formula>
      <formula>50</formula>
    </cfRule>
  </conditionalFormatting>
  <conditionalFormatting sqref="AB2:AB365">
    <cfRule type="cellIs" priority="382" operator="greaterThan" dxfId="19" stopIfTrue="1">
      <formula>199</formula>
    </cfRule>
    <cfRule type="cellIs" priority="383" operator="greaterThan" dxfId="57">
      <formula>49</formula>
    </cfRule>
  </conditionalFormatting>
  <conditionalFormatting sqref="AC2:AC365">
    <cfRule type="cellIs" priority="366" operator="between" dxfId="70" stopIfTrue="1">
      <formula>50</formula>
      <formula>100</formula>
    </cfRule>
  </conditionalFormatting>
  <conditionalFormatting sqref="AC2:AC366">
    <cfRule type="cellIs" priority="365" operator="greaterThan" dxfId="71" stopIfTrue="1">
      <formula>100</formula>
    </cfRule>
    <cfRule type="cellIs" priority="342" operator="between" dxfId="72">
      <formula>1</formula>
      <formula>50</formula>
    </cfRule>
  </conditionalFormatting>
  <conditionalFormatting sqref="AD2:AD365">
    <cfRule type="cellIs" priority="363" operator="greaterThan" dxfId="148">
      <formula>60</formula>
    </cfRule>
    <cfRule type="cellIs" priority="364" operator="between" dxfId="152" stopIfTrue="1">
      <formula>1</formula>
      <formula>60</formula>
    </cfRule>
  </conditionalFormatting>
  <conditionalFormatting sqref="AE2:AE365">
    <cfRule type="cellIs" priority="361" operator="between" dxfId="240">
      <formula>10</formula>
      <formula>90</formula>
    </cfRule>
    <cfRule type="cellIs" priority="362" operator="greaterThan" dxfId="295" stopIfTrue="1">
      <formula>90</formula>
    </cfRule>
  </conditionalFormatting>
  <conditionalFormatting sqref="AF2:AF365">
    <cfRule type="cellIs" priority="360" operator="between" dxfId="294" stopIfTrue="1">
      <formula>40</formula>
      <formula>125</formula>
    </cfRule>
    <cfRule type="cellIs" priority="359" operator="greaterThan" dxfId="293" stopIfTrue="1">
      <formula>125</formula>
    </cfRule>
  </conditionalFormatting>
  <conditionalFormatting sqref="AG2:AG365">
    <cfRule type="cellIs" priority="352" operator="between" dxfId="63" stopIfTrue="1">
      <formula>15</formula>
      <formula>100</formula>
    </cfRule>
    <cfRule type="cellIs" priority="372" operator="greaterThan" dxfId="46" stopIfTrue="1">
      <formula>100</formula>
    </cfRule>
  </conditionalFormatting>
  <conditionalFormatting sqref="AH2:AH365">
    <cfRule type="cellIs" priority="19" operator="greaterThan" dxfId="0">
      <formula>100</formula>
    </cfRule>
    <cfRule type="cellIs" priority="18" operator="between" dxfId="72">
      <formula>1</formula>
      <formula>100</formula>
    </cfRule>
    <cfRule type="cellIs" priority="17" operator="between" dxfId="31">
      <formula>0</formula>
      <formula>50</formula>
    </cfRule>
  </conditionalFormatting>
  <conditionalFormatting sqref="AK2:AK133 AK135:AK356">
    <cfRule type="cellIs" priority="399" operator="between" dxfId="287">
      <formula>750</formula>
      <formula>1200</formula>
    </cfRule>
    <cfRule type="cellIs" priority="349" operator="between" dxfId="286" stopIfTrue="1">
      <formula>500</formula>
      <formula>750</formula>
    </cfRule>
  </conditionalFormatting>
  <conditionalFormatting sqref="AL2:AL365">
    <cfRule type="cellIs" priority="350" operator="between" dxfId="285">
      <formula>1</formula>
      <formula>100</formula>
    </cfRule>
    <cfRule type="cellIs" priority="351" operator="greaterThan" dxfId="186" stopIfTrue="1">
      <formula>99</formula>
    </cfRule>
  </conditionalFormatting>
  <pageMargins left="0.75" right="0.75" top="1" bottom="1" header="0.5" footer="0.5"/>
  <pageSetup orientation="portrait" horizontalDpi="0" verticalDpi="0"/>
</worksheet>
</file>

<file path=xl/worksheets/sheet2.xml><?xml version="1.0" encoding="utf-8"?>
<worksheet xmlns="http://schemas.openxmlformats.org/spreadsheetml/2006/main">
  <sheetPr codeName="Sheet2">
    <tabColor theme="1" tint="0.499984740745262"/>
    <outlinePr showOutlineSymbols="0"/>
    <pageSetUpPr/>
  </sheetPr>
  <dimension ref="A1:CA378"/>
  <sheetViews>
    <sheetView tabSelected="1" topLeftCell="L1" workbookViewId="0">
      <selection activeCell="S25" sqref="S25"/>
    </sheetView>
  </sheetViews>
  <sheetFormatPr baseColWidth="8" defaultColWidth="10.97265625" defaultRowHeight="15"/>
  <cols>
    <col width="5.17578125" customWidth="1" style="37" min="1" max="1"/>
    <col width="3.69921875" customWidth="1" style="37" min="2" max="2"/>
    <col width="6.1640625" customWidth="1" style="37" min="3" max="3"/>
    <col width="3.9453125" customWidth="1" style="37" min="4" max="4"/>
    <col width="2.95703125" customWidth="1" style="37" min="5" max="5"/>
    <col width="3.203125" customWidth="1" style="37" min="6" max="6"/>
    <col width="3.8203125" customWidth="1" style="37" min="7" max="7"/>
    <col width="2.8359375" customWidth="1" style="37" min="8" max="8"/>
    <col width="2.33984375" customWidth="1" style="37" min="9" max="10"/>
    <col width="2.8359375" customWidth="1" style="37" min="11" max="11"/>
    <col width="3.44921875" customWidth="1" style="37" min="12" max="12"/>
    <col width="2.95703125" customWidth="1" style="37" min="13" max="14"/>
    <col width="3.328125" customWidth="1" style="37" min="15" max="16"/>
    <col width="3.44921875" customWidth="1" style="37" min="17" max="17"/>
    <col width="2.95703125" customWidth="1" style="37" min="18" max="19"/>
    <col width="2.8359375" customWidth="1" style="37" min="20" max="20"/>
    <col width="3.9453125" customWidth="1" style="37" min="21" max="21"/>
    <col width="3.203125" customWidth="1" style="37" min="22" max="23"/>
    <col width="2.95703125" customWidth="1" style="37" min="24" max="30"/>
    <col width="3.9453125" customWidth="1" style="37" min="31" max="31"/>
    <col width="6.78125" customWidth="1" style="39" min="32" max="32"/>
    <col width="5.30078125" customWidth="1" style="37" min="33" max="33"/>
    <col width="2.95703125" customWidth="1" style="37" min="34" max="34"/>
    <col width="4.80859375" customWidth="1" style="37" min="35" max="35"/>
    <col width="5.79296875" customWidth="1" style="37" min="36" max="36"/>
    <col width="4.4375" customWidth="1" style="37" min="37" max="37"/>
    <col width="2.8359375" customWidth="1" style="37" min="38" max="38"/>
    <col width="6.1640625" bestFit="1" customWidth="1" style="37" min="39" max="39"/>
    <col width="5.30078125" customWidth="1" style="37" min="40" max="40"/>
    <col width="6.28515625" bestFit="1" customWidth="1" style="37" min="41" max="41"/>
    <col width="7.1484375" bestFit="1" customWidth="1" style="37" min="42" max="42"/>
    <col width="2.21875" customWidth="1" style="37" min="43" max="43"/>
    <col width="4.3125" customWidth="1" style="37" min="44" max="44"/>
    <col width="4.68359375" customWidth="1" style="37" min="45" max="45"/>
    <col width="5.17578125" customWidth="1" style="37" min="46" max="47"/>
    <col width="2.8359375" customWidth="1" style="45" min="48" max="48"/>
    <col width="4.3125" customWidth="1" style="37" min="49" max="49"/>
    <col width="5.17578125" customWidth="1" style="37" min="50" max="50"/>
    <col width="5.79296875" customWidth="1" style="37" min="51" max="51"/>
    <col width="5.671875" customWidth="1" style="37" min="52" max="53"/>
    <col width="2.21875" customWidth="1" style="37" min="54" max="54"/>
    <col width="6.53515625" customWidth="1" style="37" min="55" max="55"/>
    <col width="7.1484375" customWidth="1" style="37" min="56" max="62"/>
  </cols>
  <sheetData>
    <row r="1" ht="21.95" customHeight="1" s="37">
      <c r="A1" s="92" t="n"/>
      <c r="B1" s="92" t="n"/>
      <c r="C1" s="91" t="n">
        <v>2026</v>
      </c>
      <c r="D1" s="90" t="inlineStr">
        <is>
          <t>睡觉</t>
        </is>
      </c>
      <c r="E1" s="90" t="inlineStr">
        <is>
          <t>cpap</t>
        </is>
      </c>
      <c r="F1" s="91" t="inlineStr">
        <is>
          <t>起</t>
        </is>
      </c>
      <c r="G1" s="91" t="inlineStr">
        <is>
          <t>i444</t>
        </is>
      </c>
      <c r="H1" s="91" t="inlineStr">
        <is>
          <t>i47</t>
        </is>
      </c>
      <c r="I1" s="91" t="inlineStr">
        <is>
          <t>充</t>
        </is>
      </c>
      <c r="J1" s="91" t="inlineStr">
        <is>
          <t>tmrw</t>
        </is>
      </c>
      <c r="K1" s="91" t="inlineStr">
        <is>
          <t>2hci</t>
        </is>
      </c>
      <c r="L1" s="91" t="inlineStr">
        <is>
          <t>d hci</t>
        </is>
      </c>
      <c r="M1" s="91" t="inlineStr">
        <is>
          <t>@jm</t>
        </is>
      </c>
      <c r="N1" s="91" t="inlineStr">
        <is>
          <t>新闻</t>
        </is>
      </c>
      <c r="O1" s="91" t="inlineStr">
        <is>
          <t>词汇</t>
        </is>
      </c>
      <c r="P1" s="91" t="inlineStr">
        <is>
          <t>hcmc</t>
        </is>
      </c>
      <c r="Q1" s="91" t="inlineStr">
        <is>
          <t>0t</t>
        </is>
      </c>
      <c r="R1" s="91" t="inlineStr">
        <is>
          <t>₦156</t>
        </is>
      </c>
      <c r="S1" s="91" t="inlineStr">
        <is>
          <t>0l</t>
        </is>
      </c>
      <c r="T1" s="91" t="inlineStr">
        <is>
          <t>0₲</t>
        </is>
      </c>
      <c r="U1" s="91" t="inlineStr">
        <is>
          <t>stats</t>
        </is>
      </c>
      <c r="V1" s="91" t="inlineStr">
        <is>
          <t>notes</t>
        </is>
      </c>
      <c r="W1" s="91" t="inlineStr">
        <is>
          <t xml:space="preserve"> @microsoft, @github</t>
        </is>
      </c>
      <c r="X1" s="91" t="inlineStr">
        <is>
          <t>代</t>
        </is>
      </c>
      <c r="Y1" s="91" t="inlineStr">
        <is>
          <t>tms</t>
        </is>
      </c>
      <c r="Z1" s="91" t="inlineStr">
        <is>
          <t>slack</t>
        </is>
      </c>
      <c r="AA1" s="91" t="inlineStr">
        <is>
          <t>slack</t>
        </is>
      </c>
      <c r="AB1" s="91" t="inlineStr">
        <is>
          <t>@m5</t>
        </is>
      </c>
      <c r="AC1" s="91" t="inlineStr">
        <is>
          <t xml:space="preserve">dash </t>
        </is>
      </c>
      <c r="AD1" s="91" t="inlineStr">
        <is>
          <t>早餐</t>
        </is>
      </c>
      <c r="AE1" s="91" t="inlineStr">
        <is>
          <t>hiit</t>
        </is>
      </c>
      <c r="AF1" s="422" t="inlineStr">
        <is>
          <t>⎣₦</t>
        </is>
      </c>
      <c r="AG1" s="92" t="inlineStr">
        <is>
          <t>⎣∀clr</t>
        </is>
      </c>
      <c r="AH1" s="91" t="inlineStr">
        <is>
          <t>#</t>
        </is>
      </c>
      <c r="AI1" s="423" t="inlineStr">
        <is>
          <t>问学</t>
        </is>
      </c>
      <c r="AJ1" s="423" t="inlineStr">
        <is>
          <t>qft</t>
        </is>
      </c>
      <c r="AK1" s="91" t="inlineStr">
        <is>
          <t>lx:qt</t>
        </is>
      </c>
      <c r="AL1" s="91" t="inlineStr">
        <is>
          <t>NVC + e</t>
        </is>
      </c>
      <c r="AM1" s="91" t="inlineStr">
        <is>
          <t>ص</t>
        </is>
      </c>
      <c r="AN1" s="91" t="inlineStr">
        <is>
          <t>o314</t>
        </is>
      </c>
      <c r="AO1" s="421" t="inlineStr">
        <is>
          <t>冥想</t>
        </is>
      </c>
      <c r="AP1" s="421" t="inlineStr">
        <is>
          <t>其他人</t>
        </is>
      </c>
      <c r="AQ1" s="91" t="n"/>
      <c r="AR1" s="91" t="inlineStr">
        <is>
          <t>1+</t>
        </is>
      </c>
      <c r="AS1" s="91" t="n">
        <v>-1</v>
      </c>
      <c r="AT1" s="91" t="inlineStr">
        <is>
          <t xml:space="preserve"> -2/-4</t>
        </is>
      </c>
      <c r="AU1" s="91" t="n">
        <v>-3</v>
      </c>
      <c r="AV1" s="418" t="n"/>
      <c r="AW1" s="91" t="inlineStr">
        <is>
          <t>∑xk87</t>
        </is>
      </c>
      <c r="AX1" s="91" t="inlineStr">
        <is>
          <t>∑hcmt</t>
        </is>
      </c>
      <c r="AY1" s="91" t="inlineStr">
        <is>
          <t>∑hcmc</t>
        </is>
      </c>
      <c r="AZ1" s="91" t="inlineStr">
        <is>
          <t>∑hcb</t>
        </is>
      </c>
      <c r="BA1" s="91" t="inlineStr">
        <is>
          <t>蠢之后</t>
        </is>
      </c>
      <c r="BB1" s="78" t="n"/>
      <c r="BC1" s="78" t="n"/>
      <c r="BD1" s="91" t="inlineStr">
        <is>
          <t>hcmc</t>
        </is>
      </c>
      <c r="BE1" s="91" t="inlineStr">
        <is>
          <t>m5x2</t>
        </is>
      </c>
      <c r="BF1" s="78" t="n"/>
      <c r="BG1" s="78" t="n"/>
      <c r="BH1" s="78" t="n"/>
      <c r="BI1" s="78" t="n"/>
      <c r="BJ1" s="78" t="n"/>
      <c r="BK1" s="78" t="n"/>
      <c r="BL1" s="78" t="n"/>
      <c r="BM1" s="78" t="n"/>
      <c r="BN1" s="78" t="n"/>
      <c r="BO1" s="78" t="n"/>
      <c r="BP1" s="78" t="n"/>
      <c r="BQ1" s="78" t="n"/>
      <c r="BR1" s="78" t="n"/>
      <c r="BS1" s="78" t="n"/>
      <c r="BT1" s="78" t="n"/>
      <c r="BU1" s="78" t="n"/>
      <c r="BV1" s="78" t="n"/>
      <c r="BW1" s="78" t="n"/>
      <c r="BX1" s="78" t="n"/>
      <c r="BY1" s="78" t="n"/>
      <c r="BZ1" s="78" t="n"/>
      <c r="CA1" s="78" t="n"/>
    </row>
    <row r="2" ht="18" customHeight="1" s="37">
      <c r="A2" s="83" t="n"/>
      <c r="B2" s="83" t="n"/>
      <c r="C2" s="63" t="inlineStr">
        <is>
          <t>⊖分</t>
        </is>
      </c>
      <c r="D2" s="2" t="n">
        <v>30</v>
      </c>
      <c r="E2" s="2" t="n">
        <v>10</v>
      </c>
      <c r="F2" s="9" t="n">
        <v>6</v>
      </c>
      <c r="G2" s="147" t="n">
        <v>5</v>
      </c>
      <c r="H2" s="2" t="n">
        <v>5</v>
      </c>
      <c r="I2" s="3" t="n">
        <v>3</v>
      </c>
      <c r="J2" s="2" t="n">
        <v>5</v>
      </c>
      <c r="K2" s="146" t="n">
        <v>7</v>
      </c>
      <c r="L2" s="147" t="n">
        <v>26</v>
      </c>
      <c r="M2" s="197" t="n">
        <v>5</v>
      </c>
      <c r="N2" s="2" t="n">
        <v>2</v>
      </c>
      <c r="O2" s="4" t="n">
        <v>7</v>
      </c>
      <c r="P2" s="4" t="n">
        <v>10</v>
      </c>
      <c r="Q2" s="197" t="n">
        <v>10</v>
      </c>
      <c r="R2" s="147" t="n">
        <v>4</v>
      </c>
      <c r="S2" s="197" t="n">
        <v>20</v>
      </c>
      <c r="T2" s="197" t="n">
        <v>8</v>
      </c>
      <c r="U2" s="2" t="n">
        <v>10</v>
      </c>
      <c r="V2" s="197" t="n">
        <v>8</v>
      </c>
      <c r="W2" s="198" t="n">
        <v>20</v>
      </c>
      <c r="X2" s="450" t="n">
        <v>30</v>
      </c>
      <c r="Y2" s="450" t="n">
        <v>7</v>
      </c>
      <c r="Z2" s="450" t="n">
        <v>5</v>
      </c>
      <c r="AA2" s="197" t="n">
        <v>3</v>
      </c>
      <c r="AB2" s="198" t="n">
        <v>15</v>
      </c>
      <c r="AC2" s="5" t="n">
        <v>15</v>
      </c>
      <c r="AD2" s="7" t="n">
        <v>5</v>
      </c>
      <c r="AE2" s="8" t="n">
        <v>7</v>
      </c>
      <c r="AF2" s="39">
        <f>SUM(V2:AB2,S2:T2,M2,)</f>
        <v/>
      </c>
      <c r="AH2" s="148" t="n"/>
      <c r="AI2" s="335" t="n">
        <v>60</v>
      </c>
      <c r="AJ2" s="450" t="n">
        <v>30</v>
      </c>
      <c r="AK2" s="10" t="n">
        <v>30</v>
      </c>
      <c r="AL2" s="450" t="n">
        <v>1</v>
      </c>
      <c r="AM2" s="450" t="n">
        <v>60</v>
      </c>
      <c r="AN2" s="450" t="n">
        <v>15</v>
      </c>
      <c r="AO2" s="450" t="n">
        <v>10</v>
      </c>
      <c r="AP2" s="450" t="n">
        <v>5</v>
      </c>
      <c r="AQ2" s="12" t="n"/>
      <c r="AR2" s="450" t="n">
        <v>0</v>
      </c>
      <c r="AS2" s="450" t="n">
        <v>10</v>
      </c>
      <c r="AT2" s="450" t="n">
        <v>60</v>
      </c>
      <c r="AU2" s="450" t="n">
        <v>15</v>
      </c>
      <c r="AW2" s="450">
        <f>SUM(AI2:AL2)</f>
        <v/>
      </c>
      <c r="AX2" s="450">
        <f>SUM(AM2:AP2)</f>
        <v/>
      </c>
      <c r="AY2" s="39">
        <f>SUM(AU2+AT2*0.5)-AR2-#REF!*0.5+#REF!*0.5</f>
        <v/>
      </c>
      <c r="AZ2" s="39" t="n"/>
      <c r="BA2" s="39" t="n"/>
      <c r="BB2" s="250" t="n"/>
      <c r="BC2" s="79" t="n"/>
      <c r="BD2" s="79" t="n"/>
      <c r="BE2" s="79" t="n"/>
      <c r="BF2" s="79" t="n"/>
      <c r="BG2" s="79" t="n"/>
      <c r="BH2" s="79" t="n"/>
      <c r="BI2" s="79" t="n"/>
      <c r="BJ2" s="79" t="n"/>
      <c r="BK2" s="79" t="n"/>
      <c r="BL2" s="79" t="n"/>
      <c r="BM2" s="79" t="n"/>
      <c r="BN2" s="79" t="n"/>
      <c r="BO2" s="79" t="n"/>
      <c r="BP2" s="79" t="n"/>
      <c r="BQ2" s="79" t="n"/>
      <c r="BR2" s="79" t="n"/>
      <c r="BS2" s="79" t="n"/>
      <c r="BT2" s="79" t="n"/>
      <c r="BU2" s="79" t="n"/>
      <c r="BV2" s="79" t="n"/>
      <c r="BW2" s="79" t="n"/>
      <c r="BX2" s="79" t="n"/>
      <c r="BY2" s="79" t="n"/>
      <c r="BZ2" s="79" t="n"/>
      <c r="CA2" s="79" t="n"/>
    </row>
    <row r="3">
      <c r="A3" s="83" t="n"/>
      <c r="B3" s="83" t="n"/>
      <c r="C3" s="63" t="inlineStr">
        <is>
          <t>p(t)</t>
        </is>
      </c>
      <c r="D3" s="335" t="n">
        <v>500</v>
      </c>
      <c r="E3" s="335" t="n">
        <v>2</v>
      </c>
      <c r="H3" s="12" t="n">
        <v>5</v>
      </c>
      <c r="I3" s="1" t="n">
        <v>3</v>
      </c>
      <c r="J3" s="13" t="n">
        <v>3</v>
      </c>
      <c r="K3" s="337" t="n">
        <v>10</v>
      </c>
      <c r="L3" s="149" t="n">
        <v>25</v>
      </c>
      <c r="M3" s="13" t="n">
        <v>7</v>
      </c>
      <c r="Q3" s="16" t="n">
        <v>12</v>
      </c>
      <c r="R3" s="338" t="n">
        <v>4</v>
      </c>
      <c r="S3" s="14" t="n">
        <v>12</v>
      </c>
      <c r="T3" s="17" t="n">
        <v>6</v>
      </c>
      <c r="U3" s="335" t="n">
        <v>8</v>
      </c>
      <c r="V3" s="335" t="n">
        <v>5</v>
      </c>
      <c r="W3" s="75" t="n"/>
      <c r="X3" s="450" t="n">
        <v>40</v>
      </c>
      <c r="AA3" s="335" t="n">
        <v>30</v>
      </c>
      <c r="AB3" s="75" t="n">
        <v>5</v>
      </c>
      <c r="AC3" s="15" t="n">
        <v>3</v>
      </c>
      <c r="AF3" s="450" t="n"/>
      <c r="AI3" s="450" t="n">
        <v>60</v>
      </c>
      <c r="AM3" s="450" t="n">
        <v>20</v>
      </c>
      <c r="AN3" s="450" t="n">
        <v>15</v>
      </c>
      <c r="AO3" s="450" t="n">
        <v>10</v>
      </c>
      <c r="AP3" s="450" t="n">
        <v>5</v>
      </c>
      <c r="AQ3" s="12" t="n"/>
      <c r="AR3" s="445" t="n">
        <v>54</v>
      </c>
      <c r="BB3" s="79" t="n"/>
      <c r="BC3" s="79" t="n"/>
      <c r="BD3" s="79" t="n"/>
      <c r="BE3" s="79" t="n"/>
      <c r="BF3" s="79" t="n"/>
      <c r="BG3" s="79" t="n"/>
      <c r="BH3" s="79" t="n"/>
      <c r="BI3" s="79" t="n"/>
      <c r="BJ3" s="79" t="n"/>
      <c r="BK3" s="79" t="n"/>
      <c r="BL3" s="79" t="n"/>
      <c r="BM3" s="79" t="n"/>
      <c r="BN3" s="79" t="n"/>
      <c r="BO3" s="79" t="n"/>
      <c r="BP3" s="79" t="n"/>
      <c r="BQ3" s="79" t="n"/>
      <c r="BR3" s="79" t="n"/>
      <c r="BS3" s="79" t="n"/>
      <c r="BT3" s="79" t="n"/>
      <c r="BU3" s="79" t="n"/>
      <c r="BV3" s="79" t="n"/>
      <c r="BW3" s="79" t="n"/>
      <c r="BX3" s="79" t="n"/>
      <c r="BY3" s="79" t="n"/>
      <c r="BZ3" s="79" t="n"/>
      <c r="CA3" s="79" t="n"/>
    </row>
    <row r="4" ht="17.1" customHeight="1" s="37">
      <c r="A4" s="84" t="n"/>
      <c r="B4" s="84" t="n"/>
      <c r="C4" s="76" t="inlineStr">
        <is>
          <t>Ideal time</t>
        </is>
      </c>
      <c r="D4" s="215" t="n">
        <v>480</v>
      </c>
      <c r="E4" s="215" t="n">
        <v>2</v>
      </c>
      <c r="F4" s="215" t="n">
        <v>5</v>
      </c>
      <c r="G4" s="215" t="n"/>
      <c r="H4" s="215" t="n">
        <v>3</v>
      </c>
      <c r="I4" s="215" t="n">
        <v>1</v>
      </c>
      <c r="J4" s="215" t="n">
        <v>1</v>
      </c>
      <c r="K4" s="215" t="n">
        <v>8</v>
      </c>
      <c r="L4" s="215" t="n">
        <v>11</v>
      </c>
      <c r="M4" s="215" t="n">
        <v>6</v>
      </c>
      <c r="N4" s="215" t="n">
        <v>7</v>
      </c>
      <c r="O4" s="215" t="n">
        <v>7</v>
      </c>
      <c r="P4" s="215" t="n"/>
      <c r="Q4" s="215" t="n">
        <v>5</v>
      </c>
      <c r="R4" s="215" t="n">
        <v>3</v>
      </c>
      <c r="S4" s="215" t="n">
        <v>8</v>
      </c>
      <c r="T4" s="215" t="n">
        <v>5</v>
      </c>
      <c r="U4" s="215" t="n">
        <v>6</v>
      </c>
      <c r="V4" s="215" t="n">
        <v>4</v>
      </c>
      <c r="W4" s="420" t="n"/>
      <c r="X4" s="216" t="n">
        <v>30</v>
      </c>
      <c r="Y4" s="216" t="n"/>
      <c r="Z4" s="216" t="n"/>
      <c r="AA4" s="215" t="n">
        <v>10</v>
      </c>
      <c r="AB4" s="420" t="n">
        <v>3</v>
      </c>
      <c r="AC4" s="215" t="n">
        <v>2</v>
      </c>
      <c r="AD4" s="215" t="n">
        <v>12</v>
      </c>
      <c r="AE4" s="215" t="n">
        <v>35</v>
      </c>
      <c r="AF4" s="216" t="n"/>
      <c r="AG4" s="216" t="n"/>
      <c r="AH4" s="214" t="n">
        <v>3</v>
      </c>
      <c r="AI4" s="215" t="n">
        <v>45</v>
      </c>
      <c r="AJ4" s="215" t="n">
        <v>45</v>
      </c>
      <c r="AK4" s="215" t="n">
        <v>30</v>
      </c>
      <c r="AL4" s="215" t="n">
        <v>1</v>
      </c>
      <c r="AM4" s="215" t="n">
        <v>5</v>
      </c>
      <c r="AN4" s="215">
        <f>SUM(AN5:AN101)-COUNT(AN5:AN101)*15</f>
        <v/>
      </c>
      <c r="AO4" s="215">
        <f>SUM(AO5:AO101)-COUNT(AO5:AO101)*15</f>
        <v/>
      </c>
      <c r="AP4" s="215">
        <f>SUM(AP5:AP101)-COUNT(AP5:AP101)*5</f>
        <v/>
      </c>
      <c r="AQ4" s="215" t="n"/>
      <c r="AR4" s="215" t="n"/>
      <c r="AS4" s="215" t="n"/>
      <c r="AT4" s="216" t="n"/>
      <c r="AU4" s="215" t="n"/>
      <c r="AV4" s="216" t="n"/>
      <c r="AW4" s="215" t="n"/>
      <c r="AX4" s="215" t="n"/>
      <c r="AY4" s="215" t="n"/>
      <c r="AZ4" s="215" t="n"/>
      <c r="BA4" s="215" t="n"/>
      <c r="BB4" s="79" t="n"/>
      <c r="BC4" s="79" t="n"/>
      <c r="BD4" s="79" t="n"/>
      <c r="BE4" s="79" t="n"/>
      <c r="BF4" s="79" t="n"/>
      <c r="BG4" s="79" t="n"/>
      <c r="BH4" s="79" t="n"/>
      <c r="BI4" s="79" t="n"/>
      <c r="BJ4" s="79" t="n"/>
      <c r="BK4" s="79" t="n"/>
      <c r="BL4" s="79" t="n"/>
      <c r="BM4" s="79" t="n"/>
      <c r="BN4" s="79" t="n"/>
      <c r="BO4" s="79" t="n"/>
      <c r="BP4" s="79" t="n"/>
      <c r="BQ4" s="79" t="n"/>
      <c r="BR4" s="79" t="n"/>
      <c r="BS4" s="79" t="n"/>
      <c r="BT4" s="79" t="n"/>
      <c r="BU4" s="79" t="n"/>
      <c r="BV4" s="79" t="n"/>
      <c r="BW4" s="79" t="n"/>
      <c r="BX4" s="79" t="n"/>
      <c r="BY4" s="79" t="n"/>
      <c r="BZ4" s="79" t="n"/>
      <c r="CA4" s="79" t="n"/>
    </row>
    <row r="5" ht="17.1" customHeight="1" s="37">
      <c r="A5" s="462" t="n">
        <v>1.1</v>
      </c>
      <c r="B5" s="150" t="inlineStr">
        <is>
          <t>S</t>
        </is>
      </c>
      <c r="C5" s="550" t="n">
        <v>46026</v>
      </c>
      <c r="D5" s="450" t="n">
        <v>540</v>
      </c>
      <c r="E5" s="450" t="n">
        <v>2</v>
      </c>
      <c r="F5" s="450" t="n">
        <v>13</v>
      </c>
      <c r="G5" s="216" t="n"/>
      <c r="H5" s="57" t="n">
        <v>1</v>
      </c>
      <c r="I5" s="450" t="n">
        <v>1</v>
      </c>
      <c r="J5" s="450" t="n">
        <v>1</v>
      </c>
      <c r="K5" s="450" t="n">
        <v>5</v>
      </c>
      <c r="L5" s="450" t="n">
        <v>13</v>
      </c>
      <c r="M5" s="450" t="n">
        <v>1</v>
      </c>
      <c r="N5" s="450" t="n">
        <v>7</v>
      </c>
      <c r="O5" s="216" t="n">
        <v>5</v>
      </c>
      <c r="P5" s="450" t="n">
        <v>30</v>
      </c>
      <c r="Q5" s="450" t="n">
        <v>4</v>
      </c>
      <c r="R5" s="450" t="n">
        <v>1</v>
      </c>
      <c r="S5" s="450" t="n">
        <v>23</v>
      </c>
      <c r="T5" s="450" t="n">
        <v>3</v>
      </c>
      <c r="U5" s="394" t="n">
        <v>3</v>
      </c>
      <c r="V5" s="450" t="n">
        <v>4</v>
      </c>
      <c r="W5" s="450" t="n">
        <v>2</v>
      </c>
      <c r="X5" s="20" t="n"/>
      <c r="Y5" s="450" t="n">
        <v>3</v>
      </c>
      <c r="Z5" s="450" t="n">
        <v>1</v>
      </c>
      <c r="AA5" s="450" t="n">
        <v>1</v>
      </c>
      <c r="AB5" s="450" t="n">
        <v>10</v>
      </c>
      <c r="AC5" s="450" t="n">
        <v>1</v>
      </c>
      <c r="AD5" s="450" t="n">
        <v>3</v>
      </c>
      <c r="AE5" s="450" t="n">
        <v>1</v>
      </c>
      <c r="AF5" s="39" t="n">
        <v>915</v>
      </c>
      <c r="AG5" s="450" t="n">
        <v>1406</v>
      </c>
      <c r="AH5" s="450" t="n">
        <v>2</v>
      </c>
      <c r="AI5" s="450">
        <f>51+10</f>
        <v/>
      </c>
      <c r="AJ5" s="38">
        <f>123+61</f>
        <v/>
      </c>
      <c r="AK5" s="38" t="n">
        <v>30</v>
      </c>
      <c r="AL5" s="450" t="n">
        <v>1</v>
      </c>
      <c r="AM5" s="38" t="n">
        <v>85</v>
      </c>
      <c r="AN5" s="45" t="n">
        <v>0</v>
      </c>
      <c r="AO5" s="38" t="n">
        <v>0</v>
      </c>
      <c r="AP5" s="45" t="n">
        <v>0</v>
      </c>
      <c r="AQ5" s="12" t="n"/>
      <c r="AR5" s="216" t="n">
        <v>-1</v>
      </c>
      <c r="AS5" s="216">
        <f>P5</f>
        <v/>
      </c>
      <c r="AT5" s="216" t="n">
        <v>10</v>
      </c>
      <c r="AU5" s="214" t="n">
        <v>7</v>
      </c>
      <c r="AW5" s="2">
        <f>SUM(AH5:AI5,AJ5/2,AK5:AL5)</f>
        <v/>
      </c>
      <c r="AX5" s="2">
        <f>AM5*0.5+SUM(AN5:AP5)</f>
        <v/>
      </c>
      <c r="AY5" s="39">
        <f>SUM(-AR5+AS5*0.01+AT5*0.5+AU5)</f>
        <v/>
      </c>
      <c r="AZ5" s="39">
        <f>'0分'!AF2</f>
        <v/>
      </c>
      <c r="BA5" s="39">
        <f>SUM(AY5,AX5,AW5)</f>
        <v/>
      </c>
      <c r="BB5" s="250" t="n"/>
      <c r="BC5" s="79">
        <f t="array" ref="BC5">SUMPRODUCT(--(NOT(ISBLANK('0₦'!D5:M5))), '0₦'!D$2:M$2) +  SUMPRODUCT(--(NOT(ISBLANK('0₦'!Q5:T5))), '0₦'!Q$2:T$2)</f>
        <v/>
      </c>
      <c r="BD5" s="250">
        <f t="array" ref="BD5">SUMPRODUCT(--(NOT(ISBLANK('0₦'!N5:P5))),'0₦'!N$2:P$2)+'0₦'!AY5</f>
        <v/>
      </c>
      <c r="BE5" s="79">
        <f t="array" ref="BE5">SUMPRODUCT(--(NOT(ISBLANK('0₦'!AA5:AC5))),'0₦'!AA$2:AC$2) + BF5</f>
        <v/>
      </c>
      <c r="BF5" s="79" t="n"/>
      <c r="BG5" s="79">
        <f t="array" ref="BG5">SUMPRODUCT(--(NOT(ISBLANK('0₦'!U5:Z5))), '0₦'!U$2:Z$2)</f>
        <v/>
      </c>
      <c r="BH5" s="79" t="n"/>
      <c r="BI5" s="79">
        <f>SUM(BG5:BH5)</f>
        <v/>
      </c>
      <c r="BJ5" s="79" t="n"/>
      <c r="BK5" s="79" t="n"/>
      <c r="BL5" s="79" t="n"/>
      <c r="BM5" s="79" t="n"/>
      <c r="BN5" s="79" t="n"/>
      <c r="BO5" s="79" t="n"/>
      <c r="BP5" s="79" t="n"/>
      <c r="BQ5" s="79" t="n"/>
      <c r="BR5" s="79" t="n"/>
      <c r="BS5" s="79" t="n"/>
      <c r="BT5" s="79" t="n"/>
      <c r="BU5" s="79" t="n"/>
      <c r="BV5" s="79" t="n"/>
      <c r="BW5" s="79" t="n"/>
      <c r="BX5" s="79" t="n"/>
      <c r="BY5" s="79" t="n"/>
      <c r="BZ5" s="79" t="n"/>
      <c r="CA5" s="79" t="n"/>
    </row>
    <row r="6" ht="18" customHeight="1" s="37">
      <c r="A6" s="551" t="n"/>
      <c r="B6" s="150" t="inlineStr">
        <is>
          <t>M</t>
        </is>
      </c>
      <c r="C6" s="550">
        <f>C5+1</f>
        <v/>
      </c>
      <c r="D6" s="450" t="n">
        <v>484</v>
      </c>
      <c r="E6" s="450" t="n">
        <v>1</v>
      </c>
      <c r="F6" s="450" t="n">
        <v>3</v>
      </c>
      <c r="G6" s="216" t="n"/>
      <c r="H6" s="57" t="n">
        <v>1</v>
      </c>
      <c r="I6" s="450" t="n">
        <v>1</v>
      </c>
      <c r="J6" s="450" t="n">
        <v>1</v>
      </c>
      <c r="K6" s="450" t="n">
        <v>7</v>
      </c>
      <c r="L6" s="450" t="n">
        <v>17</v>
      </c>
      <c r="M6" s="450" t="n">
        <v>3</v>
      </c>
      <c r="N6" s="450" t="n">
        <v>10</v>
      </c>
      <c r="O6" s="214" t="n"/>
      <c r="P6" s="450" t="n">
        <v>65</v>
      </c>
      <c r="Q6" s="450" t="n">
        <v>1</v>
      </c>
      <c r="R6" s="450" t="n">
        <v>1</v>
      </c>
      <c r="S6" s="450" t="n">
        <v>6</v>
      </c>
      <c r="T6" s="450" t="n">
        <v>3</v>
      </c>
      <c r="U6" s="394" t="n">
        <v>2</v>
      </c>
      <c r="V6" s="450" t="n">
        <v>1</v>
      </c>
      <c r="W6" s="450" t="n">
        <v>1</v>
      </c>
      <c r="X6" s="20" t="n"/>
      <c r="Y6" s="450" t="n">
        <v>1</v>
      </c>
      <c r="Z6" s="450" t="n">
        <v>1</v>
      </c>
      <c r="AA6" s="450" t="n">
        <v>1</v>
      </c>
      <c r="AB6" s="450" t="n">
        <v>1</v>
      </c>
      <c r="AC6" s="450" t="n">
        <v>1</v>
      </c>
      <c r="AD6" s="450" t="n">
        <v>3</v>
      </c>
      <c r="AE6" s="450" t="n">
        <v>1</v>
      </c>
      <c r="AF6" s="450" t="n">
        <v>753</v>
      </c>
      <c r="AG6" s="450" t="n">
        <v>1527</v>
      </c>
      <c r="AH6" s="450" t="n">
        <v>1</v>
      </c>
      <c r="AI6" s="450">
        <f>5+25+23+15 + 50 + 45 + 10</f>
        <v/>
      </c>
      <c r="AJ6" s="450">
        <f>22+60</f>
        <v/>
      </c>
      <c r="AK6" s="450">
        <f>15+36</f>
        <v/>
      </c>
      <c r="AL6" s="450" t="n">
        <v>1</v>
      </c>
      <c r="AM6" s="38" t="n">
        <v>90</v>
      </c>
      <c r="AN6" s="85" t="n">
        <v>9</v>
      </c>
      <c r="AO6" s="335" t="n">
        <v>0</v>
      </c>
      <c r="AP6" s="85" t="n">
        <v>0</v>
      </c>
      <c r="AQ6" s="12" t="n"/>
      <c r="AR6" s="216" t="n">
        <v>-1</v>
      </c>
      <c r="AS6" s="216">
        <f>P6</f>
        <v/>
      </c>
      <c r="AT6" s="215" t="n">
        <v>10</v>
      </c>
      <c r="AU6" s="273" t="n">
        <v>10</v>
      </c>
      <c r="AW6" s="2">
        <f>SUM(AH6:AI6,AJ6/2,AK6:AL6)</f>
        <v/>
      </c>
      <c r="AX6" s="2">
        <f>AM6*0.5+SUM(AN6:AP6)</f>
        <v/>
      </c>
      <c r="AY6" s="39">
        <f>SUM(-AR6+AS6*0.01+AT6*0.5+AU6)</f>
        <v/>
      </c>
      <c r="AZ6" s="39">
        <f>'0分'!AF3</f>
        <v/>
      </c>
      <c r="BA6" s="39">
        <f>SUM(AY6,AX6,AW6)</f>
        <v/>
      </c>
      <c r="BB6" s="250" t="n"/>
      <c r="BC6" s="79">
        <f t="array" ref="BC6">SUMPRODUCT(--(NOT(ISBLANK('0₦'!D6:M6))), '0₦'!D$2:M$2) +  SUMPRODUCT(--(NOT(ISBLANK('0₦'!Q6:T6))), '0₦'!Q$2:T$2)</f>
        <v/>
      </c>
      <c r="BD6" s="250">
        <f t="array" ref="BD6">SUMPRODUCT(--(NOT(ISBLANK('0₦'!N6:P6))),'0₦'!N$2:P$2)+'0₦'!AY6</f>
        <v/>
      </c>
      <c r="BE6" s="79">
        <f t="array" ref="BE6">SUMPRODUCT(--(NOT(ISBLANK('0₦'!AA6:AC6))),'0₦'!AA$2:AC$2) + BF6</f>
        <v/>
      </c>
      <c r="BF6" s="79" t="n"/>
      <c r="BG6" s="79">
        <f t="array" ref="BG6">SUMPRODUCT(--(NOT(ISBLANK('0₦'!U6:Z6))), '0₦'!U$2:Z$2)</f>
        <v/>
      </c>
      <c r="BH6" s="79" t="n"/>
      <c r="BI6" s="79">
        <f>SUM(BG6:BH6)</f>
        <v/>
      </c>
      <c r="BJ6" s="79" t="n"/>
      <c r="BK6" s="79" t="n"/>
      <c r="BL6" s="79" t="n"/>
      <c r="BM6" s="79" t="n"/>
      <c r="BN6" s="79" t="n"/>
      <c r="BO6" s="79" t="n"/>
      <c r="BP6" s="79" t="n"/>
      <c r="BQ6" s="79" t="n"/>
      <c r="BR6" s="79" t="n"/>
      <c r="BS6" s="79" t="n"/>
      <c r="BT6" s="79" t="n"/>
      <c r="BU6" s="79" t="n"/>
      <c r="BV6" s="79" t="n"/>
      <c r="BW6" s="79" t="n"/>
      <c r="BX6" s="79" t="n"/>
      <c r="BY6" s="79" t="n"/>
      <c r="BZ6" s="79" t="n"/>
      <c r="CA6" s="79" t="n"/>
    </row>
    <row r="7">
      <c r="A7" s="551" t="n"/>
      <c r="B7" s="150" t="inlineStr">
        <is>
          <t>T</t>
        </is>
      </c>
      <c r="C7" s="550">
        <f>C6+1</f>
        <v/>
      </c>
      <c r="D7" s="450" t="n">
        <v>510</v>
      </c>
      <c r="E7" s="38" t="n">
        <v>2</v>
      </c>
      <c r="F7" s="38" t="n">
        <v>2</v>
      </c>
      <c r="G7" s="216" t="n">
        <v>240</v>
      </c>
      <c r="H7" s="57" t="n">
        <v>1</v>
      </c>
      <c r="I7" s="450" t="n">
        <v>1</v>
      </c>
      <c r="J7" s="450" t="n">
        <v>1</v>
      </c>
      <c r="K7" s="450" t="n">
        <v>5</v>
      </c>
      <c r="L7" s="450" t="n">
        <v>17</v>
      </c>
      <c r="M7" s="450" t="n">
        <v>7</v>
      </c>
      <c r="N7" s="450" t="n">
        <v>11</v>
      </c>
      <c r="O7" s="214" t="n"/>
      <c r="P7" s="450" t="n">
        <v>30</v>
      </c>
      <c r="Q7" s="450" t="n">
        <v>4</v>
      </c>
      <c r="R7" s="450" t="n">
        <v>1</v>
      </c>
      <c r="S7" s="450" t="n">
        <v>8</v>
      </c>
      <c r="T7" s="450" t="n">
        <v>3</v>
      </c>
      <c r="U7" s="38" t="n">
        <v>2</v>
      </c>
      <c r="V7" s="450" t="n">
        <v>9</v>
      </c>
      <c r="W7" s="450" t="n">
        <v>20</v>
      </c>
      <c r="X7" s="20" t="n">
        <v>3</v>
      </c>
      <c r="Y7" s="450" t="n">
        <v>7</v>
      </c>
      <c r="Z7" s="450" t="n">
        <v>1</v>
      </c>
      <c r="AA7" s="450" t="n">
        <v>1</v>
      </c>
      <c r="AB7" s="450" t="n">
        <v>8</v>
      </c>
      <c r="AC7" s="450" t="n">
        <v>1</v>
      </c>
      <c r="AD7" s="450" t="n">
        <v>10</v>
      </c>
      <c r="AE7" s="450" t="n">
        <v>1</v>
      </c>
      <c r="AF7" s="450" t="n">
        <v>640</v>
      </c>
      <c r="AG7" s="450" t="n">
        <v>2145</v>
      </c>
      <c r="AH7" s="450" t="n">
        <v>0</v>
      </c>
      <c r="AI7" s="450" t="n">
        <v>0</v>
      </c>
      <c r="AJ7" s="450" t="n">
        <v>5</v>
      </c>
      <c r="AK7" s="450" t="n">
        <v>34</v>
      </c>
      <c r="AL7" s="450" t="n">
        <v>1</v>
      </c>
      <c r="AM7" s="450" t="n">
        <v>91</v>
      </c>
      <c r="AN7" s="85" t="n">
        <v>44</v>
      </c>
      <c r="AO7" s="335" t="n">
        <v>31</v>
      </c>
      <c r="AP7" s="85" t="n">
        <v>0</v>
      </c>
      <c r="AQ7" s="12" t="n"/>
      <c r="AR7" s="216" t="n">
        <v>-1</v>
      </c>
      <c r="AS7" s="216">
        <f>P7</f>
        <v/>
      </c>
      <c r="AT7" s="215" t="n">
        <v>10</v>
      </c>
      <c r="AU7" s="215">
        <f>11+12+44</f>
        <v/>
      </c>
      <c r="AW7" s="2">
        <f>SUM(AH7:AI7,AJ7/2,AK7:AL7)</f>
        <v/>
      </c>
      <c r="AX7" s="2">
        <f>AM7*0.5+SUM(AN7:AP7)</f>
        <v/>
      </c>
      <c r="AY7" s="39">
        <f>SUM(-AR7+AS7*0.01+AT7*0.5+AU7)</f>
        <v/>
      </c>
      <c r="AZ7" s="39">
        <f>'0分'!AF4</f>
        <v/>
      </c>
      <c r="BA7" s="39">
        <f>SUM(AY7,AX7,AW7)</f>
        <v/>
      </c>
      <c r="BB7" s="250" t="n"/>
      <c r="BC7" s="79">
        <f t="array" ref="BC7">SUMPRODUCT(--(NOT(ISBLANK('0₦'!D7:M7))), '0₦'!D$2:M$2) +  SUMPRODUCT(--(NOT(ISBLANK('0₦'!Q7:T7))), '0₦'!Q$2:T$2)</f>
        <v/>
      </c>
      <c r="BD7" s="250">
        <f t="array" ref="BD7">SUMPRODUCT(--(NOT(ISBLANK('0₦'!N7:P7))),'0₦'!N$2:P$2)+'0₦'!AY7</f>
        <v/>
      </c>
      <c r="BE7" s="79">
        <f t="array" ref="BE7">SUMPRODUCT(--(NOT(ISBLANK('0₦'!AA7:AC7))),'0₦'!AA$2:AC$2) + BF7</f>
        <v/>
      </c>
      <c r="BF7" s="79" t="n"/>
      <c r="BG7" s="79">
        <f t="array" ref="BG7">SUMPRODUCT(--(NOT(ISBLANK('0₦'!U7:Z7))), '0₦'!U$2:Z$2)</f>
        <v/>
      </c>
      <c r="BH7" s="79" t="n"/>
      <c r="BI7" s="79">
        <f>SUM(BG7:BH7)</f>
        <v/>
      </c>
      <c r="BJ7" s="79" t="n"/>
      <c r="BK7" s="79" t="n"/>
      <c r="BL7" s="79" t="n"/>
      <c r="BM7" s="79" t="n"/>
      <c r="BN7" s="79" t="n"/>
      <c r="BO7" s="79" t="n"/>
      <c r="BP7" s="79" t="n"/>
      <c r="BQ7" s="79" t="n"/>
      <c r="BR7" s="79" t="n"/>
      <c r="BS7" s="79" t="n"/>
      <c r="BT7" s="79" t="n"/>
      <c r="BU7" s="79" t="n"/>
      <c r="BV7" s="79" t="n"/>
      <c r="BW7" s="79" t="n"/>
      <c r="BX7" s="79" t="n"/>
      <c r="BY7" s="79" t="n"/>
      <c r="BZ7" s="79" t="n"/>
      <c r="CA7" s="79" t="n"/>
    </row>
    <row r="8">
      <c r="A8" s="551" t="n"/>
      <c r="B8" s="150" t="inlineStr">
        <is>
          <t>W</t>
        </is>
      </c>
      <c r="C8" s="550">
        <f>C7+1</f>
        <v/>
      </c>
      <c r="D8" s="450" t="n">
        <v>523</v>
      </c>
      <c r="E8" s="450" t="n">
        <v>0</v>
      </c>
      <c r="F8" s="450" t="n">
        <v>3</v>
      </c>
      <c r="G8" s="216" t="n">
        <v>12</v>
      </c>
      <c r="H8" s="57" t="n">
        <v>1</v>
      </c>
      <c r="I8" s="450" t="n">
        <v>1</v>
      </c>
      <c r="J8" s="450" t="n">
        <v>1</v>
      </c>
      <c r="K8" s="450" t="n">
        <v>4</v>
      </c>
      <c r="L8" s="450" t="n">
        <v>30</v>
      </c>
      <c r="M8" s="450" t="n">
        <v>3</v>
      </c>
      <c r="N8" s="450" t="n">
        <v>12</v>
      </c>
      <c r="O8" s="216" t="n"/>
      <c r="P8" s="450" t="n">
        <v>30</v>
      </c>
      <c r="Q8" s="450" t="n">
        <v>3</v>
      </c>
      <c r="R8" s="450" t="n">
        <v>4</v>
      </c>
      <c r="S8" s="450" t="n">
        <v>5</v>
      </c>
      <c r="T8" s="450" t="n">
        <v>3</v>
      </c>
      <c r="U8" s="450" t="n">
        <v>3</v>
      </c>
      <c r="V8" s="450" t="n">
        <v>4</v>
      </c>
      <c r="W8" s="450" t="n">
        <v>15</v>
      </c>
      <c r="X8" s="20" t="n"/>
      <c r="Y8" s="450" t="n">
        <v>10</v>
      </c>
      <c r="Z8" s="450" t="n">
        <v>3</v>
      </c>
      <c r="AA8" s="450" t="n">
        <v>4</v>
      </c>
      <c r="AB8" s="450" t="n">
        <v>15</v>
      </c>
      <c r="AC8" s="450" t="n">
        <v>1</v>
      </c>
      <c r="AD8" s="450" t="n">
        <v>5</v>
      </c>
      <c r="AE8" s="450" t="n">
        <v>1</v>
      </c>
      <c r="AF8" s="450" t="n">
        <v>2102</v>
      </c>
      <c r="AH8" s="450" t="n">
        <v>0</v>
      </c>
      <c r="AI8" s="450" t="n">
        <v>0</v>
      </c>
      <c r="AJ8" s="450" t="n">
        <v>5</v>
      </c>
      <c r="AK8" s="450" t="n">
        <v>30</v>
      </c>
      <c r="AL8" s="450" t="n">
        <v>1</v>
      </c>
      <c r="AM8" s="450" t="n">
        <v>60</v>
      </c>
      <c r="AN8" s="85" t="n">
        <v>0</v>
      </c>
      <c r="AO8" s="117" t="n">
        <v>18</v>
      </c>
      <c r="AP8" s="85" t="n">
        <v>0</v>
      </c>
      <c r="AQ8" s="12" t="n"/>
      <c r="AR8" s="216" t="n">
        <v>20</v>
      </c>
      <c r="AS8" s="216">
        <f>P8</f>
        <v/>
      </c>
      <c r="AT8" s="215" t="n">
        <v>10</v>
      </c>
      <c r="AU8" s="215" t="n">
        <v>12</v>
      </c>
      <c r="AW8" s="2">
        <f>SUM(AH8:AI8,AJ8/2,AK8:AL8)</f>
        <v/>
      </c>
      <c r="AX8" s="2">
        <f>AM8*0.5+SUM(AN8:AP8)</f>
        <v/>
      </c>
      <c r="AY8" s="39">
        <f>SUM(-AR8+AS8*0.01+AT8*0.5+AU8)</f>
        <v/>
      </c>
      <c r="AZ8" s="39">
        <f>'0分'!AF5</f>
        <v/>
      </c>
      <c r="BA8" s="39">
        <f>SUM(AY8,AX8,AW8)</f>
        <v/>
      </c>
      <c r="BB8" s="250" t="n"/>
      <c r="BC8" s="79">
        <f t="array" ref="BC8">SUMPRODUCT(--(NOT(ISBLANK('0₦'!D8:M8))), '0₦'!D$2:M$2) +  SUMPRODUCT(--(NOT(ISBLANK('0₦'!Q8:T8))), '0₦'!Q$2:T$2)</f>
        <v/>
      </c>
      <c r="BD8" s="250">
        <f t="array" ref="BD8">SUMPRODUCT(--(NOT(ISBLANK('0₦'!N8:P8))),'0₦'!N$2:P$2)+'0₦'!AY8</f>
        <v/>
      </c>
      <c r="BE8" s="79">
        <f t="array" ref="BE8">SUMPRODUCT(--(NOT(ISBLANK('0₦'!AA8:AC8))),'0₦'!AA$2:AC$2) + BF8</f>
        <v/>
      </c>
      <c r="BF8" s="79" t="n"/>
      <c r="BG8" s="79">
        <f t="array" ref="BG8">SUMPRODUCT(--(NOT(ISBLANK('0₦'!U8:Z8))), '0₦'!U$2:Z$2)</f>
        <v/>
      </c>
      <c r="BH8" s="79" t="n"/>
      <c r="BI8" s="79">
        <f>SUM(BG8:BH8)</f>
        <v/>
      </c>
      <c r="BJ8" s="79" t="n"/>
      <c r="BK8" s="79" t="n"/>
      <c r="BL8" s="79" t="n"/>
      <c r="BM8" s="79" t="n"/>
      <c r="BN8" s="79" t="n"/>
      <c r="BO8" s="79" t="n"/>
      <c r="BP8" s="79" t="n"/>
      <c r="BQ8" s="79" t="n"/>
      <c r="BR8" s="79" t="n"/>
      <c r="BS8" s="79" t="n"/>
      <c r="BT8" s="79" t="n"/>
      <c r="BU8" s="79" t="n"/>
      <c r="BV8" s="79" t="n"/>
      <c r="BW8" s="79" t="n"/>
      <c r="BX8" s="79" t="n"/>
      <c r="BY8" s="79" t="n"/>
      <c r="BZ8" s="79" t="n"/>
      <c r="CA8" s="79" t="n"/>
    </row>
    <row r="9">
      <c r="A9" s="551" t="n"/>
      <c r="B9" s="150" t="inlineStr">
        <is>
          <t>Th</t>
        </is>
      </c>
      <c r="C9" s="550">
        <f>C8+1</f>
        <v/>
      </c>
      <c r="D9" s="450" t="n">
        <v>490</v>
      </c>
      <c r="E9" s="450" t="n">
        <v>0</v>
      </c>
      <c r="F9" s="450" t="n">
        <v>5</v>
      </c>
      <c r="G9" s="216" t="n">
        <v>15</v>
      </c>
      <c r="H9" s="57" t="n">
        <v>2</v>
      </c>
      <c r="I9" s="450" t="n">
        <v>1</v>
      </c>
      <c r="J9" s="450" t="n">
        <v>1</v>
      </c>
      <c r="K9" s="450" t="n">
        <v>3</v>
      </c>
      <c r="L9" s="450" t="n">
        <v>15</v>
      </c>
      <c r="M9" s="450" t="n">
        <v>2</v>
      </c>
      <c r="N9" s="450" t="n">
        <v>10</v>
      </c>
      <c r="O9" s="216" t="n"/>
      <c r="P9" s="450" t="n">
        <v>30</v>
      </c>
      <c r="Q9" s="450" t="n">
        <v>2</v>
      </c>
      <c r="R9" s="450" t="n">
        <v>1</v>
      </c>
      <c r="S9" s="38" t="n">
        <v>6</v>
      </c>
      <c r="T9" s="450" t="n">
        <v>3</v>
      </c>
      <c r="U9" s="450" t="n">
        <v>2</v>
      </c>
      <c r="V9" s="450" t="n">
        <v>26</v>
      </c>
      <c r="W9" s="450" t="n">
        <v>15</v>
      </c>
      <c r="X9" s="20" t="n"/>
      <c r="Y9" s="450" t="n">
        <v>15</v>
      </c>
      <c r="Z9" s="450" t="n">
        <v>2</v>
      </c>
      <c r="AA9" s="450" t="n">
        <v>1</v>
      </c>
      <c r="AB9" s="450" t="n">
        <v>5</v>
      </c>
      <c r="AC9" s="450" t="n">
        <v>1</v>
      </c>
      <c r="AD9" s="450" t="n">
        <v>22</v>
      </c>
      <c r="AE9" s="450" t="n">
        <v>1</v>
      </c>
      <c r="AF9" s="450" t="n">
        <v>1341</v>
      </c>
      <c r="AG9" s="450" t="n">
        <v>1344</v>
      </c>
      <c r="AH9" s="450" t="n">
        <v>1</v>
      </c>
      <c r="AI9" s="450" t="n">
        <v>0</v>
      </c>
      <c r="AJ9" s="450" t="n">
        <v>0</v>
      </c>
      <c r="AK9" s="38" t="n">
        <v>35</v>
      </c>
      <c r="AL9" s="450" t="n">
        <v>1</v>
      </c>
      <c r="AM9" s="450" t="n">
        <v>47</v>
      </c>
      <c r="AN9" s="85" t="n">
        <v>0</v>
      </c>
      <c r="AO9" s="117" t="n">
        <v>15</v>
      </c>
      <c r="AP9" s="85" t="n">
        <v>0</v>
      </c>
      <c r="AQ9" s="12" t="n"/>
      <c r="AR9" s="216" t="n">
        <v>-1</v>
      </c>
      <c r="AS9" s="216" t="n">
        <v>90</v>
      </c>
      <c r="AT9" s="215" t="n">
        <v>20</v>
      </c>
      <c r="AU9" s="215" t="n">
        <v>10</v>
      </c>
      <c r="AW9" s="2">
        <f>SUM(AH9:AI9,AJ9/2,AK9:AL9)</f>
        <v/>
      </c>
      <c r="AX9" s="2">
        <f>AM9*0.5+SUM(AN9:AP9)</f>
        <v/>
      </c>
      <c r="AY9" s="39">
        <f>SUM(-AR9+AS9*0.01+AT9*0.5+AU9)</f>
        <v/>
      </c>
      <c r="AZ9" s="39">
        <f>'0分'!AF6</f>
        <v/>
      </c>
      <c r="BA9" s="39">
        <f>SUM(AY9,AX9,AW9)</f>
        <v/>
      </c>
      <c r="BB9" s="250" t="n"/>
      <c r="BC9" s="79">
        <f t="array" ref="BC9">SUMPRODUCT(--(NOT(ISBLANK('0₦'!D9:M9))), '0₦'!D$2:M$2) +  SUMPRODUCT(--(NOT(ISBLANK('0₦'!Q9:T9))), '0₦'!Q$2:T$2)</f>
        <v/>
      </c>
      <c r="BD9" s="250">
        <f t="array" ref="BD9">SUMPRODUCT(--(NOT(ISBLANK('0₦'!N9:P9))),'0₦'!N$2:P$2)+'0₦'!AY9</f>
        <v/>
      </c>
      <c r="BE9" s="79">
        <f t="array" ref="BE9">SUMPRODUCT(--(NOT(ISBLANK('0₦'!AA9:AC9))),'0₦'!AA$2:AC$2) + BF9</f>
        <v/>
      </c>
      <c r="BF9" s="79" t="n"/>
      <c r="BG9" s="79">
        <f t="array" ref="BG9">SUMPRODUCT(--(NOT(ISBLANK('0₦'!U9:Z9))), '0₦'!U$2:Z$2)</f>
        <v/>
      </c>
      <c r="BH9" s="79" t="n"/>
      <c r="BI9" s="79">
        <f>SUM(BG9:BH9)</f>
        <v/>
      </c>
      <c r="BJ9" s="79" t="n"/>
      <c r="BK9" s="79" t="n"/>
      <c r="BL9" s="79" t="n"/>
      <c r="BM9" s="79" t="n"/>
      <c r="BN9" s="79" t="n"/>
      <c r="BO9" s="79" t="n"/>
      <c r="BP9" s="79" t="n"/>
      <c r="BQ9" s="79" t="n"/>
      <c r="BR9" s="79" t="n"/>
      <c r="BS9" s="79" t="n"/>
      <c r="BT9" s="79" t="n"/>
      <c r="BU9" s="79" t="n"/>
      <c r="BV9" s="79" t="n"/>
      <c r="BW9" s="79" t="n"/>
      <c r="BX9" s="79" t="n"/>
      <c r="BY9" s="79" t="n"/>
      <c r="BZ9" s="79" t="n"/>
      <c r="CA9" s="79" t="n"/>
    </row>
    <row r="10" ht="17.1" customHeight="1" s="37">
      <c r="A10" s="551" t="n"/>
      <c r="B10" s="150" t="inlineStr">
        <is>
          <t>F</t>
        </is>
      </c>
      <c r="C10" s="550">
        <f>C9+1</f>
        <v/>
      </c>
      <c r="D10" s="450" t="n">
        <v>510</v>
      </c>
      <c r="E10" s="450" t="n">
        <v>0</v>
      </c>
      <c r="F10" s="450" t="n">
        <v>23</v>
      </c>
      <c r="G10" s="216" t="n">
        <v>15</v>
      </c>
      <c r="H10" s="57" t="n">
        <v>1</v>
      </c>
      <c r="I10" s="450" t="n">
        <v>1</v>
      </c>
      <c r="J10" s="450" t="n">
        <v>1</v>
      </c>
      <c r="K10" s="450" t="n">
        <v>4</v>
      </c>
      <c r="L10" s="450" t="n">
        <v>15</v>
      </c>
      <c r="M10" s="450" t="n">
        <v>3</v>
      </c>
      <c r="N10" s="38" t="n">
        <v>12</v>
      </c>
      <c r="O10" s="216" t="n"/>
      <c r="P10" s="450" t="n">
        <v>30</v>
      </c>
      <c r="Q10" s="450" t="n">
        <v>4</v>
      </c>
      <c r="R10" s="450" t="n">
        <v>1</v>
      </c>
      <c r="S10" s="38" t="n">
        <v>4</v>
      </c>
      <c r="T10" s="450" t="n">
        <v>4</v>
      </c>
      <c r="U10" s="450" t="n">
        <v>2</v>
      </c>
      <c r="V10" s="450" t="n">
        <v>6</v>
      </c>
      <c r="W10" s="450" t="n">
        <v>20</v>
      </c>
      <c r="X10" s="20" t="n"/>
      <c r="Y10" s="450" t="n">
        <v>10</v>
      </c>
      <c r="Z10" s="450" t="n">
        <v>1</v>
      </c>
      <c r="AA10" s="450" t="n">
        <v>3</v>
      </c>
      <c r="AB10" s="450" t="n">
        <v>15</v>
      </c>
      <c r="AC10" s="450" t="n">
        <v>3</v>
      </c>
      <c r="AD10" s="450" t="n">
        <v>25</v>
      </c>
      <c r="AE10" s="450" t="n">
        <v>1</v>
      </c>
      <c r="AF10" s="450" t="n">
        <v>901</v>
      </c>
      <c r="AG10" s="450" t="n">
        <v>2216</v>
      </c>
      <c r="AH10" s="450" t="n">
        <v>0</v>
      </c>
      <c r="AI10" s="450">
        <f>70+30+15+10+5+5</f>
        <v/>
      </c>
      <c r="AJ10" s="450" t="n">
        <v>45</v>
      </c>
      <c r="AK10" s="450" t="n">
        <v>35</v>
      </c>
      <c r="AL10" s="450" t="n">
        <v>1</v>
      </c>
      <c r="AM10" s="38" t="n">
        <v>67</v>
      </c>
      <c r="AN10" s="85" t="n">
        <v>15</v>
      </c>
      <c r="AO10" s="335" t="n">
        <v>16</v>
      </c>
      <c r="AP10" s="85">
        <f>18+22</f>
        <v/>
      </c>
      <c r="AQ10" s="12" t="n"/>
      <c r="AR10" s="216" t="n">
        <v>2</v>
      </c>
      <c r="AS10" s="215" t="n">
        <v>30</v>
      </c>
      <c r="AT10" s="215" t="n">
        <v>35</v>
      </c>
      <c r="AU10" s="215" t="n">
        <v>12</v>
      </c>
      <c r="AW10" s="2">
        <f>SUM(AH10:AI10,AJ10/2,AK10:AL10)</f>
        <v/>
      </c>
      <c r="AX10" s="2">
        <f>AM10*0.5+SUM(AN10:AP10)</f>
        <v/>
      </c>
      <c r="AY10" s="39">
        <f>SUM(-AR10+AS10*0.01+AT10*0.5+AU10)</f>
        <v/>
      </c>
      <c r="AZ10" s="39">
        <f>'0分'!AF7</f>
        <v/>
      </c>
      <c r="BA10" s="39">
        <f>SUM(AY10,AX10,AW10)</f>
        <v/>
      </c>
      <c r="BB10" s="250" t="n"/>
      <c r="BC10" s="79">
        <f t="array" ref="BC10">SUMPRODUCT(--(NOT(ISBLANK('0₦'!D10:M10))), '0₦'!D$2:M$2) +  SUMPRODUCT(--(NOT(ISBLANK('0₦'!Q10:T10))), '0₦'!Q$2:T$2)</f>
        <v/>
      </c>
      <c r="BD10" s="250">
        <f t="array" ref="BD10">SUMPRODUCT(--(NOT(ISBLANK('0₦'!N10:P10))),'0₦'!N$2:P$2)+'0₦'!AY10</f>
        <v/>
      </c>
      <c r="BE10" s="79">
        <f t="array" ref="BE10">SUMPRODUCT(--(NOT(ISBLANK('0₦'!AA10:AC10))),'0₦'!AA$2:AC$2) + BF10</f>
        <v/>
      </c>
      <c r="BF10" s="79" t="n"/>
      <c r="BG10" s="79">
        <f t="array" ref="BG10">SUMPRODUCT(--(NOT(ISBLANK('0₦'!U10:Z10))), '0₦'!U$2:Z$2)</f>
        <v/>
      </c>
      <c r="BH10" s="79" t="n"/>
      <c r="BI10" s="79">
        <f>SUM(BG10:BH10)</f>
        <v/>
      </c>
      <c r="BJ10" s="79" t="n"/>
      <c r="BK10" s="79" t="n"/>
      <c r="BL10" s="79" t="n"/>
      <c r="BM10" s="79" t="n"/>
      <c r="BN10" s="79" t="n"/>
      <c r="BO10" s="79" t="n"/>
      <c r="BP10" s="79" t="n"/>
      <c r="BQ10" s="79" t="n"/>
      <c r="BR10" s="79" t="n"/>
      <c r="BS10" s="79" t="n"/>
      <c r="BT10" s="79" t="n"/>
      <c r="BU10" s="79" t="n"/>
      <c r="BV10" s="79" t="n"/>
      <c r="BW10" s="79" t="n"/>
      <c r="BX10" s="79" t="n"/>
      <c r="BY10" s="79" t="n"/>
      <c r="BZ10" s="79" t="n"/>
      <c r="CA10" s="79" t="n"/>
    </row>
    <row r="11">
      <c r="A11" s="552" t="n"/>
      <c r="B11" s="150" t="inlineStr">
        <is>
          <t>S</t>
        </is>
      </c>
      <c r="C11" s="550">
        <f>C10+1</f>
        <v/>
      </c>
      <c r="D11" s="450" t="n">
        <v>422</v>
      </c>
      <c r="E11" s="450" t="n">
        <v>0</v>
      </c>
      <c r="F11" s="450" t="n">
        <v>15</v>
      </c>
      <c r="G11" s="216" t="n">
        <v>15</v>
      </c>
      <c r="H11" s="57" t="n">
        <v>1</v>
      </c>
      <c r="I11" s="450" t="n">
        <v>1</v>
      </c>
      <c r="J11" s="450" t="n">
        <v>1</v>
      </c>
      <c r="K11" s="450" t="n">
        <v>3</v>
      </c>
      <c r="L11" s="450" t="n">
        <v>12</v>
      </c>
      <c r="M11" s="450" t="n">
        <v>5</v>
      </c>
      <c r="N11" s="450" t="n">
        <v>13</v>
      </c>
      <c r="O11" s="216" t="n"/>
      <c r="P11" s="450" t="n">
        <v>20</v>
      </c>
      <c r="Q11" s="450" t="n">
        <v>7</v>
      </c>
      <c r="R11" s="450" t="n">
        <v>1</v>
      </c>
      <c r="S11" s="450" t="n">
        <v>9</v>
      </c>
      <c r="T11" s="450" t="n">
        <v>5</v>
      </c>
      <c r="U11" s="450" t="n">
        <v>3</v>
      </c>
      <c r="V11" s="450" t="n">
        <v>2</v>
      </c>
      <c r="W11" s="450" t="n">
        <v>2</v>
      </c>
      <c r="X11" s="20" t="n"/>
      <c r="Y11" s="450" t="n">
        <v>10</v>
      </c>
      <c r="Z11" s="450" t="n">
        <v>1</v>
      </c>
      <c r="AA11" s="450" t="n">
        <v>1</v>
      </c>
      <c r="AB11" s="450" t="n">
        <v>9</v>
      </c>
      <c r="AC11" s="450" t="n">
        <v>1</v>
      </c>
      <c r="AD11" s="38" t="n">
        <v>5</v>
      </c>
      <c r="AE11" s="38" t="n">
        <v>7</v>
      </c>
      <c r="AF11" s="450" t="n">
        <v>757</v>
      </c>
      <c r="AG11" s="450" t="n">
        <v>1537</v>
      </c>
      <c r="AH11" s="450" t="n">
        <v>0</v>
      </c>
      <c r="AI11" s="38">
        <f>23+10 + 18 + 5 + 17 + 35 + 10 + 61</f>
        <v/>
      </c>
      <c r="AJ11" s="38" t="n">
        <v>200</v>
      </c>
      <c r="AK11" s="38" t="n">
        <v>54</v>
      </c>
      <c r="AL11" s="450" t="n">
        <v>1</v>
      </c>
      <c r="AM11" s="38" t="n">
        <v>81</v>
      </c>
      <c r="AN11" s="251" t="n">
        <v>0</v>
      </c>
      <c r="AO11" s="38" t="n">
        <v>0</v>
      </c>
      <c r="AP11" s="251" t="n">
        <v>21</v>
      </c>
      <c r="AQ11" s="12" t="n"/>
      <c r="AR11" s="216" t="n">
        <v>-1</v>
      </c>
      <c r="AS11" s="216" t="n">
        <v>30</v>
      </c>
      <c r="AT11" s="216" t="n">
        <v>5</v>
      </c>
      <c r="AU11" s="216" t="n">
        <v>13</v>
      </c>
      <c r="AW11" s="2">
        <f>SUM(AH11:AI11,AJ11/2,AK11:AL11)</f>
        <v/>
      </c>
      <c r="AX11" s="2">
        <f>AM11*0.5+SUM(AN11:AP11)</f>
        <v/>
      </c>
      <c r="AY11" s="39">
        <f>SUM(-AR11+AS11*0.01+AT11*0.5+AU11)</f>
        <v/>
      </c>
      <c r="AZ11" s="39">
        <f>'0分'!AF8</f>
        <v/>
      </c>
      <c r="BA11" s="39">
        <f>SUM(AY11,AX11,AW11)</f>
        <v/>
      </c>
      <c r="BB11" s="250" t="n"/>
      <c r="BC11" s="79">
        <f t="array" ref="BC11">SUMPRODUCT(--(NOT(ISBLANK('0₦'!D11:M11))), '0₦'!D$2:M$2) +  SUMPRODUCT(--(NOT(ISBLANK('0₦'!Q11:T11))), '0₦'!Q$2:T$2)</f>
        <v/>
      </c>
      <c r="BD11" s="250">
        <f t="array" ref="BD11">SUMPRODUCT(--(NOT(ISBLANK('0₦'!N11:P11))),'0₦'!N$2:P$2)+'0₦'!AY11</f>
        <v/>
      </c>
      <c r="BE11" s="79">
        <f t="array" ref="BE11">SUMPRODUCT(--(NOT(ISBLANK('0₦'!AA11:AC11))),'0₦'!AA$2:AC$2) + BF11</f>
        <v/>
      </c>
      <c r="BF11" s="79" t="n"/>
      <c r="BG11" s="79">
        <f t="array" ref="BG11">SUMPRODUCT(--(NOT(ISBLANK('0₦'!U11:Z11))), '0₦'!U$2:Z$2)</f>
        <v/>
      </c>
      <c r="BH11" s="79" t="n"/>
      <c r="BI11" s="79">
        <f>SUM(BG11:BH11)</f>
        <v/>
      </c>
      <c r="BJ11" s="79" t="n"/>
      <c r="BK11" s="79" t="n"/>
      <c r="BL11" s="79" t="n"/>
      <c r="BM11" s="79" t="n"/>
      <c r="BN11" s="79" t="n"/>
      <c r="BO11" s="79" t="n"/>
      <c r="BP11" s="79" t="n"/>
      <c r="BQ11" s="79" t="n"/>
      <c r="BR11" s="79" t="n"/>
      <c r="BS11" s="79" t="n"/>
      <c r="BT11" s="79" t="n"/>
      <c r="BU11" s="79" t="n"/>
      <c r="BV11" s="79" t="n"/>
      <c r="BW11" s="79" t="n"/>
      <c r="BX11" s="79" t="n"/>
      <c r="BY11" s="79" t="n"/>
      <c r="BZ11" s="79" t="n"/>
      <c r="CA11" s="79" t="n"/>
    </row>
    <row r="12">
      <c r="A12" s="462">
        <f>A5+0.1</f>
        <v/>
      </c>
      <c r="B12" s="150" t="inlineStr">
        <is>
          <t>S</t>
        </is>
      </c>
      <c r="C12" s="550">
        <f>C11+1</f>
        <v/>
      </c>
      <c r="D12" s="450" t="n">
        <v>505</v>
      </c>
      <c r="E12" s="450" t="n">
        <v>0</v>
      </c>
      <c r="F12" s="450" t="n">
        <v>3</v>
      </c>
      <c r="G12" s="216" t="n"/>
      <c r="H12" s="57" t="n">
        <v>1</v>
      </c>
      <c r="I12" s="450" t="n">
        <v>1</v>
      </c>
      <c r="J12" s="450" t="n">
        <v>1</v>
      </c>
      <c r="K12" s="450" t="n">
        <v>3</v>
      </c>
      <c r="L12" s="450" t="n">
        <v>15</v>
      </c>
      <c r="M12" s="450" t="n">
        <v>3</v>
      </c>
      <c r="N12" s="450" t="n">
        <v>11</v>
      </c>
      <c r="O12" s="216" t="n"/>
      <c r="P12" s="450" t="n">
        <v>30</v>
      </c>
      <c r="Q12" s="450" t="n">
        <v>3</v>
      </c>
      <c r="R12" s="450" t="n">
        <v>2</v>
      </c>
      <c r="S12" s="450" t="n">
        <v>3</v>
      </c>
      <c r="T12" s="450" t="n">
        <v>4</v>
      </c>
      <c r="U12" s="290" t="n">
        <v>10</v>
      </c>
      <c r="V12" s="450" t="n">
        <v>5</v>
      </c>
      <c r="W12" s="450" t="n">
        <v>3</v>
      </c>
      <c r="X12" s="20" t="n"/>
      <c r="Y12" s="450" t="n">
        <v>1</v>
      </c>
      <c r="Z12" s="450" t="n">
        <v>1</v>
      </c>
      <c r="AA12" s="450" t="n">
        <v>1</v>
      </c>
      <c r="AB12" s="450" t="n">
        <v>1</v>
      </c>
      <c r="AC12" s="450" t="n">
        <v>1</v>
      </c>
      <c r="AD12" s="450" t="n">
        <v>10</v>
      </c>
      <c r="AE12" s="450" t="n">
        <v>20</v>
      </c>
      <c r="AF12" s="450" t="n">
        <v>759</v>
      </c>
      <c r="AG12" s="450" t="n">
        <v>1315</v>
      </c>
      <c r="AH12" s="450" t="n">
        <v>0</v>
      </c>
      <c r="AI12" s="450">
        <f>70+33+24+10</f>
        <v/>
      </c>
      <c r="AJ12" s="450" t="n">
        <v>135</v>
      </c>
      <c r="AK12" s="450" t="n">
        <v>18</v>
      </c>
      <c r="AL12" s="450" t="n">
        <v>1</v>
      </c>
      <c r="AM12" s="450" t="n">
        <v>102</v>
      </c>
      <c r="AN12" s="45" t="n">
        <v>0</v>
      </c>
      <c r="AO12" s="450" t="n">
        <v>0</v>
      </c>
      <c r="AP12" s="45">
        <f>19+16</f>
        <v/>
      </c>
      <c r="AQ12" s="12" t="n"/>
      <c r="AR12" s="216" t="n">
        <v>-1</v>
      </c>
      <c r="AS12" s="214" t="n">
        <v>30</v>
      </c>
      <c r="AT12" s="216" t="n">
        <v>20</v>
      </c>
      <c r="AU12" s="216">
        <f>N12+O12</f>
        <v/>
      </c>
      <c r="AW12" s="2">
        <f>SUM(AH12:AI12,AJ12/2,AK12:AL12)</f>
        <v/>
      </c>
      <c r="AX12" s="2">
        <f>AM12*0.5+SUM(AN12:AP12)</f>
        <v/>
      </c>
      <c r="AY12" s="39">
        <f>SUM(-AR12+AS12*0.01+AT12*0.5+AU12)</f>
        <v/>
      </c>
      <c r="AZ12" s="39">
        <f>'0分'!AF9</f>
        <v/>
      </c>
      <c r="BA12" s="39">
        <f>SUM(AY12,AX12,AW12)</f>
        <v/>
      </c>
      <c r="BB12" s="250" t="n"/>
      <c r="BC12" s="79">
        <f t="array" ref="BC12">SUMPRODUCT(--(NOT(ISBLANK('0₦'!D12:M12))), '0₦'!D$2:M$2) +  SUMPRODUCT(--(NOT(ISBLANK('0₦'!Q12:T12))), '0₦'!Q$2:T$2)</f>
        <v/>
      </c>
      <c r="BD12" s="250">
        <f t="array" ref="BD12">SUMPRODUCT(--(NOT(ISBLANK('0₦'!N12:P12))),'0₦'!N$2:P$2)+'0₦'!AY12</f>
        <v/>
      </c>
      <c r="BE12" s="79">
        <f t="array" ref="BE12">SUMPRODUCT(--(NOT(ISBLANK('0₦'!AA12:AC12))),'0₦'!AA$2:AC$2) + BF12</f>
        <v/>
      </c>
      <c r="BF12" s="79" t="n"/>
      <c r="BG12" s="79">
        <f t="array" ref="BG12">SUMPRODUCT(--(NOT(ISBLANK('0₦'!U12:Z12))), '0₦'!U$2:Z$2)</f>
        <v/>
      </c>
      <c r="BH12" s="79" t="n"/>
      <c r="BI12" s="79">
        <f>SUM(BG12:BH12)</f>
        <v/>
      </c>
      <c r="BJ12" s="79" t="n"/>
      <c r="BK12" s="79" t="n"/>
      <c r="BL12" s="79" t="n"/>
      <c r="BM12" s="79" t="n"/>
      <c r="BN12" s="79" t="n"/>
      <c r="BO12" s="79" t="n"/>
      <c r="BP12" s="79" t="n"/>
      <c r="BQ12" s="79" t="n"/>
      <c r="BR12" s="79" t="n"/>
      <c r="BS12" s="79" t="n"/>
      <c r="BT12" s="79" t="n"/>
      <c r="BU12" s="79" t="n"/>
      <c r="BV12" s="79" t="n"/>
      <c r="BW12" s="79" t="n"/>
      <c r="BX12" s="79" t="n"/>
      <c r="BY12" s="79" t="n"/>
      <c r="BZ12" s="79" t="n"/>
      <c r="CA12" s="79" t="n"/>
    </row>
    <row r="13" ht="18" customHeight="1" s="37">
      <c r="A13" s="551" t="n"/>
      <c r="B13" s="150" t="inlineStr">
        <is>
          <t>M</t>
        </is>
      </c>
      <c r="C13" s="550">
        <f>C12+1</f>
        <v/>
      </c>
      <c r="D13" s="450" t="n">
        <v>510</v>
      </c>
      <c r="E13" s="450" t="n">
        <v>0</v>
      </c>
      <c r="F13" s="450" t="n">
        <v>2</v>
      </c>
      <c r="G13" s="216" t="n">
        <v>12</v>
      </c>
      <c r="H13" s="57" t="n">
        <v>1</v>
      </c>
      <c r="I13" s="450" t="n">
        <v>1</v>
      </c>
      <c r="J13" s="450" t="n">
        <v>1</v>
      </c>
      <c r="K13" s="450" t="n">
        <v>3</v>
      </c>
      <c r="L13" s="450" t="n">
        <v>15</v>
      </c>
      <c r="M13" s="38" t="n">
        <v>3</v>
      </c>
      <c r="N13" s="450" t="n">
        <v>8</v>
      </c>
      <c r="O13" s="216" t="n"/>
      <c r="P13" s="450" t="n">
        <v>30</v>
      </c>
      <c r="Q13" s="38" t="n">
        <v>6</v>
      </c>
      <c r="R13" s="450" t="n">
        <v>1</v>
      </c>
      <c r="S13" s="450" t="n">
        <v>12</v>
      </c>
      <c r="T13" s="38" t="n">
        <v>5</v>
      </c>
      <c r="U13" s="450" t="n">
        <v>4</v>
      </c>
      <c r="V13" s="450" t="n">
        <v>2</v>
      </c>
      <c r="W13" s="450" t="n">
        <v>10</v>
      </c>
      <c r="X13" s="20" t="n"/>
      <c r="Y13" s="450" t="n">
        <v>15</v>
      </c>
      <c r="Z13" s="450" t="n">
        <v>1</v>
      </c>
      <c r="AA13" s="450" t="n">
        <v>3</v>
      </c>
      <c r="AB13" s="450" t="n">
        <v>2</v>
      </c>
      <c r="AC13" s="450" t="n">
        <v>1</v>
      </c>
      <c r="AD13" s="450" t="n">
        <v>15</v>
      </c>
      <c r="AE13" s="450" t="n">
        <v>43</v>
      </c>
      <c r="AF13" s="450" t="n">
        <v>811</v>
      </c>
      <c r="AG13" s="450" t="n">
        <v>1900</v>
      </c>
      <c r="AH13" s="450" t="n">
        <v>0</v>
      </c>
      <c r="AI13" s="450">
        <f>63+10+30+10</f>
        <v/>
      </c>
      <c r="AJ13" s="450" t="n">
        <v>0</v>
      </c>
      <c r="AK13" s="450" t="n">
        <v>24</v>
      </c>
      <c r="AL13" s="450" t="n">
        <v>1</v>
      </c>
      <c r="AM13" s="38" t="n">
        <v>88</v>
      </c>
      <c r="AN13" s="251" t="n">
        <v>0</v>
      </c>
      <c r="AO13" s="38" t="n">
        <v>0</v>
      </c>
      <c r="AP13" s="251" t="n">
        <v>0</v>
      </c>
      <c r="AQ13" s="12" t="n"/>
      <c r="AR13" s="216" t="n">
        <v>20</v>
      </c>
      <c r="AS13" s="214" t="n">
        <v>150</v>
      </c>
      <c r="AT13" s="214" t="n">
        <v>30</v>
      </c>
      <c r="AU13" s="216" t="n">
        <v>16</v>
      </c>
      <c r="AW13" s="2">
        <f>SUM(AH13:AI13,AJ13/2,AK13:AL13)</f>
        <v/>
      </c>
      <c r="AX13" s="2">
        <f>AM13*0.5+SUM(AN13:AP13)</f>
        <v/>
      </c>
      <c r="AY13" s="39">
        <f>SUM(-AR13+AS13*0.01+AT13*0.5+AU13)</f>
        <v/>
      </c>
      <c r="AZ13" s="39">
        <f>'0分'!AF10</f>
        <v/>
      </c>
      <c r="BA13" s="39">
        <f>SUM(AY13,AX13,AW13)</f>
        <v/>
      </c>
      <c r="BB13" s="250" t="n"/>
      <c r="BC13" s="79">
        <f t="array" ref="BC13">SUMPRODUCT(--(NOT(ISBLANK('0₦'!D13:M13))), '0₦'!D$2:M$2) +  SUMPRODUCT(--(NOT(ISBLANK('0₦'!Q13:T13))), '0₦'!Q$2:T$2)</f>
        <v/>
      </c>
      <c r="BD13" s="250">
        <f t="array" ref="BD13">SUMPRODUCT(--(NOT(ISBLANK('0₦'!N13:P13))),'0₦'!N$2:P$2)+'0₦'!AY13</f>
        <v/>
      </c>
      <c r="BE13" s="79">
        <f t="array" ref="BE13">SUMPRODUCT(--(NOT(ISBLANK('0₦'!AA13:AC13))),'0₦'!AA$2:AC$2) + BF13</f>
        <v/>
      </c>
      <c r="BF13" s="79" t="n"/>
      <c r="BG13" s="79">
        <f t="array" ref="BG13">SUMPRODUCT(--(NOT(ISBLANK('0₦'!U13:Z13))), '0₦'!U$2:Z$2)</f>
        <v/>
      </c>
      <c r="BH13" s="79" t="n"/>
      <c r="BI13" s="79">
        <f>SUM(BG13:BH13)</f>
        <v/>
      </c>
      <c r="BJ13" s="79" t="n"/>
      <c r="BK13" s="79" t="n"/>
      <c r="BL13" s="79" t="n"/>
      <c r="BM13" s="79" t="n"/>
      <c r="BN13" s="79" t="n"/>
      <c r="BO13" s="79" t="n"/>
      <c r="BP13" s="79" t="n"/>
      <c r="BQ13" s="79" t="n"/>
      <c r="BR13" s="79" t="n"/>
      <c r="BS13" s="79" t="n"/>
      <c r="BT13" s="79" t="n"/>
      <c r="BU13" s="79" t="n"/>
      <c r="BV13" s="79" t="n"/>
      <c r="BW13" s="79" t="n"/>
      <c r="BX13" s="79" t="n"/>
      <c r="BY13" s="79" t="n"/>
      <c r="BZ13" s="79" t="n"/>
      <c r="CA13" s="79" t="n"/>
    </row>
    <row r="14" ht="17.1" customHeight="1" s="37">
      <c r="A14" s="551" t="n"/>
      <c r="B14" s="150" t="inlineStr">
        <is>
          <t>T</t>
        </is>
      </c>
      <c r="C14" s="550">
        <f>C13+1</f>
        <v/>
      </c>
      <c r="D14" s="450" t="n">
        <v>570</v>
      </c>
      <c r="E14" s="450" t="n">
        <v>0</v>
      </c>
      <c r="F14" s="450" t="n">
        <v>2</v>
      </c>
      <c r="G14" s="216" t="n"/>
      <c r="H14" s="57" t="n">
        <v>1</v>
      </c>
      <c r="I14" s="450" t="n">
        <v>1</v>
      </c>
      <c r="J14" s="450" t="n">
        <v>1</v>
      </c>
      <c r="K14" s="450" t="n">
        <v>2</v>
      </c>
      <c r="L14" s="450" t="n">
        <v>15</v>
      </c>
      <c r="M14" s="450" t="n">
        <v>2</v>
      </c>
      <c r="N14" s="450" t="n">
        <v>20</v>
      </c>
      <c r="O14" s="214" t="n"/>
      <c r="P14" s="450" t="n">
        <v>60</v>
      </c>
      <c r="Q14" s="450" t="n">
        <v>4</v>
      </c>
      <c r="R14" s="450" t="n">
        <v>1</v>
      </c>
      <c r="S14" s="38" t="n">
        <v>12</v>
      </c>
      <c r="T14" s="450" t="n">
        <v>3</v>
      </c>
      <c r="U14" s="450" t="n">
        <v>6</v>
      </c>
      <c r="V14" s="450" t="n">
        <v>2</v>
      </c>
      <c r="W14" s="450" t="n">
        <v>5</v>
      </c>
      <c r="X14" s="20" t="n"/>
      <c r="Y14" s="450" t="n">
        <v>15</v>
      </c>
      <c r="Z14" s="450" t="n">
        <v>3</v>
      </c>
      <c r="AA14" s="450" t="n">
        <v>3</v>
      </c>
      <c r="AB14" s="450" t="n">
        <v>17</v>
      </c>
      <c r="AC14" s="450" t="n">
        <v>1</v>
      </c>
      <c r="AD14" s="450" t="n">
        <v>15</v>
      </c>
      <c r="AE14" s="450" t="n">
        <v>1</v>
      </c>
      <c r="AF14" s="450" t="n">
        <v>1223</v>
      </c>
      <c r="AG14" s="450" t="n">
        <v>1952</v>
      </c>
      <c r="AH14" s="450" t="n">
        <v>0</v>
      </c>
      <c r="AI14" s="450">
        <f>45+5 + 20 + 5 + 60 + 5</f>
        <v/>
      </c>
      <c r="AJ14" s="450" t="n">
        <v>45</v>
      </c>
      <c r="AK14" s="450">
        <f>15+60</f>
        <v/>
      </c>
      <c r="AL14" s="38" t="n">
        <v>1</v>
      </c>
      <c r="AM14" s="38" t="n">
        <v>60</v>
      </c>
      <c r="AN14" s="45" t="n">
        <v>0</v>
      </c>
      <c r="AO14" s="38" t="n">
        <v>0</v>
      </c>
      <c r="AP14" s="251" t="n">
        <v>0</v>
      </c>
      <c r="AQ14" s="12" t="n"/>
      <c r="AR14" s="216" t="n">
        <v>-1</v>
      </c>
      <c r="AS14" s="216" t="n">
        <v>30</v>
      </c>
      <c r="AT14" s="216" t="n">
        <v>5</v>
      </c>
      <c r="AU14" s="216">
        <f>N14+O14</f>
        <v/>
      </c>
      <c r="AW14" s="2">
        <f>SUM(AH14:AI14,AJ14/2,AK14:AL14)</f>
        <v/>
      </c>
      <c r="AX14" s="2">
        <f>AM14*0.5+SUM(AN14:AP14)</f>
        <v/>
      </c>
      <c r="AY14" s="39">
        <f>SUM(-AR14+AS14*0.01+AT14*0.5+AU14)</f>
        <v/>
      </c>
      <c r="AZ14" s="39">
        <f>'0分'!AF11</f>
        <v/>
      </c>
      <c r="BA14" s="39">
        <f>SUM(AY14,AX14,AW14)</f>
        <v/>
      </c>
      <c r="BB14" s="250" t="n"/>
      <c r="BC14" s="79">
        <f t="array" ref="BC14">SUMPRODUCT(--(NOT(ISBLANK('0₦'!D14:M14))), '0₦'!D$2:M$2) +  SUMPRODUCT(--(NOT(ISBLANK('0₦'!Q14:T14))), '0₦'!Q$2:T$2)</f>
        <v/>
      </c>
      <c r="BD14" s="250">
        <f t="array" ref="BD14">SUMPRODUCT(--(NOT(ISBLANK('0₦'!N14:P14))),'0₦'!N$2:P$2)+'0₦'!AY14</f>
        <v/>
      </c>
      <c r="BE14" s="79">
        <f t="array" ref="BE14">SUMPRODUCT(--(NOT(ISBLANK('0₦'!AA14:AC14))),'0₦'!AA$2:AC$2) + BF14</f>
        <v/>
      </c>
      <c r="BF14" s="79" t="n"/>
      <c r="BG14" s="79">
        <f t="array" ref="BG14">SUMPRODUCT(--(NOT(ISBLANK('0₦'!U14:Z14))), '0₦'!U$2:Z$2)</f>
        <v/>
      </c>
      <c r="BH14" s="79" t="n"/>
      <c r="BI14" s="79">
        <f>SUM(BG14:BH14)</f>
        <v/>
      </c>
      <c r="BJ14" s="79" t="n"/>
      <c r="BK14" s="79" t="n"/>
      <c r="BL14" s="79" t="n"/>
      <c r="BM14" s="79" t="n"/>
      <c r="BN14" s="79" t="n"/>
      <c r="BO14" s="79" t="n"/>
      <c r="BP14" s="79" t="n"/>
      <c r="BQ14" s="79" t="n"/>
      <c r="BR14" s="79" t="n"/>
      <c r="BS14" s="79" t="n"/>
      <c r="BT14" s="79" t="n"/>
      <c r="BU14" s="79" t="n"/>
      <c r="BV14" s="79" t="n"/>
      <c r="BW14" s="79" t="n"/>
      <c r="BX14" s="79" t="n"/>
      <c r="BY14" s="79" t="n"/>
      <c r="BZ14" s="79" t="n"/>
      <c r="CA14" s="79" t="n"/>
    </row>
    <row r="15" ht="17.1" customHeight="1" s="37">
      <c r="A15" s="551" t="n"/>
      <c r="B15" s="150" t="inlineStr">
        <is>
          <t>W</t>
        </is>
      </c>
      <c r="C15" s="550">
        <f>C14+1</f>
        <v/>
      </c>
      <c r="D15" s="38" t="n">
        <v>491</v>
      </c>
      <c r="E15" s="450" t="n">
        <v>2</v>
      </c>
      <c r="F15" s="450" t="n">
        <v>2</v>
      </c>
      <c r="G15" s="216" t="n"/>
      <c r="H15" s="57" t="n">
        <v>1</v>
      </c>
      <c r="I15" s="450" t="n">
        <v>1</v>
      </c>
      <c r="J15" s="450" t="n">
        <v>1</v>
      </c>
      <c r="K15" s="450" t="n">
        <v>3</v>
      </c>
      <c r="L15" s="450" t="n">
        <v>15</v>
      </c>
      <c r="M15" s="450" t="n">
        <v>3</v>
      </c>
      <c r="N15" s="450" t="n">
        <v>11</v>
      </c>
      <c r="O15" s="216" t="n"/>
      <c r="P15" s="450" t="n">
        <v>30</v>
      </c>
      <c r="Q15" s="450" t="n">
        <v>7</v>
      </c>
      <c r="R15" s="450" t="n">
        <v>2</v>
      </c>
      <c r="S15" s="450" t="n">
        <v>3</v>
      </c>
      <c r="T15" s="450" t="n">
        <v>1</v>
      </c>
      <c r="U15" s="450" t="n">
        <v>5</v>
      </c>
      <c r="V15" s="450" t="n">
        <v>6</v>
      </c>
      <c r="W15" s="450" t="n">
        <v>6</v>
      </c>
      <c r="X15" s="20" t="n"/>
      <c r="Y15" s="450" t="n">
        <v>15</v>
      </c>
      <c r="Z15" s="450" t="n">
        <v>1</v>
      </c>
      <c r="AA15" s="450" t="n">
        <v>1</v>
      </c>
      <c r="AB15" s="450" t="n">
        <v>3</v>
      </c>
      <c r="AC15" s="450" t="n">
        <v>4</v>
      </c>
      <c r="AD15" s="450" t="n">
        <v>13</v>
      </c>
      <c r="AE15" s="450" t="n">
        <v>1</v>
      </c>
      <c r="AF15" s="450" t="n">
        <v>805</v>
      </c>
      <c r="AG15" s="450" t="n">
        <v>1348</v>
      </c>
      <c r="AH15" s="450" t="n">
        <v>0</v>
      </c>
      <c r="AI15" s="450" t="n">
        <v>54</v>
      </c>
      <c r="AJ15" s="450" t="n">
        <v>0</v>
      </c>
      <c r="AK15" s="450">
        <f>25+30</f>
        <v/>
      </c>
      <c r="AL15" s="450" t="n">
        <v>1</v>
      </c>
      <c r="AM15" s="38" t="n">
        <v>63</v>
      </c>
      <c r="AN15" s="251" t="n">
        <v>59</v>
      </c>
      <c r="AO15" s="38">
        <f>13+8</f>
        <v/>
      </c>
      <c r="AP15" s="251">
        <f>12</f>
        <v/>
      </c>
      <c r="AQ15" s="12" t="n"/>
      <c r="AR15" s="216" t="n">
        <v>-1</v>
      </c>
      <c r="AS15" s="214" t="n">
        <v>30</v>
      </c>
      <c r="AT15" s="216" t="n">
        <v>15</v>
      </c>
      <c r="AU15" s="216" t="n">
        <v>26</v>
      </c>
      <c r="AW15" s="2">
        <f>SUM(AH15:AI15,AJ15/2,AK15:AL15)</f>
        <v/>
      </c>
      <c r="AX15" s="2">
        <f>AM15*0.5+SUM(AN15:AP15)</f>
        <v/>
      </c>
      <c r="AY15" s="39">
        <f>SUM(-AR15+AS15*0.01+AT15*0.5+AU15)</f>
        <v/>
      </c>
      <c r="AZ15" s="39">
        <f>'0分'!AF12</f>
        <v/>
      </c>
      <c r="BA15" s="39">
        <f>SUM(AY15,AX15,AW15)</f>
        <v/>
      </c>
      <c r="BB15" s="250" t="n"/>
      <c r="BC15" s="79">
        <f t="array" ref="BC15">SUMPRODUCT(--(NOT(ISBLANK('0₦'!D15:M15))), '0₦'!D$2:M$2) +  SUMPRODUCT(--(NOT(ISBLANK('0₦'!Q15:T15))), '0₦'!Q$2:T$2)</f>
        <v/>
      </c>
      <c r="BD15" s="250">
        <f t="array" ref="BD15">SUMPRODUCT(--(NOT(ISBLANK('0₦'!N15:P15))),'0₦'!N$2:P$2)+'0₦'!AY15</f>
        <v/>
      </c>
      <c r="BE15" s="79">
        <f t="array" ref="BE15">SUMPRODUCT(--(NOT(ISBLANK('0₦'!AA15:AC15))),'0₦'!AA$2:AC$2) + BF15</f>
        <v/>
      </c>
      <c r="BF15" s="79" t="n"/>
      <c r="BG15" s="79">
        <f t="array" ref="BG15">SUMPRODUCT(--(NOT(ISBLANK('0₦'!U15:Z15))), '0₦'!U$2:Z$2)</f>
        <v/>
      </c>
      <c r="BH15" s="79" t="n"/>
      <c r="BI15" s="79">
        <f>SUM(BG15:BH15)</f>
        <v/>
      </c>
      <c r="BJ15" s="79" t="n"/>
      <c r="BK15" s="79" t="n"/>
      <c r="BL15" s="79" t="n"/>
      <c r="BM15" s="79" t="n"/>
      <c r="BN15" s="79" t="n"/>
      <c r="BO15" s="79" t="n"/>
      <c r="BP15" s="79" t="n"/>
      <c r="BQ15" s="79" t="n"/>
      <c r="BR15" s="79" t="n"/>
      <c r="BS15" s="79" t="n"/>
      <c r="BT15" s="79" t="n"/>
      <c r="BU15" s="79" t="n"/>
      <c r="BV15" s="79" t="n"/>
      <c r="BW15" s="79" t="n"/>
      <c r="BX15" s="79" t="n"/>
      <c r="BY15" s="79" t="n"/>
      <c r="BZ15" s="79" t="n"/>
      <c r="CA15" s="79" t="n"/>
    </row>
    <row r="16">
      <c r="A16" s="551" t="n"/>
      <c r="B16" s="150" t="inlineStr">
        <is>
          <t>Th</t>
        </is>
      </c>
      <c r="C16" s="550">
        <f>C15+1</f>
        <v/>
      </c>
      <c r="D16" s="450" t="n">
        <v>431</v>
      </c>
      <c r="E16" s="450" t="n">
        <v>2</v>
      </c>
      <c r="F16" s="450" t="n">
        <v>14</v>
      </c>
      <c r="G16" s="216" t="n">
        <v>15</v>
      </c>
      <c r="H16" s="57" t="n">
        <v>1</v>
      </c>
      <c r="I16" s="450" t="n">
        <v>1</v>
      </c>
      <c r="J16" s="450" t="n">
        <v>1</v>
      </c>
      <c r="K16" s="38" t="n">
        <v>2</v>
      </c>
      <c r="L16" s="450" t="n">
        <v>20</v>
      </c>
      <c r="M16" s="450" t="n">
        <v>3</v>
      </c>
      <c r="N16" s="450" t="n">
        <v>20</v>
      </c>
      <c r="O16" s="216" t="n">
        <v>7</v>
      </c>
      <c r="P16" s="450" t="n">
        <v>30</v>
      </c>
      <c r="Q16" s="450" t="n">
        <v>5</v>
      </c>
      <c r="R16" s="450" t="n">
        <v>1</v>
      </c>
      <c r="S16" s="450" t="n">
        <v>4</v>
      </c>
      <c r="T16" s="450" t="n">
        <v>3</v>
      </c>
      <c r="U16" s="450" t="n">
        <v>3</v>
      </c>
      <c r="V16" s="450" t="n">
        <v>7</v>
      </c>
      <c r="W16" s="450" t="n">
        <v>10</v>
      </c>
      <c r="X16" s="20" t="n"/>
      <c r="Y16" s="450" t="n">
        <v>10</v>
      </c>
      <c r="Z16" s="450" t="n">
        <v>1</v>
      </c>
      <c r="AA16" s="450" t="n">
        <v>1</v>
      </c>
      <c r="AB16" s="450" t="n">
        <v>14</v>
      </c>
      <c r="AC16" s="450" t="n">
        <v>1</v>
      </c>
      <c r="AD16" s="450" t="n">
        <v>17</v>
      </c>
      <c r="AE16" s="450" t="n">
        <v>1</v>
      </c>
      <c r="AF16" s="450" t="n">
        <v>1400</v>
      </c>
      <c r="AH16" s="450" t="n">
        <v>0</v>
      </c>
      <c r="AI16" s="450" t="n">
        <v>0</v>
      </c>
      <c r="AJ16" s="450" t="n">
        <v>0</v>
      </c>
      <c r="AK16" s="38" t="n">
        <v>15</v>
      </c>
      <c r="AL16" s="450" t="n">
        <v>1</v>
      </c>
      <c r="AM16" s="38" t="n">
        <v>39</v>
      </c>
      <c r="AN16" s="45" t="n">
        <v>14</v>
      </c>
      <c r="AO16" s="450" t="n">
        <v>0</v>
      </c>
      <c r="AP16" s="45" t="n">
        <v>0</v>
      </c>
      <c r="AQ16" s="12" t="n"/>
      <c r="AR16" s="214" t="n">
        <v>65</v>
      </c>
      <c r="AS16" s="216" t="n">
        <v>25</v>
      </c>
      <c r="AT16" s="216" t="n">
        <v>30</v>
      </c>
      <c r="AU16" s="216">
        <f>N16+O16-14</f>
        <v/>
      </c>
      <c r="AW16" s="2">
        <f>SUM(AH16:AI16,AJ16/2,AK16:AL16)</f>
        <v/>
      </c>
      <c r="AX16" s="2">
        <f>AM16*0.5+SUM(AN16:AP16)</f>
        <v/>
      </c>
      <c r="AY16" s="39">
        <f>SUM(-AR16+AS16*0.01+AT16*0.5+AU16)</f>
        <v/>
      </c>
      <c r="AZ16" s="39">
        <f>'0分'!AF13</f>
        <v/>
      </c>
      <c r="BA16" s="39">
        <f>SUM(AY16,AX16,AW16)</f>
        <v/>
      </c>
      <c r="BB16" s="250" t="n"/>
      <c r="BC16" s="79">
        <f t="array" ref="BC16">SUMPRODUCT(--(NOT(ISBLANK('0₦'!D16:M16))), '0₦'!D$2:M$2) +  SUMPRODUCT(--(NOT(ISBLANK('0₦'!Q16:T16))), '0₦'!Q$2:T$2)</f>
        <v/>
      </c>
      <c r="BD16" s="250">
        <f t="array" ref="BD16">SUMPRODUCT(--(NOT(ISBLANK('0₦'!N16:P16))),'0₦'!N$2:P$2)+'0₦'!AY16</f>
        <v/>
      </c>
      <c r="BE16" s="79">
        <f t="array" ref="BE16">SUMPRODUCT(--(NOT(ISBLANK('0₦'!AA16:AC16))),'0₦'!AA$2:AC$2) + BF16</f>
        <v/>
      </c>
      <c r="BF16" s="79" t="n"/>
      <c r="BG16" s="79">
        <f t="array" ref="BG16">SUMPRODUCT(--(NOT(ISBLANK('0₦'!U16:Z16))), '0₦'!U$2:Z$2)</f>
        <v/>
      </c>
      <c r="BH16" s="79" t="n"/>
      <c r="BI16" s="79">
        <f>SUM(BG16:BH16)</f>
        <v/>
      </c>
      <c r="BJ16" s="79" t="n"/>
      <c r="BK16" s="79" t="n"/>
      <c r="BL16" s="79" t="n"/>
      <c r="BM16" s="79" t="n"/>
      <c r="BN16" s="79" t="n"/>
      <c r="BO16" s="79" t="n"/>
      <c r="BP16" s="79" t="n"/>
      <c r="BQ16" s="79" t="n"/>
      <c r="BR16" s="79" t="n"/>
      <c r="BS16" s="79" t="n"/>
      <c r="BT16" s="79" t="n"/>
      <c r="BU16" s="79" t="n"/>
      <c r="BV16" s="79" t="n"/>
      <c r="BW16" s="79" t="n"/>
      <c r="BX16" s="79" t="n"/>
      <c r="BY16" s="79" t="n"/>
      <c r="BZ16" s="79" t="n"/>
      <c r="CA16" s="79" t="n"/>
    </row>
    <row r="17" ht="17.1" customHeight="1" s="37">
      <c r="A17" s="551" t="n"/>
      <c r="B17" s="150" t="inlineStr">
        <is>
          <t>F</t>
        </is>
      </c>
      <c r="C17" s="550">
        <f>C16+1</f>
        <v/>
      </c>
      <c r="D17" s="450" t="n">
        <v>475</v>
      </c>
      <c r="E17" s="450" t="n">
        <v>2</v>
      </c>
      <c r="F17" s="450" t="n">
        <v>10</v>
      </c>
      <c r="G17" s="216" t="n">
        <v>15</v>
      </c>
      <c r="H17" s="57" t="n">
        <v>1</v>
      </c>
      <c r="I17" s="450" t="n">
        <v>1</v>
      </c>
      <c r="J17" s="450" t="n">
        <v>1</v>
      </c>
      <c r="K17" s="450" t="n">
        <v>3</v>
      </c>
      <c r="L17" s="450" t="n">
        <v>15</v>
      </c>
      <c r="M17" s="450" t="n">
        <v>2</v>
      </c>
      <c r="N17" s="450" t="n">
        <v>10</v>
      </c>
      <c r="O17" s="214" t="n">
        <v>8</v>
      </c>
      <c r="P17" s="450" t="n">
        <v>20</v>
      </c>
      <c r="Q17" s="450" t="n">
        <v>2</v>
      </c>
      <c r="R17" s="450" t="n">
        <v>1</v>
      </c>
      <c r="S17" s="450" t="n">
        <v>13</v>
      </c>
      <c r="T17" s="450" t="n">
        <v>4</v>
      </c>
      <c r="U17" s="450" t="n">
        <v>4</v>
      </c>
      <c r="V17" s="450" t="n">
        <v>8</v>
      </c>
      <c r="W17" s="450" t="n">
        <v>10</v>
      </c>
      <c r="X17" s="20" t="n"/>
      <c r="Y17" s="450" t="n">
        <v>15</v>
      </c>
      <c r="Z17" s="450" t="n">
        <v>1</v>
      </c>
      <c r="AA17" s="450" t="n">
        <v>1</v>
      </c>
      <c r="AB17" s="450" t="n">
        <v>5</v>
      </c>
      <c r="AC17" s="450" t="n">
        <v>1</v>
      </c>
      <c r="AD17" s="450" t="n">
        <v>16</v>
      </c>
      <c r="AE17" s="450" t="n">
        <v>1</v>
      </c>
      <c r="AF17" s="450" t="n">
        <v>841</v>
      </c>
      <c r="AG17" s="450" t="n">
        <v>1339</v>
      </c>
      <c r="AH17" s="38" t="n">
        <v>1</v>
      </c>
      <c r="AI17" s="450" t="n">
        <v>0</v>
      </c>
      <c r="AJ17" s="450" t="n">
        <v>0</v>
      </c>
      <c r="AK17" s="450">
        <f>10+48</f>
        <v/>
      </c>
      <c r="AL17" s="450" t="n">
        <v>1</v>
      </c>
      <c r="AM17" s="38" t="n">
        <v>67</v>
      </c>
      <c r="AN17" s="251" t="n">
        <v>0</v>
      </c>
      <c r="AO17" s="38" t="n">
        <v>37</v>
      </c>
      <c r="AP17" s="251" t="n">
        <v>28</v>
      </c>
      <c r="AQ17" s="12" t="n"/>
      <c r="AR17" s="216" t="n">
        <v>-1</v>
      </c>
      <c r="AS17" s="214" t="n">
        <v>30</v>
      </c>
      <c r="AT17" s="214">
        <f>10+25</f>
        <v/>
      </c>
      <c r="AU17" s="216" t="n">
        <v>14</v>
      </c>
      <c r="AW17" s="2">
        <f>SUM(AH17:AI17,AJ17/2,AK17:AL17)</f>
        <v/>
      </c>
      <c r="AX17" s="2">
        <f>AM17*0.5+SUM(AN17:AP17)</f>
        <v/>
      </c>
      <c r="AY17" s="39">
        <f>SUM(-AR17+AS17*0.01+AT17*0.5+AU17)</f>
        <v/>
      </c>
      <c r="AZ17" s="39">
        <f>'0分'!AF14</f>
        <v/>
      </c>
      <c r="BA17" s="39">
        <f>SUM(AY17,AX17,AW17)</f>
        <v/>
      </c>
      <c r="BB17" s="250" t="n"/>
      <c r="BC17" s="79">
        <f t="array" ref="BC17">SUMPRODUCT(--(NOT(ISBLANK('0₦'!D17:M17))), '0₦'!D$2:M$2) +  SUMPRODUCT(--(NOT(ISBLANK('0₦'!Q17:T17))), '0₦'!Q$2:T$2)</f>
        <v/>
      </c>
      <c r="BD17" s="250">
        <f t="array" ref="BD17">SUMPRODUCT(--(NOT(ISBLANK('0₦'!N17:P17))),'0₦'!N$2:P$2)+'0₦'!AY17</f>
        <v/>
      </c>
      <c r="BE17" s="79">
        <f t="array" ref="BE17">SUMPRODUCT(--(NOT(ISBLANK('0₦'!AA17:AC17))),'0₦'!AA$2:AC$2) + BF17</f>
        <v/>
      </c>
      <c r="BF17" s="79" t="n"/>
      <c r="BG17" s="79">
        <f t="array" ref="BG17">SUMPRODUCT(--(NOT(ISBLANK('0₦'!U17:Z17))), '0₦'!U$2:Z$2)</f>
        <v/>
      </c>
      <c r="BH17" s="79" t="n"/>
      <c r="BI17" s="79">
        <f>SUM(BG17:BH17)</f>
        <v/>
      </c>
      <c r="BJ17" s="79" t="n"/>
      <c r="BK17" s="79" t="n"/>
      <c r="BL17" s="79" t="n"/>
      <c r="BM17" s="79" t="n"/>
      <c r="BN17" s="79" t="n"/>
      <c r="BO17" s="79" t="n"/>
      <c r="BP17" s="79" t="n"/>
      <c r="BQ17" s="79" t="n"/>
      <c r="BR17" s="79" t="n"/>
      <c r="BS17" s="79" t="n"/>
      <c r="BT17" s="79" t="n"/>
      <c r="BU17" s="79" t="n"/>
      <c r="BV17" s="79" t="n"/>
      <c r="BW17" s="79" t="n"/>
      <c r="BX17" s="79" t="n"/>
      <c r="BY17" s="79" t="n"/>
      <c r="BZ17" s="79" t="n"/>
      <c r="CA17" s="79" t="n"/>
    </row>
    <row r="18" ht="17.1" customHeight="1" s="37">
      <c r="A18" s="552" t="n"/>
      <c r="B18" s="150" t="inlineStr">
        <is>
          <t>S</t>
        </is>
      </c>
      <c r="C18" s="550">
        <f>C17+1</f>
        <v/>
      </c>
      <c r="D18" s="450" t="n">
        <v>449</v>
      </c>
      <c r="E18" s="450" t="n">
        <v>1</v>
      </c>
      <c r="F18" s="450" t="n">
        <v>10</v>
      </c>
      <c r="G18" s="216" t="n">
        <v>25</v>
      </c>
      <c r="H18" s="287" t="n">
        <v>1</v>
      </c>
      <c r="I18" s="450" t="n">
        <v>1</v>
      </c>
      <c r="J18" s="450" t="n">
        <v>1</v>
      </c>
      <c r="K18" s="450" t="n">
        <v>3</v>
      </c>
      <c r="L18" s="38" t="n">
        <v>10</v>
      </c>
      <c r="M18" s="450" t="n">
        <v>2</v>
      </c>
      <c r="N18" s="38" t="n">
        <v>11</v>
      </c>
      <c r="O18" s="216" t="n">
        <v>6</v>
      </c>
      <c r="P18" s="38" t="n">
        <v>30</v>
      </c>
      <c r="Q18" s="450" t="n">
        <v>5</v>
      </c>
      <c r="R18" s="450" t="n">
        <v>1</v>
      </c>
      <c r="S18" s="450" t="n">
        <v>8</v>
      </c>
      <c r="T18" s="450" t="n">
        <v>4</v>
      </c>
      <c r="U18" s="450" t="n">
        <v>5</v>
      </c>
      <c r="V18" s="450" t="n">
        <v>3</v>
      </c>
      <c r="W18" s="450" t="n">
        <v>21</v>
      </c>
      <c r="X18" s="20" t="n"/>
      <c r="Y18" s="450" t="n">
        <v>6</v>
      </c>
      <c r="Z18" s="450" t="n">
        <v>1</v>
      </c>
      <c r="AA18" s="450" t="n">
        <v>1</v>
      </c>
      <c r="AB18" s="450" t="n">
        <v>5</v>
      </c>
      <c r="AC18" s="450" t="n">
        <v>1</v>
      </c>
      <c r="AD18" s="450" t="n">
        <v>10</v>
      </c>
      <c r="AE18" s="450" t="n">
        <v>20</v>
      </c>
      <c r="AF18" s="38" t="n">
        <v>904</v>
      </c>
      <c r="AG18" s="450" t="n">
        <v>1937</v>
      </c>
      <c r="AH18" s="450" t="n">
        <v>0</v>
      </c>
      <c r="AI18" s="450">
        <f>38+15+10+5+10 + 89+5</f>
        <v/>
      </c>
      <c r="AJ18" s="450" t="n">
        <v>200</v>
      </c>
      <c r="AK18" s="450" t="n">
        <v>60</v>
      </c>
      <c r="AL18" s="450" t="n">
        <v>1</v>
      </c>
      <c r="AM18" s="450" t="n">
        <v>92</v>
      </c>
      <c r="AN18" s="251" t="n">
        <v>0</v>
      </c>
      <c r="AO18" s="38" t="n">
        <v>0</v>
      </c>
      <c r="AP18" s="251" t="n">
        <v>30</v>
      </c>
      <c r="AQ18" s="12" t="n"/>
      <c r="AR18" s="216" t="n">
        <v>-1</v>
      </c>
      <c r="AS18" s="214" t="n">
        <v>30</v>
      </c>
      <c r="AT18" s="214" t="n">
        <v>0</v>
      </c>
      <c r="AU18" s="216">
        <f>N18+O18</f>
        <v/>
      </c>
      <c r="AW18" s="2">
        <f>SUM(AH18:AI18,AJ18/2,AK18:AL18)</f>
        <v/>
      </c>
      <c r="AX18" s="2">
        <f>AM18*0.5+SUM(AN18:AP18)</f>
        <v/>
      </c>
      <c r="AY18" s="39">
        <f>SUM(-AR18+AS18*0.01+AT18*0.5+AU18)</f>
        <v/>
      </c>
      <c r="AZ18" s="39">
        <f>'0分'!AF15</f>
        <v/>
      </c>
      <c r="BA18" s="39">
        <f>SUM(AY18,AX18,AW18)</f>
        <v/>
      </c>
      <c r="BB18" s="250" t="n"/>
      <c r="BC18" s="79">
        <f t="array" ref="BC18">SUMPRODUCT(--(NOT(ISBLANK('0₦'!D18:M18))), '0₦'!D$2:M$2) +  SUMPRODUCT(--(NOT(ISBLANK('0₦'!Q18:T18))), '0₦'!Q$2:T$2)</f>
        <v/>
      </c>
      <c r="BD18" s="250">
        <f t="array" ref="BD18">SUMPRODUCT(--(NOT(ISBLANK('0₦'!N18:P18))),'0₦'!N$2:P$2)+'0₦'!AY18</f>
        <v/>
      </c>
      <c r="BE18" s="79">
        <f t="array" ref="BE18">SUMPRODUCT(--(NOT(ISBLANK('0₦'!AA18:AC18))),'0₦'!AA$2:AC$2) + BF18</f>
        <v/>
      </c>
      <c r="BF18" s="79" t="n"/>
      <c r="BG18" s="79">
        <f t="array" ref="BG18">SUMPRODUCT(--(NOT(ISBLANK('0₦'!U18:Z18))), '0₦'!U$2:Z$2)</f>
        <v/>
      </c>
      <c r="BH18" s="79" t="n"/>
      <c r="BI18" s="79">
        <f>SUM(BG18:BH18)</f>
        <v/>
      </c>
      <c r="BJ18" s="79" t="n"/>
      <c r="BK18" s="79" t="n"/>
      <c r="BL18" s="79" t="n"/>
      <c r="BM18" s="79" t="n"/>
      <c r="BN18" s="79" t="n"/>
      <c r="BO18" s="79" t="n"/>
      <c r="BP18" s="79" t="n"/>
      <c r="BQ18" s="79" t="n"/>
      <c r="BR18" s="79" t="n"/>
      <c r="BS18" s="79" t="n"/>
      <c r="BT18" s="79" t="n"/>
      <c r="BU18" s="79" t="n"/>
      <c r="BV18" s="79" t="n"/>
      <c r="BW18" s="79" t="n"/>
      <c r="BX18" s="79" t="n"/>
      <c r="BY18" s="79" t="n"/>
      <c r="BZ18" s="79" t="n"/>
      <c r="CA18" s="79" t="n"/>
    </row>
    <row r="19" ht="18" customHeight="1" s="37">
      <c r="A19" s="462">
        <f>A12+0.1</f>
        <v/>
      </c>
      <c r="B19" s="150" t="inlineStr">
        <is>
          <t>S</t>
        </is>
      </c>
      <c r="C19" s="550">
        <f>C18+1</f>
        <v/>
      </c>
      <c r="D19" s="450" t="n">
        <v>524</v>
      </c>
      <c r="E19" s="450" t="n">
        <v>2</v>
      </c>
      <c r="F19" s="450" t="n">
        <v>3</v>
      </c>
      <c r="G19" s="216" t="n">
        <v>15</v>
      </c>
      <c r="H19" s="287" t="n">
        <v>1</v>
      </c>
      <c r="I19" s="38" t="n">
        <v>1</v>
      </c>
      <c r="J19" s="38" t="n">
        <v>1</v>
      </c>
      <c r="K19" s="38" t="n">
        <v>3</v>
      </c>
      <c r="L19" s="450" t="n">
        <v>15</v>
      </c>
      <c r="M19" s="450" t="n">
        <v>2</v>
      </c>
      <c r="N19" s="450" t="n">
        <v>10</v>
      </c>
      <c r="O19" s="216" t="n">
        <v>5</v>
      </c>
      <c r="P19" s="38" t="n">
        <v>30</v>
      </c>
      <c r="Q19" s="450" t="n">
        <v>4</v>
      </c>
      <c r="R19" s="450" t="n">
        <v>1</v>
      </c>
      <c r="S19" s="450" t="n">
        <v>8</v>
      </c>
      <c r="T19" s="450" t="n">
        <v>2</v>
      </c>
      <c r="U19" s="38" t="n">
        <v>5</v>
      </c>
      <c r="V19" s="450" t="n">
        <v>1</v>
      </c>
      <c r="W19" s="450" t="n">
        <v>5</v>
      </c>
      <c r="X19" s="20" t="n"/>
      <c r="Y19" s="450" t="n">
        <v>1</v>
      </c>
      <c r="Z19" s="450" t="n">
        <v>1</v>
      </c>
      <c r="AA19" s="450" t="n">
        <v>1</v>
      </c>
      <c r="AB19" s="450" t="n">
        <v>13</v>
      </c>
      <c r="AC19" s="450" t="n">
        <v>1</v>
      </c>
      <c r="AD19" s="450" t="n">
        <v>15</v>
      </c>
      <c r="AE19" s="450" t="n">
        <v>1</v>
      </c>
      <c r="AF19" s="450" t="n">
        <v>808</v>
      </c>
      <c r="AH19" s="450" t="n">
        <v>0</v>
      </c>
      <c r="AI19" s="450">
        <f>48+5 + 38 + 5 + 63 + 43 + 10</f>
        <v/>
      </c>
      <c r="AJ19" s="450" t="n">
        <v>200</v>
      </c>
      <c r="AK19" s="450" t="n">
        <v>30</v>
      </c>
      <c r="AL19" s="450" t="n">
        <v>1</v>
      </c>
      <c r="AM19" s="38" t="n">
        <v>65</v>
      </c>
      <c r="AN19" s="45" t="n">
        <v>0</v>
      </c>
      <c r="AO19" s="450" t="n">
        <v>0</v>
      </c>
      <c r="AP19" s="251" t="n">
        <v>0</v>
      </c>
      <c r="AQ19" s="12" t="n"/>
      <c r="AR19" s="216" t="n">
        <v>-1</v>
      </c>
      <c r="AS19" s="216" t="n">
        <v>0</v>
      </c>
      <c r="AT19" s="216" t="n">
        <v>0</v>
      </c>
      <c r="AU19" s="216" t="n">
        <v>24</v>
      </c>
      <c r="AW19" s="2">
        <f>SUM(AH19:AI19,AJ19/2,AK19:AL19)</f>
        <v/>
      </c>
      <c r="AX19" s="2">
        <f>AM19*0.5+SUM(AN19:AP19)</f>
        <v/>
      </c>
      <c r="AY19" s="39">
        <f>SUM(-AR19+AS19*0.01+AT19*0.5+AU19)</f>
        <v/>
      </c>
      <c r="AZ19" s="39">
        <f>'0分'!AF16</f>
        <v/>
      </c>
      <c r="BA19" s="39">
        <f>SUM(AY19,AX19,AW19)</f>
        <v/>
      </c>
      <c r="BB19" s="250" t="n"/>
      <c r="BC19" s="79">
        <f t="array" ref="BC19">SUMPRODUCT(--(NOT(ISBLANK('0₦'!D19:M19))), '0₦'!D$2:M$2) +  SUMPRODUCT(--(NOT(ISBLANK('0₦'!Q19:T19))), '0₦'!Q$2:T$2)</f>
        <v/>
      </c>
      <c r="BD19" s="250">
        <f t="array" ref="BD19">SUMPRODUCT(--(NOT(ISBLANK('0₦'!N19:P19))),'0₦'!N$2:P$2)+'0₦'!AY19</f>
        <v/>
      </c>
      <c r="BE19" s="79">
        <f t="array" ref="BE19">SUMPRODUCT(--(NOT(ISBLANK('0₦'!AA19:AC19))),'0₦'!AA$2:AC$2) + BF19</f>
        <v/>
      </c>
      <c r="BF19" s="79" t="n"/>
      <c r="BG19" s="79">
        <f t="array" ref="BG19">SUMPRODUCT(--(NOT(ISBLANK('0₦'!U19:Z19))), '0₦'!U$2:Z$2)</f>
        <v/>
      </c>
      <c r="BH19" s="79" t="n"/>
      <c r="BI19" s="79">
        <f>SUM(BG19:BH19)</f>
        <v/>
      </c>
      <c r="BJ19" s="79" t="n"/>
      <c r="BK19" s="79" t="n"/>
      <c r="BL19" s="79" t="n"/>
      <c r="BM19" s="79" t="n"/>
      <c r="BN19" s="79" t="n"/>
      <c r="BO19" s="79" t="n"/>
      <c r="BP19" s="79" t="n"/>
      <c r="BQ19" s="79" t="n"/>
      <c r="BR19" s="79" t="n"/>
      <c r="BS19" s="79" t="n"/>
      <c r="BT19" s="79" t="n"/>
      <c r="BU19" s="79" t="n"/>
      <c r="BV19" s="79" t="n"/>
      <c r="BW19" s="79" t="n"/>
      <c r="BX19" s="79" t="n"/>
      <c r="BY19" s="79" t="n"/>
      <c r="BZ19" s="79" t="n"/>
      <c r="CA19" s="79" t="n"/>
    </row>
    <row r="20" ht="17.1" customHeight="1" s="37">
      <c r="A20" s="551" t="n"/>
      <c r="B20" s="150" t="inlineStr">
        <is>
          <t>M</t>
        </is>
      </c>
      <c r="C20" s="550">
        <f>C19+1</f>
        <v/>
      </c>
      <c r="D20" s="450" t="n">
        <v>566</v>
      </c>
      <c r="E20" s="450" t="n">
        <v>2</v>
      </c>
      <c r="F20" s="450" t="n">
        <v>15</v>
      </c>
      <c r="G20" s="216" t="n">
        <v>30</v>
      </c>
      <c r="H20" s="57" t="n">
        <v>1</v>
      </c>
      <c r="I20" s="450" t="n">
        <v>1</v>
      </c>
      <c r="J20" s="450" t="n">
        <v>1</v>
      </c>
      <c r="K20" s="450" t="n">
        <v>3</v>
      </c>
      <c r="L20" s="450" t="n">
        <v>15</v>
      </c>
      <c r="M20" s="450" t="n">
        <v>2</v>
      </c>
      <c r="N20" s="450" t="n">
        <v>12</v>
      </c>
      <c r="O20" s="216" t="n">
        <v>5</v>
      </c>
      <c r="P20" s="450" t="n">
        <v>30</v>
      </c>
      <c r="Q20" s="450" t="n">
        <v>4</v>
      </c>
      <c r="R20" s="450" t="n">
        <v>1</v>
      </c>
      <c r="S20" s="450" t="n">
        <v>10</v>
      </c>
      <c r="T20" s="450" t="n">
        <v>5</v>
      </c>
      <c r="V20" s="450" t="n">
        <v>2</v>
      </c>
      <c r="W20" s="450" t="n">
        <v>10</v>
      </c>
      <c r="X20" s="20" t="n"/>
      <c r="Y20" s="450" t="n">
        <v>5</v>
      </c>
      <c r="Z20" s="450" t="n">
        <v>1</v>
      </c>
      <c r="AA20" s="450" t="n">
        <v>1</v>
      </c>
      <c r="AB20" s="450" t="n">
        <v>9</v>
      </c>
      <c r="AC20" s="450" t="n">
        <v>1</v>
      </c>
      <c r="AD20" s="450" t="n">
        <v>10</v>
      </c>
      <c r="AE20" s="450" t="n">
        <v>1</v>
      </c>
      <c r="AF20" s="450" t="n">
        <v>3000</v>
      </c>
      <c r="AH20" s="450" t="n">
        <v>1</v>
      </c>
      <c r="AI20" s="450">
        <f>78+8+10</f>
        <v/>
      </c>
      <c r="AJ20" s="450" t="n">
        <v>200</v>
      </c>
      <c r="AK20" s="450" t="n">
        <v>120</v>
      </c>
      <c r="AL20" s="450" t="n">
        <v>1</v>
      </c>
      <c r="AM20" s="38" t="n">
        <v>79</v>
      </c>
      <c r="AN20" s="45" t="n">
        <v>20</v>
      </c>
      <c r="AO20" s="38" t="n">
        <v>0</v>
      </c>
      <c r="AP20" s="251" t="n">
        <v>14</v>
      </c>
      <c r="AQ20" s="12" t="n"/>
      <c r="AR20" s="216" t="n">
        <v>-1</v>
      </c>
      <c r="AS20" s="216" t="n">
        <v>90</v>
      </c>
      <c r="AT20" s="214" t="n">
        <v>0</v>
      </c>
      <c r="AU20" s="216">
        <f>N20</f>
        <v/>
      </c>
      <c r="AW20" s="2">
        <f>SUM(AH20:AI20,AJ20/2,AK20:AL20)</f>
        <v/>
      </c>
      <c r="AX20" s="2">
        <f>AM20*0.5+SUM(AN20:AP20)</f>
        <v/>
      </c>
      <c r="AY20" s="39">
        <f>SUM(-AR20+AS20*0.01+AT20*0.5+AU20)</f>
        <v/>
      </c>
      <c r="AZ20" s="39">
        <f>'0分'!AF17</f>
        <v/>
      </c>
      <c r="BA20" s="39">
        <f>SUM(AY20,AX20,AW20)</f>
        <v/>
      </c>
      <c r="BB20" s="250" t="n"/>
      <c r="BC20" s="79">
        <f t="array" ref="BC20">SUMPRODUCT(--(NOT(ISBLANK('0₦'!D20:M20))), '0₦'!D$2:M$2) +  SUMPRODUCT(--(NOT(ISBLANK('0₦'!Q20:T20))), '0₦'!Q$2:T$2)</f>
        <v/>
      </c>
      <c r="BD20" s="250">
        <f t="array" ref="BD20">SUMPRODUCT(--(NOT(ISBLANK('0₦'!N20:P20))),'0₦'!N$2:P$2)+'0₦'!AY20</f>
        <v/>
      </c>
      <c r="BE20" s="79">
        <f t="array" ref="BE20">SUMPRODUCT(--(NOT(ISBLANK('0₦'!AA20:AC20))),'0₦'!AA$2:AC$2) + BF20</f>
        <v/>
      </c>
      <c r="BF20" s="79" t="n"/>
      <c r="BG20" s="79">
        <f t="array" ref="BG20">SUMPRODUCT(--(NOT(ISBLANK('0₦'!U20:Z20))), '0₦'!U$2:Z$2)</f>
        <v/>
      </c>
      <c r="BH20" s="79" t="n"/>
      <c r="BI20" s="79">
        <f>SUM(BG20:BH20)</f>
        <v/>
      </c>
      <c r="BJ20" s="79" t="n"/>
      <c r="BK20" s="79" t="n"/>
      <c r="BL20" s="79" t="n"/>
      <c r="BM20" s="79" t="n"/>
      <c r="BN20" s="79" t="n"/>
      <c r="BO20" s="79" t="n"/>
      <c r="BP20" s="79" t="n"/>
      <c r="BQ20" s="79" t="n"/>
      <c r="BR20" s="79" t="n"/>
      <c r="BS20" s="79" t="n"/>
      <c r="BT20" s="79" t="n"/>
      <c r="BU20" s="79" t="n"/>
      <c r="BV20" s="79" t="n"/>
      <c r="BW20" s="79" t="n"/>
      <c r="BX20" s="79" t="n"/>
      <c r="BY20" s="79" t="n"/>
      <c r="BZ20" s="79" t="n"/>
      <c r="CA20" s="79" t="n"/>
    </row>
    <row r="21">
      <c r="A21" s="551" t="n"/>
      <c r="B21" s="150" t="inlineStr">
        <is>
          <t>T</t>
        </is>
      </c>
      <c r="C21" s="550">
        <f>C20+1</f>
        <v/>
      </c>
      <c r="D21" s="450" t="n">
        <v>555</v>
      </c>
      <c r="E21" s="38" t="n">
        <v>1</v>
      </c>
      <c r="F21" s="450" t="n">
        <v>10</v>
      </c>
      <c r="G21" s="216" t="n"/>
      <c r="H21" s="57" t="n">
        <v>1</v>
      </c>
      <c r="I21" s="450" t="n">
        <v>1</v>
      </c>
      <c r="J21" s="450" t="n">
        <v>1</v>
      </c>
      <c r="K21" s="450" t="n">
        <v>4</v>
      </c>
      <c r="L21" s="450" t="n">
        <v>15</v>
      </c>
      <c r="M21" s="450" t="n">
        <v>1</v>
      </c>
      <c r="N21" s="450" t="n">
        <v>11</v>
      </c>
      <c r="O21" s="214" t="n">
        <v>6</v>
      </c>
      <c r="P21" s="450" t="n">
        <v>90</v>
      </c>
      <c r="Q21" s="450" t="n">
        <v>5</v>
      </c>
      <c r="R21" s="450" t="n">
        <v>1</v>
      </c>
      <c r="S21" s="38" t="n">
        <v>4</v>
      </c>
      <c r="T21" s="450" t="n">
        <v>4</v>
      </c>
      <c r="U21" s="450" t="n">
        <v>5</v>
      </c>
      <c r="V21" s="450" t="n">
        <v>3</v>
      </c>
      <c r="W21" s="450" t="n">
        <v>10</v>
      </c>
      <c r="X21" s="20" t="n">
        <v>8</v>
      </c>
      <c r="Y21" s="450" t="n">
        <v>5</v>
      </c>
      <c r="Z21" s="450" t="n">
        <v>1</v>
      </c>
      <c r="AA21" s="450" t="n">
        <v>1</v>
      </c>
      <c r="AB21" s="450" t="n">
        <v>9</v>
      </c>
      <c r="AC21" s="450" t="n">
        <v>1</v>
      </c>
      <c r="AD21" s="450" t="n">
        <v>8</v>
      </c>
      <c r="AE21" s="450" t="n">
        <v>1</v>
      </c>
      <c r="AF21" s="450" t="n">
        <v>955</v>
      </c>
      <c r="AG21" s="450" t="n">
        <v>1014</v>
      </c>
      <c r="AH21" s="38" t="n">
        <v>2</v>
      </c>
      <c r="AI21" s="38">
        <f>24+31+10</f>
        <v/>
      </c>
      <c r="AJ21" s="38" t="n">
        <v>0</v>
      </c>
      <c r="AK21" s="38">
        <f>32+27</f>
        <v/>
      </c>
      <c r="AL21" s="450" t="n">
        <v>1</v>
      </c>
      <c r="AM21" s="38" t="n">
        <v>78</v>
      </c>
      <c r="AN21" s="251" t="n">
        <v>42</v>
      </c>
      <c r="AO21" s="450" t="n">
        <v>18</v>
      </c>
      <c r="AP21" s="45" t="n">
        <v>18</v>
      </c>
      <c r="AQ21" s="12" t="n"/>
      <c r="AR21" s="216" t="n">
        <v>-1</v>
      </c>
      <c r="AS21" s="216" t="n">
        <v>20</v>
      </c>
      <c r="AT21" s="216" t="n">
        <v>18</v>
      </c>
      <c r="AU21" s="214">
        <f>N21+O21 + 10 + 21 + 25</f>
        <v/>
      </c>
      <c r="AW21" s="2">
        <f>SUM(AH21:AI21,AJ21/2,AK21:AL21)</f>
        <v/>
      </c>
      <c r="AX21" s="2">
        <f>AM21*0.5+SUM(AN21:AP21)</f>
        <v/>
      </c>
      <c r="AY21" s="39">
        <f>SUM(-AR21+AS21*0.01+AT21*0.5+AU21)</f>
        <v/>
      </c>
      <c r="AZ21" s="39">
        <f>'0分'!AF18</f>
        <v/>
      </c>
      <c r="BA21" s="39">
        <f>SUM(AY21,AX21,AW21)</f>
        <v/>
      </c>
      <c r="BB21" s="250" t="n"/>
      <c r="BC21" s="79">
        <f t="array" ref="BC21">SUMPRODUCT(--(NOT(ISBLANK('0₦'!D21:M21))), '0₦'!D$2:M$2) +  SUMPRODUCT(--(NOT(ISBLANK('0₦'!Q21:T21))), '0₦'!Q$2:T$2)</f>
        <v/>
      </c>
      <c r="BD21" s="250">
        <f t="array" ref="BD21">SUMPRODUCT(--(NOT(ISBLANK('0₦'!N21:P21))),'0₦'!N$2:P$2)+'0₦'!AY21</f>
        <v/>
      </c>
      <c r="BE21" s="79">
        <f t="array" ref="BE21">SUMPRODUCT(--(NOT(ISBLANK('0₦'!AA21:AC21))),'0₦'!AA$2:AC$2) + BF21</f>
        <v/>
      </c>
      <c r="BF21" s="79" t="n"/>
      <c r="BG21" s="79">
        <f t="array" ref="BG21">SUMPRODUCT(--(NOT(ISBLANK('0₦'!U21:Z21))), '0₦'!U$2:Z$2)</f>
        <v/>
      </c>
      <c r="BH21" s="79" t="n"/>
      <c r="BI21" s="79">
        <f>SUM(BG21:BH21)</f>
        <v/>
      </c>
      <c r="BJ21" s="79" t="n"/>
      <c r="BK21" s="79" t="n"/>
      <c r="BL21" s="79" t="n"/>
      <c r="BM21" s="79" t="n"/>
      <c r="BN21" s="79" t="n"/>
      <c r="BO21" s="79" t="n"/>
      <c r="BP21" s="79" t="n"/>
      <c r="BQ21" s="79" t="n"/>
      <c r="BR21" s="79" t="n"/>
      <c r="BS21" s="79" t="n"/>
      <c r="BT21" s="79" t="n"/>
      <c r="BU21" s="79" t="n"/>
      <c r="BV21" s="79" t="n"/>
      <c r="BW21" s="79" t="n"/>
      <c r="BX21" s="79" t="n"/>
      <c r="BY21" s="79" t="n"/>
      <c r="BZ21" s="79" t="n"/>
      <c r="CA21" s="79" t="n"/>
    </row>
    <row r="22" ht="17.1" customHeight="1" s="37">
      <c r="A22" s="551" t="n"/>
      <c r="B22" s="150" t="inlineStr">
        <is>
          <t>W</t>
        </is>
      </c>
      <c r="C22" s="550">
        <f>C21+1</f>
        <v/>
      </c>
      <c r="D22" s="450" t="n">
        <v>496</v>
      </c>
      <c r="E22" s="450" t="n">
        <v>0</v>
      </c>
      <c r="F22" s="450" t="n">
        <v>10</v>
      </c>
      <c r="G22" s="216" t="n">
        <v>15</v>
      </c>
      <c r="H22" s="57" t="n">
        <v>1</v>
      </c>
      <c r="I22" s="450" t="n">
        <v>1</v>
      </c>
      <c r="J22" s="450" t="n">
        <v>1</v>
      </c>
      <c r="K22" s="450" t="n">
        <v>4</v>
      </c>
      <c r="L22" s="450" t="n">
        <v>25</v>
      </c>
      <c r="M22" s="450" t="n">
        <v>2</v>
      </c>
      <c r="N22" s="450" t="n">
        <v>11</v>
      </c>
      <c r="O22" s="216" t="n"/>
      <c r="P22" s="450" t="n">
        <v>20</v>
      </c>
      <c r="Q22" s="450" t="n">
        <v>4</v>
      </c>
      <c r="R22" s="450" t="n">
        <v>1</v>
      </c>
      <c r="S22" s="38" t="n">
        <v>5</v>
      </c>
      <c r="T22" s="450" t="n">
        <v>4</v>
      </c>
      <c r="U22" s="450" t="n">
        <v>7</v>
      </c>
      <c r="V22" s="450" t="n">
        <v>5</v>
      </c>
      <c r="W22" s="450" t="n">
        <v>10</v>
      </c>
      <c r="X22" s="20" t="n"/>
      <c r="Y22" s="450" t="n">
        <v>10</v>
      </c>
      <c r="Z22" s="450" t="n">
        <v>1</v>
      </c>
      <c r="AA22" s="450" t="n">
        <v>5</v>
      </c>
      <c r="AB22" s="450" t="n">
        <v>15</v>
      </c>
      <c r="AC22" s="450" t="n">
        <v>1</v>
      </c>
      <c r="AD22" s="450" t="n">
        <v>20</v>
      </c>
      <c r="AE22" s="450" t="n">
        <v>1</v>
      </c>
      <c r="AF22" s="450" t="n">
        <v>826</v>
      </c>
      <c r="AG22" s="450" t="n">
        <v>2115</v>
      </c>
      <c r="AH22" s="450" t="n">
        <v>1</v>
      </c>
      <c r="AI22" s="450" t="n">
        <v>0</v>
      </c>
      <c r="AJ22" s="450" t="n">
        <v>0</v>
      </c>
      <c r="AK22" s="450">
        <f>15</f>
        <v/>
      </c>
      <c r="AL22" s="450" t="n">
        <v>1</v>
      </c>
      <c r="AM22" s="450" t="n">
        <v>25</v>
      </c>
      <c r="AN22" s="45" t="n">
        <v>0</v>
      </c>
      <c r="AO22" s="450">
        <f>15+15</f>
        <v/>
      </c>
      <c r="AP22" s="45" t="n">
        <v>0</v>
      </c>
      <c r="AQ22" s="12" t="n"/>
      <c r="AR22" s="216" t="n">
        <v>1</v>
      </c>
      <c r="AS22" s="216" t="n">
        <v>0</v>
      </c>
      <c r="AT22" s="216" t="n">
        <v>20</v>
      </c>
      <c r="AU22" s="216">
        <f>N22+O22 + 0</f>
        <v/>
      </c>
      <c r="AW22" s="2">
        <f>SUM(AH22:AI22,AJ22/2,AK22:AL22)</f>
        <v/>
      </c>
      <c r="AX22" s="2">
        <f>AM22*0.5+SUM(AN22:AP22)</f>
        <v/>
      </c>
      <c r="AY22" s="39">
        <f>SUM(-AR22+AS22*0.01+AT22*0.5+AU22)</f>
        <v/>
      </c>
      <c r="AZ22" s="39">
        <f>'0分'!AF19</f>
        <v/>
      </c>
      <c r="BA22" s="39">
        <f>SUM(AY22,AX22,AW22)</f>
        <v/>
      </c>
      <c r="BB22" s="250" t="n"/>
      <c r="BC22" s="79">
        <f t="array" ref="BC22">SUMPRODUCT(--(NOT(ISBLANK('0₦'!D22:M22))), '0₦'!D$2:M$2) +  SUMPRODUCT(--(NOT(ISBLANK('0₦'!Q22:T22))), '0₦'!Q$2:T$2)</f>
        <v/>
      </c>
      <c r="BD22" s="250">
        <f t="array" ref="BD22">SUMPRODUCT(--(NOT(ISBLANK('0₦'!N22:P22))),'0₦'!N$2:P$2)+'0₦'!AY22</f>
        <v/>
      </c>
      <c r="BE22" s="79">
        <f t="array" ref="BE22">SUMPRODUCT(--(NOT(ISBLANK('0₦'!AA22:AC22))),'0₦'!AA$2:AC$2) + BF22</f>
        <v/>
      </c>
      <c r="BF22" s="79" t="n"/>
      <c r="BG22" s="79">
        <f t="array" ref="BG22">SUMPRODUCT(--(NOT(ISBLANK('0₦'!U22:Z22))), '0₦'!U$2:Z$2)</f>
        <v/>
      </c>
      <c r="BH22" s="79" t="n"/>
      <c r="BI22" s="79">
        <f>SUM(BG22:BH22)</f>
        <v/>
      </c>
      <c r="BJ22" s="79" t="n"/>
      <c r="BK22" s="79" t="n"/>
      <c r="BL22" s="79" t="n"/>
      <c r="BM22" s="79" t="n"/>
      <c r="BN22" s="79" t="n"/>
      <c r="BO22" s="79" t="n"/>
      <c r="BP22" s="79" t="n"/>
      <c r="BQ22" s="79" t="n"/>
      <c r="BR22" s="79" t="n"/>
      <c r="BS22" s="79" t="n"/>
      <c r="BT22" s="79" t="n"/>
      <c r="BU22" s="79" t="n"/>
      <c r="BV22" s="79" t="n"/>
      <c r="BW22" s="79" t="n"/>
      <c r="BX22" s="79" t="n"/>
      <c r="BY22" s="79" t="n"/>
      <c r="BZ22" s="79" t="n"/>
      <c r="CA22" s="79" t="n"/>
    </row>
    <row r="23" ht="18" customHeight="1" s="37">
      <c r="A23" s="551" t="n"/>
      <c r="B23" s="150" t="inlineStr">
        <is>
          <t>Th</t>
        </is>
      </c>
      <c r="C23" s="550">
        <f>C22+1</f>
        <v/>
      </c>
      <c r="D23" s="450" t="n">
        <v>540</v>
      </c>
      <c r="E23" s="450" t="n">
        <v>0</v>
      </c>
      <c r="F23" s="450" t="n">
        <v>10</v>
      </c>
      <c r="G23" s="216" t="n">
        <v>15</v>
      </c>
      <c r="H23" s="57" t="n">
        <v>1</v>
      </c>
      <c r="I23" s="450" t="n">
        <v>1</v>
      </c>
      <c r="J23" s="450" t="n">
        <v>1</v>
      </c>
      <c r="K23" s="450" t="n">
        <v>3</v>
      </c>
      <c r="L23" s="450" t="n">
        <v>15</v>
      </c>
      <c r="M23" s="450" t="n">
        <v>2</v>
      </c>
      <c r="N23" s="450" t="n">
        <v>11</v>
      </c>
      <c r="O23" s="216" t="n"/>
      <c r="P23" s="450" t="n">
        <v>5</v>
      </c>
      <c r="Q23" s="450" t="n">
        <v>2</v>
      </c>
      <c r="R23" s="450" t="n">
        <v>1</v>
      </c>
      <c r="S23" s="38" t="n">
        <v>3</v>
      </c>
      <c r="T23" s="38" t="n">
        <v>4</v>
      </c>
      <c r="U23" s="38" t="n">
        <v>6</v>
      </c>
      <c r="V23" s="450" t="n">
        <v>8</v>
      </c>
      <c r="W23" s="450" t="n">
        <v>10</v>
      </c>
      <c r="X23" s="20" t="n">
        <v>0</v>
      </c>
      <c r="Y23" s="450" t="n">
        <v>10</v>
      </c>
      <c r="Z23" s="450" t="n">
        <v>1</v>
      </c>
      <c r="AA23" s="450" t="n">
        <v>1</v>
      </c>
      <c r="AB23" s="450" t="n">
        <v>25</v>
      </c>
      <c r="AC23" s="450" t="n">
        <v>1</v>
      </c>
      <c r="AD23" s="450" t="n">
        <v>7</v>
      </c>
      <c r="AE23" s="450" t="n">
        <v>18</v>
      </c>
      <c r="AF23" s="450" t="n">
        <v>749</v>
      </c>
      <c r="AH23" s="450" t="n">
        <v>0</v>
      </c>
      <c r="AI23" s="450" t="n">
        <v>0</v>
      </c>
      <c r="AJ23" s="450" t="n">
        <v>0</v>
      </c>
      <c r="AK23" s="450">
        <f>18 + 29</f>
        <v/>
      </c>
      <c r="AL23" s="450" t="n">
        <v>1</v>
      </c>
      <c r="AM23" s="450" t="n">
        <v>63</v>
      </c>
      <c r="AN23" s="45" t="n">
        <v>50</v>
      </c>
      <c r="AO23" s="450">
        <f>15+31+22</f>
        <v/>
      </c>
      <c r="AP23" s="45" t="n">
        <v>0</v>
      </c>
      <c r="AQ23" s="12" t="n"/>
      <c r="AR23" s="216" t="n">
        <v>-1</v>
      </c>
      <c r="AS23" s="216" t="n">
        <v>0</v>
      </c>
      <c r="AT23" s="216" t="n">
        <v>0</v>
      </c>
      <c r="AU23" s="216">
        <f>N23+O23 + 0</f>
        <v/>
      </c>
      <c r="AW23" s="2">
        <f>SUM(AH23:AI23,AJ23/2,AK23:AL23)</f>
        <v/>
      </c>
      <c r="AX23" s="2">
        <f>AM23*0.5+SUM(AN23:AP23)</f>
        <v/>
      </c>
      <c r="AY23" s="39">
        <f>SUM(-AR23+AS23*0.01+AT23*0.5+AU23)</f>
        <v/>
      </c>
      <c r="AZ23" s="39">
        <f>'0分'!AF20</f>
        <v/>
      </c>
      <c r="BA23" s="39">
        <f>SUM(AY23,AX23,AW23)</f>
        <v/>
      </c>
      <c r="BB23" s="250" t="n"/>
      <c r="BC23" s="79">
        <f t="array" ref="BC23">SUMPRODUCT(--(NOT(ISBLANK('0₦'!D23:M23))), '0₦'!D$2:M$2) +  SUMPRODUCT(--(NOT(ISBLANK('0₦'!Q23:T23))), '0₦'!Q$2:T$2)</f>
        <v/>
      </c>
      <c r="BD23" s="250">
        <f t="array" ref="BD23">SUMPRODUCT(--(NOT(ISBLANK('0₦'!N23:P23))),'0₦'!N$2:P$2)+'0₦'!AY23</f>
        <v/>
      </c>
      <c r="BE23" s="79">
        <f t="array" ref="BE23">SUMPRODUCT(--(NOT(ISBLANK('0₦'!AA23:AC23))),'0₦'!AA$2:AC$2) + BF23</f>
        <v/>
      </c>
      <c r="BF23" s="79" t="n"/>
      <c r="BG23" s="79">
        <f t="array" ref="BG23">SUMPRODUCT(--(NOT(ISBLANK('0₦'!U23:Z23))), '0₦'!U$2:Z$2)</f>
        <v/>
      </c>
      <c r="BH23" s="79" t="n"/>
      <c r="BI23" s="79">
        <f>SUM(BG23:BH23)</f>
        <v/>
      </c>
      <c r="BJ23" s="79" t="n"/>
      <c r="BK23" s="79" t="n"/>
      <c r="BL23" s="79" t="n"/>
      <c r="BM23" s="79" t="n"/>
      <c r="BN23" s="79" t="n"/>
      <c r="BO23" s="79" t="n"/>
      <c r="BP23" s="79" t="n"/>
      <c r="BQ23" s="79" t="n"/>
      <c r="BR23" s="79" t="n"/>
      <c r="BS23" s="79" t="n"/>
      <c r="BT23" s="79" t="n"/>
      <c r="BU23" s="79" t="n"/>
      <c r="BV23" s="79" t="n"/>
      <c r="BW23" s="79" t="n"/>
      <c r="BX23" s="79" t="n"/>
      <c r="BY23" s="79" t="n"/>
      <c r="BZ23" s="79" t="n"/>
      <c r="CA23" s="79" t="n"/>
    </row>
    <row r="24" ht="17.1" customHeight="1" s="37">
      <c r="A24" s="551" t="n"/>
      <c r="B24" s="150" t="inlineStr">
        <is>
          <t>F</t>
        </is>
      </c>
      <c r="C24" s="550">
        <f>C23+1</f>
        <v/>
      </c>
      <c r="D24" s="450" t="n">
        <v>471</v>
      </c>
      <c r="E24" s="450" t="n">
        <v>0</v>
      </c>
      <c r="F24" s="450" t="n">
        <v>15</v>
      </c>
      <c r="G24" s="216" t="n">
        <v>15</v>
      </c>
      <c r="H24" s="57" t="n">
        <v>1</v>
      </c>
      <c r="I24" s="450" t="n">
        <v>1</v>
      </c>
      <c r="J24" s="450" t="n">
        <v>1</v>
      </c>
      <c r="K24" s="450" t="n">
        <v>7</v>
      </c>
      <c r="M24" s="450" t="n">
        <v>2</v>
      </c>
      <c r="N24" s="38" t="n">
        <v>11</v>
      </c>
      <c r="O24" s="216" t="n"/>
      <c r="P24" s="450" t="n">
        <v>15</v>
      </c>
      <c r="Q24" s="450" t="n">
        <v>2</v>
      </c>
      <c r="R24" s="450" t="n">
        <v>1</v>
      </c>
      <c r="S24" s="450" t="n">
        <v>5</v>
      </c>
      <c r="T24" s="450" t="n">
        <v>4</v>
      </c>
      <c r="U24" s="450" t="n">
        <v>4</v>
      </c>
      <c r="V24" s="450" t="n">
        <v>4</v>
      </c>
      <c r="W24" s="450" t="n">
        <v>10</v>
      </c>
      <c r="X24" s="20" t="n"/>
      <c r="Y24" s="450" t="n">
        <v>15</v>
      </c>
      <c r="Z24" s="450" t="n">
        <v>1</v>
      </c>
      <c r="AA24" s="450" t="n">
        <v>1</v>
      </c>
      <c r="AB24" s="450" t="n">
        <v>2</v>
      </c>
      <c r="AC24" s="450" t="n">
        <v>1</v>
      </c>
      <c r="AD24" s="450" t="n">
        <v>10</v>
      </c>
      <c r="AE24" s="450" t="n">
        <v>25</v>
      </c>
      <c r="AF24" s="450" t="n">
        <v>735</v>
      </c>
      <c r="AG24" s="450" t="n">
        <v>1138</v>
      </c>
      <c r="AH24" s="450" t="n">
        <v>1</v>
      </c>
      <c r="AI24" s="450">
        <f>120+20</f>
        <v/>
      </c>
      <c r="AJ24" s="450" t="n">
        <v>20</v>
      </c>
      <c r="AK24" s="450">
        <f>25+15</f>
        <v/>
      </c>
      <c r="AL24" s="450" t="n">
        <v>1</v>
      </c>
      <c r="AM24" s="450" t="n">
        <v>51</v>
      </c>
      <c r="AN24" s="45" t="n">
        <v>24</v>
      </c>
      <c r="AO24" s="450" t="n">
        <v>31</v>
      </c>
      <c r="AP24" s="251" t="n">
        <v>0</v>
      </c>
      <c r="AQ24" s="12" t="n"/>
      <c r="AR24" s="216" t="n">
        <v>-1</v>
      </c>
      <c r="AS24" s="216" t="n">
        <v>0</v>
      </c>
      <c r="AT24" s="216" t="n">
        <v>85</v>
      </c>
      <c r="AU24" s="214">
        <f>N24+O24 + 23</f>
        <v/>
      </c>
      <c r="AW24" s="2">
        <f>SUM(AH24:AI24,AJ24/2,AK24:AL24)</f>
        <v/>
      </c>
      <c r="AX24" s="2">
        <f>AM24*0.5+SUM(AN24:AP24)</f>
        <v/>
      </c>
      <c r="AY24" s="39">
        <f>SUM(-AR24+AS24*0.01+AT24*0.5+AU24)</f>
        <v/>
      </c>
      <c r="AZ24" s="39">
        <f>'0分'!AF21</f>
        <v/>
      </c>
      <c r="BA24" s="39">
        <f>SUM(AY24,AX24,AW24)</f>
        <v/>
      </c>
      <c r="BB24" s="250" t="n"/>
      <c r="BC24" s="79">
        <f t="array" ref="BC24">SUMPRODUCT(--(NOT(ISBLANK('0₦'!D24:M24))), '0₦'!D$2:M$2) +  SUMPRODUCT(--(NOT(ISBLANK('0₦'!Q24:T24))), '0₦'!Q$2:T$2)</f>
        <v/>
      </c>
      <c r="BD24" s="250">
        <f t="array" ref="BD24">SUMPRODUCT(--(NOT(ISBLANK('0₦'!N24:P24))),'0₦'!N$2:P$2)+'0₦'!AY24</f>
        <v/>
      </c>
      <c r="BE24" s="79">
        <f t="array" ref="BE24">SUMPRODUCT(--(NOT(ISBLANK('0₦'!AA24:AC24))),'0₦'!AA$2:AC$2) + BF24</f>
        <v/>
      </c>
      <c r="BF24" s="79" t="n"/>
      <c r="BG24" s="79">
        <f t="array" ref="BG24">SUMPRODUCT(--(NOT(ISBLANK('0₦'!U24:Z24))), '0₦'!U$2:Z$2)</f>
        <v/>
      </c>
      <c r="BH24" s="79" t="n"/>
      <c r="BI24" s="79">
        <f>SUM(BG24:BH24)</f>
        <v/>
      </c>
      <c r="BJ24" s="79" t="n"/>
      <c r="BK24" s="79" t="n"/>
      <c r="BL24" s="79" t="n"/>
      <c r="BM24" s="79" t="n"/>
      <c r="BN24" s="79" t="n"/>
      <c r="BO24" s="79" t="n"/>
      <c r="BP24" s="79" t="n"/>
      <c r="BQ24" s="79" t="n"/>
      <c r="BR24" s="79" t="n"/>
      <c r="BS24" s="79" t="n"/>
      <c r="BT24" s="79" t="n"/>
      <c r="BU24" s="79" t="n"/>
      <c r="BV24" s="79" t="n"/>
      <c r="BW24" s="79" t="n"/>
      <c r="BX24" s="79" t="n"/>
      <c r="BY24" s="79" t="n"/>
      <c r="BZ24" s="79" t="n"/>
      <c r="CA24" s="79" t="n"/>
    </row>
    <row r="25" ht="17.1" customHeight="1" s="37">
      <c r="A25" s="552" t="n"/>
      <c r="B25" s="150" t="inlineStr">
        <is>
          <t>S</t>
        </is>
      </c>
      <c r="C25" s="550">
        <f>C24+1</f>
        <v/>
      </c>
      <c r="D25" s="450" t="n">
        <v>522</v>
      </c>
      <c r="E25" s="450" t="n">
        <v>0</v>
      </c>
      <c r="F25" s="450" t="n">
        <v>15</v>
      </c>
      <c r="G25" s="216" t="n">
        <v>15</v>
      </c>
      <c r="H25" s="57" t="n">
        <v>1</v>
      </c>
      <c r="I25" s="450" t="n">
        <v>1</v>
      </c>
      <c r="J25" s="450" t="n">
        <v>1</v>
      </c>
      <c r="M25" s="450" t="n">
        <v>3</v>
      </c>
      <c r="N25" s="450" t="n">
        <v>12</v>
      </c>
      <c r="O25" s="216" t="n"/>
      <c r="P25" s="450" t="n">
        <v>2</v>
      </c>
      <c r="R25" s="450" t="n">
        <v>1</v>
      </c>
      <c r="X25" s="20" t="n"/>
      <c r="AF25" s="450" t="n"/>
      <c r="AH25" s="450" t="n">
        <v>0</v>
      </c>
      <c r="AM25" s="450" t="n">
        <v>4</v>
      </c>
      <c r="AN25" s="45" t="n">
        <v>0</v>
      </c>
      <c r="AO25" s="450" t="n">
        <v>0</v>
      </c>
      <c r="AP25" s="251" t="n">
        <v>0</v>
      </c>
      <c r="AQ25" s="12" t="n"/>
      <c r="AR25" s="216" t="n">
        <v>-1</v>
      </c>
      <c r="AS25" s="216" t="n"/>
      <c r="AT25" s="216" t="n">
        <v>2</v>
      </c>
      <c r="AU25" s="216">
        <f>N25+O25 + 0</f>
        <v/>
      </c>
      <c r="AW25" s="2">
        <f>SUM(AH25:AI25,AJ25/2,AK25:AL25)</f>
        <v/>
      </c>
      <c r="AX25" s="2">
        <f>AM25*0.5+SUM(AN25:AP25)</f>
        <v/>
      </c>
      <c r="AY25" s="39">
        <f>SUM(-AR25+AS25*0.01+AT25*0.5+AU25)</f>
        <v/>
      </c>
      <c r="AZ25" s="39">
        <f>'0分'!AF22</f>
        <v/>
      </c>
      <c r="BA25" s="39">
        <f>SUM(AY25,AX25,AW25)</f>
        <v/>
      </c>
      <c r="BB25" s="250" t="n"/>
      <c r="BC25" s="79">
        <f t="array" ref="BC25">SUMPRODUCT(--(NOT(ISBLANK('0₦'!D25:M25))), '0₦'!D$2:M$2) +  SUMPRODUCT(--(NOT(ISBLANK('0₦'!Q25:T25))), '0₦'!Q$2:T$2)</f>
        <v/>
      </c>
      <c r="BD25" s="250">
        <f t="array" ref="BD25">SUMPRODUCT(--(NOT(ISBLANK('0₦'!N25:P25))),'0₦'!N$2:P$2)+'0₦'!AY25</f>
        <v/>
      </c>
      <c r="BE25" s="79">
        <f t="array" ref="BE25">SUMPRODUCT(--(NOT(ISBLANK('0₦'!AA25:AC25))),'0₦'!AA$2:AC$2) + BF25</f>
        <v/>
      </c>
      <c r="BF25" s="79" t="n"/>
      <c r="BG25" s="79">
        <f t="array" ref="BG25">SUMPRODUCT(--(NOT(ISBLANK('0₦'!U25:Z25))), '0₦'!U$2:Z$2)</f>
        <v/>
      </c>
      <c r="BH25" s="79" t="n"/>
      <c r="BI25" s="79">
        <f>SUM(BG25:BH25)</f>
        <v/>
      </c>
      <c r="BJ25" s="79" t="n"/>
      <c r="BK25" s="79" t="n"/>
      <c r="BL25" s="79" t="n"/>
      <c r="BM25" s="79" t="n"/>
      <c r="BN25" s="79" t="n"/>
      <c r="BO25" s="79" t="n"/>
      <c r="BP25" s="79" t="n"/>
      <c r="BQ25" s="79" t="n"/>
      <c r="BR25" s="79" t="n"/>
      <c r="BS25" s="79" t="n"/>
      <c r="BT25" s="79" t="n"/>
      <c r="BU25" s="79" t="n"/>
      <c r="BV25" s="79" t="n"/>
      <c r="BW25" s="79" t="n"/>
      <c r="BX25" s="79" t="n"/>
      <c r="BY25" s="79" t="n"/>
      <c r="BZ25" s="79" t="n"/>
      <c r="CA25" s="79" t="n"/>
    </row>
    <row r="26">
      <c r="A26" s="462">
        <f>A19+0.1</f>
        <v/>
      </c>
      <c r="B26" s="150" t="inlineStr">
        <is>
          <t>S</t>
        </is>
      </c>
      <c r="C26" s="550">
        <f>C25+1</f>
        <v/>
      </c>
      <c r="G26" s="216" t="n"/>
      <c r="H26" s="57" t="n"/>
      <c r="O26" s="216" t="n"/>
      <c r="X26" s="20" t="n"/>
      <c r="AF26" s="450" t="n"/>
      <c r="AN26" s="251" t="n"/>
      <c r="AP26" s="45" t="n"/>
      <c r="AQ26" s="12" t="n"/>
      <c r="AR26" s="216" t="n">
        <v>40</v>
      </c>
      <c r="AS26" s="216" t="n"/>
      <c r="AT26" s="216" t="n"/>
      <c r="AU26" s="216">
        <f>N26+O26 + 0</f>
        <v/>
      </c>
      <c r="AW26" s="2">
        <f>SUM(AH26:AI26,AJ26/2,AK26:AL26)</f>
        <v/>
      </c>
      <c r="AX26" s="2">
        <f>AM26*0.5+SUM(AN26:AP26)</f>
        <v/>
      </c>
      <c r="AY26" s="39">
        <f>SUM(-AR26+AS26*0.01+AT26*0.5+AU26)</f>
        <v/>
      </c>
      <c r="AZ26" s="39">
        <f>'0分'!AF23</f>
        <v/>
      </c>
      <c r="BA26" s="39">
        <f>SUM(AY26,AX26,AW26)</f>
        <v/>
      </c>
      <c r="BB26" s="250" t="n"/>
      <c r="BC26" s="79">
        <f t="array" ref="BC26">SUMPRODUCT(--(NOT(ISBLANK('0₦'!D26:M26))), '0₦'!D$2:M$2) +  SUMPRODUCT(--(NOT(ISBLANK('0₦'!Q26:T26))), '0₦'!Q$2:T$2)</f>
        <v/>
      </c>
      <c r="BD26" s="250">
        <f t="array" ref="BD26">SUMPRODUCT(--(NOT(ISBLANK('0₦'!N26:P26))),'0₦'!N$2:P$2)+'0₦'!AY26</f>
        <v/>
      </c>
      <c r="BE26" s="79">
        <f t="array" ref="BE26">SUMPRODUCT(--(NOT(ISBLANK('0₦'!AA26:AC26))),'0₦'!AA$2:AC$2) + BF26</f>
        <v/>
      </c>
      <c r="BF26" s="79" t="n"/>
      <c r="BG26" s="79">
        <f t="array" ref="BG26">SUMPRODUCT(--(NOT(ISBLANK('0₦'!U26:Z26))), '0₦'!U$2:Z$2)</f>
        <v/>
      </c>
      <c r="BH26" s="79" t="n"/>
      <c r="BI26" s="79">
        <f>SUM(BG26:BH26)</f>
        <v/>
      </c>
      <c r="BJ26" s="79" t="n"/>
      <c r="BK26" s="79" t="n"/>
      <c r="BL26" s="79" t="n"/>
      <c r="BM26" s="79" t="n"/>
      <c r="BN26" s="79" t="n"/>
      <c r="BO26" s="79" t="n"/>
      <c r="BP26" s="79" t="n"/>
      <c r="BQ26" s="79" t="n"/>
      <c r="BR26" s="79" t="n"/>
      <c r="BS26" s="79" t="n"/>
      <c r="BT26" s="79" t="n"/>
      <c r="BU26" s="79" t="n"/>
      <c r="BV26" s="79" t="n"/>
      <c r="BW26" s="79" t="n"/>
      <c r="BX26" s="79" t="n"/>
      <c r="BY26" s="79" t="n"/>
      <c r="BZ26" s="79" t="n"/>
      <c r="CA26" s="79" t="n"/>
    </row>
    <row r="27" ht="17.1" customHeight="1" s="37">
      <c r="A27" s="551" t="n"/>
      <c r="B27" s="150" t="inlineStr">
        <is>
          <t>M</t>
        </is>
      </c>
      <c r="C27" s="550">
        <f>C26+1</f>
        <v/>
      </c>
      <c r="G27" s="216" t="n"/>
      <c r="H27" s="57" t="n"/>
      <c r="O27" s="216" t="n"/>
      <c r="X27" s="20" t="n"/>
      <c r="AF27" s="450" t="n"/>
      <c r="AN27" s="45" t="n"/>
      <c r="AP27" s="45" t="n"/>
      <c r="AQ27" s="12" t="n"/>
      <c r="AR27" s="216" t="n">
        <v>40</v>
      </c>
      <c r="AS27" s="216" t="n"/>
      <c r="AT27" s="216" t="n"/>
      <c r="AU27" s="216">
        <f>N27+O27 + 0</f>
        <v/>
      </c>
      <c r="AW27" s="2">
        <f>SUM(AH27:AI27,AJ27/2,AK27:AL27)</f>
        <v/>
      </c>
      <c r="AX27" s="2">
        <f>AM27*0.5+SUM(AN27:AP27)</f>
        <v/>
      </c>
      <c r="AY27" s="39">
        <f>SUM(-AR27+AS27*0.01+AT27*0.5+AU27)</f>
        <v/>
      </c>
      <c r="AZ27" s="39">
        <f>'0分'!AF24</f>
        <v/>
      </c>
      <c r="BA27" s="39">
        <f>SUM(AY27,AX27,AW27)</f>
        <v/>
      </c>
      <c r="BB27" s="250" t="n"/>
      <c r="BC27" s="79">
        <f t="array" ref="BC27">SUMPRODUCT(--(NOT(ISBLANK('0₦'!D27:M27))), '0₦'!D$2:M$2) +  SUMPRODUCT(--(NOT(ISBLANK('0₦'!Q27:T27))), '0₦'!Q$2:T$2)</f>
        <v/>
      </c>
      <c r="BD27" s="250">
        <f t="array" ref="BD27">SUMPRODUCT(--(NOT(ISBLANK('0₦'!N27:P27))),'0₦'!N$2:P$2)+'0₦'!AY27</f>
        <v/>
      </c>
      <c r="BE27" s="79">
        <f t="array" ref="BE27">SUMPRODUCT(--(NOT(ISBLANK('0₦'!AA27:AC27))),'0₦'!AA$2:AC$2) + BF27</f>
        <v/>
      </c>
      <c r="BF27" s="79" t="n"/>
      <c r="BG27" s="79">
        <f t="array" ref="BG27">SUMPRODUCT(--(NOT(ISBLANK('0₦'!U27:Z27))), '0₦'!U$2:Z$2)</f>
        <v/>
      </c>
      <c r="BH27" s="79" t="n"/>
      <c r="BI27" s="79">
        <f>SUM(BG27:BH27)</f>
        <v/>
      </c>
      <c r="BJ27" s="79" t="n"/>
      <c r="BK27" s="79" t="n"/>
      <c r="BL27" s="79" t="n"/>
      <c r="BM27" s="79" t="n"/>
      <c r="BN27" s="79" t="n"/>
      <c r="BO27" s="79" t="n"/>
      <c r="BP27" s="79" t="n"/>
      <c r="BQ27" s="79" t="n"/>
      <c r="BR27" s="79" t="n"/>
      <c r="BS27" s="79" t="n"/>
      <c r="BT27" s="79" t="n"/>
      <c r="BU27" s="79" t="n"/>
      <c r="BV27" s="79" t="n"/>
      <c r="BW27" s="79" t="n"/>
      <c r="BX27" s="79" t="n"/>
      <c r="BY27" s="79" t="n"/>
      <c r="BZ27" s="79" t="n"/>
      <c r="CA27" s="79" t="n"/>
    </row>
    <row r="28" ht="15.95" customHeight="1" s="37">
      <c r="A28" s="551" t="n"/>
      <c r="B28" s="150" t="inlineStr">
        <is>
          <t>T</t>
        </is>
      </c>
      <c r="C28" s="550">
        <f>C27+1</f>
        <v/>
      </c>
      <c r="G28" s="216" t="n"/>
      <c r="H28" s="57" t="n"/>
      <c r="O28" s="216" t="n"/>
      <c r="X28" s="20" t="n"/>
      <c r="AF28" s="450" t="n"/>
      <c r="AN28" s="45" t="n"/>
      <c r="AP28" s="251" t="n"/>
      <c r="AQ28" s="6" t="n"/>
      <c r="AR28" s="216" t="n">
        <v>40</v>
      </c>
      <c r="AS28" s="216" t="n"/>
      <c r="AT28" s="216" t="n"/>
      <c r="AU28" s="216">
        <f>N28+O28 + 0</f>
        <v/>
      </c>
      <c r="AW28" s="2">
        <f>SUM(AH28:AI28,AJ28/2,AK28:AL28)</f>
        <v/>
      </c>
      <c r="AX28" s="2">
        <f>AM28*0.5+SUM(AN28:AP28)</f>
        <v/>
      </c>
      <c r="AY28" s="39">
        <f>SUM(-AR28+AS28*0.01+AT28*0.5+AU28)</f>
        <v/>
      </c>
      <c r="AZ28" s="39">
        <f>'0分'!AF25</f>
        <v/>
      </c>
      <c r="BA28" s="39">
        <f>SUM(AY28,AX28,AW28)</f>
        <v/>
      </c>
      <c r="BB28" s="250" t="n"/>
      <c r="BC28" s="79">
        <f t="array" ref="BC28">SUMPRODUCT(--(NOT(ISBLANK('0₦'!D28:M28))), '0₦'!D$2:M$2) +  SUMPRODUCT(--(NOT(ISBLANK('0₦'!Q28:T28))), '0₦'!Q$2:T$2)</f>
        <v/>
      </c>
      <c r="BD28" s="250">
        <f t="array" ref="BD28">SUMPRODUCT(--(NOT(ISBLANK('0₦'!N28:P28))),'0₦'!N$2:P$2)+'0₦'!AY28</f>
        <v/>
      </c>
      <c r="BE28" s="79">
        <f t="array" ref="BE28">SUMPRODUCT(--(NOT(ISBLANK('0₦'!AA28:AC28))),'0₦'!AA$2:AC$2) + BF28</f>
        <v/>
      </c>
      <c r="BF28" s="79" t="n"/>
      <c r="BG28" s="79">
        <f t="array" ref="BG28">SUMPRODUCT(--(NOT(ISBLANK('0₦'!U28:Z28))), '0₦'!U$2:Z$2)</f>
        <v/>
      </c>
      <c r="BH28" s="79" t="n"/>
      <c r="BI28" s="79">
        <f>SUM(BG28:BH28)</f>
        <v/>
      </c>
      <c r="BJ28" s="79" t="n"/>
      <c r="BK28" s="79" t="n"/>
      <c r="BL28" s="79" t="n"/>
      <c r="BM28" s="79" t="n"/>
      <c r="BN28" s="79" t="n"/>
      <c r="BO28" s="79" t="n"/>
      <c r="BP28" s="79" t="n"/>
      <c r="BQ28" s="79" t="n"/>
      <c r="BR28" s="79" t="n"/>
      <c r="BS28" s="79" t="n"/>
      <c r="BT28" s="79" t="n"/>
      <c r="BU28" s="79" t="n"/>
      <c r="BV28" s="79" t="n"/>
      <c r="BW28" s="79" t="n"/>
      <c r="BX28" s="79" t="n"/>
      <c r="BY28" s="79" t="n"/>
      <c r="BZ28" s="79" t="n"/>
      <c r="CA28" s="79" t="n"/>
    </row>
    <row r="29" ht="17.1" customHeight="1" s="37">
      <c r="A29" s="551" t="n"/>
      <c r="B29" s="150" t="inlineStr">
        <is>
          <t>W</t>
        </is>
      </c>
      <c r="C29" s="550">
        <f>C28+1</f>
        <v/>
      </c>
      <c r="G29" s="216" t="n"/>
      <c r="H29" s="57" t="n"/>
      <c r="O29" s="216" t="n"/>
      <c r="X29" s="20" t="n"/>
      <c r="AF29" s="450" t="n"/>
      <c r="AN29" s="251" t="n"/>
      <c r="AP29" s="251" t="n"/>
      <c r="AQ29" s="6" t="n"/>
      <c r="AR29" s="216" t="n">
        <v>40</v>
      </c>
      <c r="AS29" s="216" t="n"/>
      <c r="AT29" s="216" t="n"/>
      <c r="AU29" s="216">
        <f>N29+O29 + 0</f>
        <v/>
      </c>
      <c r="AW29" s="2">
        <f>SUM(AH29:AI29,AJ29/2,AK29:AL29)</f>
        <v/>
      </c>
      <c r="AX29" s="2">
        <f>AM29*0.5+SUM(AN29:AP29)</f>
        <v/>
      </c>
      <c r="AY29" s="39">
        <f>SUM(-AR29+AS29*0.01+AT29*0.5+AU29)</f>
        <v/>
      </c>
      <c r="AZ29" s="39">
        <f>'0分'!AF26</f>
        <v/>
      </c>
      <c r="BA29" s="39">
        <f>SUM(AY29,AX29,AW29)</f>
        <v/>
      </c>
      <c r="BB29" s="250" t="n"/>
      <c r="BC29" s="79">
        <f t="array" ref="BC29">SUMPRODUCT(--(NOT(ISBLANK('0₦'!D29:M29))), '0₦'!D$2:M$2) +  SUMPRODUCT(--(NOT(ISBLANK('0₦'!Q29:T29))), '0₦'!Q$2:T$2)</f>
        <v/>
      </c>
      <c r="BD29" s="250">
        <f t="array" ref="BD29">SUMPRODUCT(--(NOT(ISBLANK('0₦'!N29:P29))),'0₦'!N$2:P$2)+'0₦'!AY29</f>
        <v/>
      </c>
      <c r="BE29" s="79">
        <f t="array" ref="BE29">SUMPRODUCT(--(NOT(ISBLANK('0₦'!AA29:AC29))),'0₦'!AA$2:AC$2) + BF29</f>
        <v/>
      </c>
      <c r="BF29" s="79" t="n"/>
      <c r="BG29" s="79">
        <f t="array" ref="BG29">SUMPRODUCT(--(NOT(ISBLANK('0₦'!U29:Z29))), '0₦'!U$2:Z$2)</f>
        <v/>
      </c>
      <c r="BH29" s="79" t="n"/>
      <c r="BI29" s="79">
        <f>SUM(BG29:BH29)</f>
        <v/>
      </c>
      <c r="BJ29" s="79" t="n"/>
      <c r="BK29" s="79" t="n"/>
      <c r="BL29" s="79" t="n"/>
      <c r="BM29" s="79" t="n"/>
      <c r="BN29" s="79" t="n"/>
      <c r="BO29" s="79" t="n"/>
      <c r="BP29" s="79" t="n"/>
      <c r="BQ29" s="79" t="n"/>
      <c r="BR29" s="79" t="n"/>
      <c r="BS29" s="79" t="n"/>
      <c r="BT29" s="79" t="n"/>
      <c r="BU29" s="79" t="n"/>
      <c r="BV29" s="79" t="n"/>
      <c r="BW29" s="79" t="n"/>
      <c r="BX29" s="79" t="n"/>
      <c r="BY29" s="79" t="n"/>
      <c r="BZ29" s="79" t="n"/>
      <c r="CA29" s="79" t="n"/>
    </row>
    <row r="30" ht="17.1" customHeight="1" s="37">
      <c r="A30" s="551" t="n"/>
      <c r="B30" s="150" t="inlineStr">
        <is>
          <t>Th</t>
        </is>
      </c>
      <c r="C30" s="550">
        <f>C29+1</f>
        <v/>
      </c>
      <c r="G30" s="216" t="n"/>
      <c r="L30" s="38" t="n"/>
      <c r="O30" s="216" t="n"/>
      <c r="X30" s="20" t="n"/>
      <c r="AF30" s="450" t="n"/>
      <c r="AN30" s="45" t="n"/>
      <c r="AP30" s="45" t="n"/>
      <c r="AQ30" s="6" t="n"/>
      <c r="AR30" s="216" t="n">
        <v>40</v>
      </c>
      <c r="AS30" s="214" t="n"/>
      <c r="AT30" s="214" t="n"/>
      <c r="AU30" s="216">
        <f>N30+O30 + 0</f>
        <v/>
      </c>
      <c r="AW30" s="2">
        <f>SUM(AH30:AI30,AJ30/2,AK30:AL30)</f>
        <v/>
      </c>
      <c r="AX30" s="2">
        <f>AM30*0.5+SUM(AN30:AP30)</f>
        <v/>
      </c>
      <c r="AY30" s="39">
        <f>SUM(-AR30+AS30*0.01+AT30*0.5+AU30)</f>
        <v/>
      </c>
      <c r="AZ30" s="39">
        <f>'0分'!AF27</f>
        <v/>
      </c>
      <c r="BA30" s="39">
        <f>SUM(AY30,AX30,AW30)</f>
        <v/>
      </c>
      <c r="BB30" s="250" t="n"/>
      <c r="BC30" s="79">
        <f t="array" ref="BC30">SUMPRODUCT(--(NOT(ISBLANK('0₦'!D30:M30))), '0₦'!D$2:M$2) +  SUMPRODUCT(--(NOT(ISBLANK('0₦'!Q30:T30))), '0₦'!Q$2:T$2)</f>
        <v/>
      </c>
      <c r="BD30" s="250">
        <f t="array" ref="BD30">SUMPRODUCT(--(NOT(ISBLANK('0₦'!N30:P30))),'0₦'!N$2:P$2)+'0₦'!AY30</f>
        <v/>
      </c>
      <c r="BE30" s="79">
        <f t="array" ref="BE30">SUMPRODUCT(--(NOT(ISBLANK('0₦'!AA30:AC30))),'0₦'!AA$2:AC$2) + BF30</f>
        <v/>
      </c>
      <c r="BF30" s="79" t="n"/>
      <c r="BG30" s="79">
        <f t="array" ref="BG30">SUMPRODUCT(--(NOT(ISBLANK('0₦'!U30:Z30))), '0₦'!U$2:Z$2)</f>
        <v/>
      </c>
      <c r="BH30" s="79" t="n"/>
      <c r="BI30" s="79">
        <f>SUM(BG30:BH30)</f>
        <v/>
      </c>
      <c r="BJ30" s="79" t="n"/>
      <c r="BK30" s="79" t="n"/>
      <c r="BL30" s="79" t="n"/>
      <c r="BM30" s="79" t="n"/>
      <c r="BN30" s="79" t="n"/>
      <c r="BO30" s="79" t="n"/>
      <c r="BP30" s="79" t="n"/>
      <c r="BQ30" s="79" t="n"/>
      <c r="BR30" s="79" t="n"/>
      <c r="BS30" s="79" t="n"/>
      <c r="BT30" s="79" t="n"/>
      <c r="BU30" s="79" t="n"/>
      <c r="BV30" s="79" t="n"/>
      <c r="BW30" s="79" t="n"/>
      <c r="BX30" s="79" t="n"/>
      <c r="BY30" s="79" t="n"/>
      <c r="BZ30" s="79" t="n"/>
      <c r="CA30" s="79" t="n"/>
    </row>
    <row r="31">
      <c r="A31" s="551" t="n"/>
      <c r="B31" s="150" t="inlineStr">
        <is>
          <t>F</t>
        </is>
      </c>
      <c r="C31" s="550">
        <f>C30+1</f>
        <v/>
      </c>
      <c r="G31" s="216" t="n"/>
      <c r="H31" s="57" t="n"/>
      <c r="O31" s="432" t="n"/>
      <c r="X31" s="20" t="n"/>
      <c r="AF31" s="450" t="n"/>
      <c r="AN31" s="45" t="n"/>
      <c r="AO31" s="38" t="n"/>
      <c r="AP31" s="45" t="n"/>
      <c r="AQ31" s="12" t="n"/>
      <c r="AR31" s="216" t="n">
        <v>40</v>
      </c>
      <c r="AS31" s="214" t="n"/>
      <c r="AT31" s="216" t="n"/>
      <c r="AU31" s="216">
        <f>N31+O31 + 0</f>
        <v/>
      </c>
      <c r="AW31" s="2">
        <f>SUM(AH31:AI31,AJ31/2,AK31:AL31)</f>
        <v/>
      </c>
      <c r="AX31" s="2">
        <f>AM31*0.5+SUM(AN31:AP31)</f>
        <v/>
      </c>
      <c r="AY31" s="39">
        <f>SUM(-AR31+AS31*0.01+AT31*0.5+AU31)</f>
        <v/>
      </c>
      <c r="AZ31" s="39">
        <f>'0分'!AF28</f>
        <v/>
      </c>
      <c r="BA31" s="39">
        <f>SUM(AY31,AX31,AW31)</f>
        <v/>
      </c>
      <c r="BB31" s="250" t="n"/>
      <c r="BC31" s="79">
        <f t="array" ref="BC31">SUMPRODUCT(--(NOT(ISBLANK('0₦'!D31:M31))), '0₦'!D$2:M$2) +  SUMPRODUCT(--(NOT(ISBLANK('0₦'!Q31:T31))), '0₦'!Q$2:T$2)</f>
        <v/>
      </c>
      <c r="BD31" s="250">
        <f t="array" ref="BD31">SUMPRODUCT(--(NOT(ISBLANK('0₦'!N31:P31))),'0₦'!N$2:P$2)+'0₦'!AY31</f>
        <v/>
      </c>
      <c r="BE31" s="79">
        <f t="array" ref="BE31">SUMPRODUCT(--(NOT(ISBLANK('0₦'!AA31:AC31))),'0₦'!AA$2:AC$2) + BF31</f>
        <v/>
      </c>
      <c r="BF31" s="79" t="n"/>
      <c r="BG31" s="79">
        <f t="array" ref="BG31">SUMPRODUCT(--(NOT(ISBLANK('0₦'!U31:Z31))), '0₦'!U$2:Z$2)</f>
        <v/>
      </c>
      <c r="BH31" s="79" t="n"/>
      <c r="BI31" s="79">
        <f>SUM(BG31:BH31)</f>
        <v/>
      </c>
      <c r="BJ31" s="79" t="n"/>
      <c r="BK31" s="79" t="n"/>
      <c r="BL31" s="79" t="n"/>
      <c r="BM31" s="79" t="n"/>
      <c r="BN31" s="79" t="n"/>
      <c r="BO31" s="79" t="n"/>
      <c r="BP31" s="79" t="n"/>
      <c r="BQ31" s="79" t="n"/>
      <c r="BR31" s="79" t="n"/>
      <c r="BS31" s="79" t="n"/>
      <c r="BT31" s="79" t="n"/>
      <c r="BU31" s="79" t="n"/>
      <c r="BV31" s="79" t="n"/>
      <c r="BW31" s="79" t="n"/>
      <c r="BX31" s="79" t="n"/>
      <c r="BY31" s="79" t="n"/>
      <c r="BZ31" s="79" t="n"/>
      <c r="CA31" s="79" t="n"/>
    </row>
    <row r="32" ht="18" customHeight="1" s="37">
      <c r="A32" s="552" t="n"/>
      <c r="B32" s="150" t="inlineStr">
        <is>
          <t>S</t>
        </is>
      </c>
      <c r="C32" s="550">
        <f>C31+1</f>
        <v/>
      </c>
      <c r="G32" s="216" t="n"/>
      <c r="H32" s="57" t="n"/>
      <c r="O32" s="216" t="n"/>
      <c r="X32" s="20" t="n"/>
      <c r="AF32" s="450" t="n"/>
      <c r="AN32" s="45" t="n"/>
      <c r="AP32" s="45" t="n"/>
      <c r="AQ32" s="12" t="n"/>
      <c r="AR32" s="216" t="n">
        <v>40</v>
      </c>
      <c r="AS32" s="214" t="n"/>
      <c r="AT32" s="214" t="n"/>
      <c r="AU32" s="216">
        <f>N32+O32 + 0</f>
        <v/>
      </c>
      <c r="AW32" s="2">
        <f>SUM(AH32:AI32,AJ32/2,AK32:AL32)</f>
        <v/>
      </c>
      <c r="AX32" s="2">
        <f>AM32*0.5+SUM(AN32:AP32)</f>
        <v/>
      </c>
      <c r="AY32" s="39">
        <f>SUM(-AR32+AS32*0.01+AT32*0.5+AU32)</f>
        <v/>
      </c>
      <c r="AZ32" s="39">
        <f>'0分'!AF29</f>
        <v/>
      </c>
      <c r="BA32" s="39">
        <f>SUM(AY32,AX32,AW32)</f>
        <v/>
      </c>
      <c r="BB32" s="250" t="n"/>
      <c r="BC32" s="79">
        <f t="array" ref="BC32">SUMPRODUCT(--(NOT(ISBLANK('0₦'!D32:M32))), '0₦'!D$2:M$2) +  SUMPRODUCT(--(NOT(ISBLANK('0₦'!Q32:T32))), '0₦'!Q$2:T$2)</f>
        <v/>
      </c>
      <c r="BD32" s="250">
        <f t="array" ref="BD32">SUMPRODUCT(--(NOT(ISBLANK('0₦'!N32:P32))),'0₦'!N$2:P$2)+'0₦'!AY32</f>
        <v/>
      </c>
      <c r="BE32" s="79">
        <f t="array" ref="BE32">SUMPRODUCT(--(NOT(ISBLANK('0₦'!AA32:AC32))),'0₦'!AA$2:AC$2) + BF32</f>
        <v/>
      </c>
      <c r="BF32" s="79" t="n"/>
      <c r="BG32" s="79">
        <f t="array" ref="BG32">SUMPRODUCT(--(NOT(ISBLANK('0₦'!U32:Z32))), '0₦'!U$2:Z$2)</f>
        <v/>
      </c>
      <c r="BH32" s="79" t="n"/>
      <c r="BI32" s="79">
        <f>SUM(BG32:BH32)</f>
        <v/>
      </c>
      <c r="BJ32" s="79" t="n"/>
      <c r="BK32" s="79" t="n"/>
      <c r="BL32" s="79" t="n"/>
      <c r="BM32" s="79" t="n"/>
      <c r="BN32" s="79" t="n"/>
      <c r="BO32" s="79" t="n"/>
      <c r="BP32" s="79" t="n"/>
      <c r="BQ32" s="79" t="n"/>
      <c r="BR32" s="79" t="n"/>
      <c r="BS32" s="79" t="n"/>
      <c r="BT32" s="79" t="n"/>
      <c r="BU32" s="79" t="n"/>
      <c r="BV32" s="79" t="n"/>
      <c r="BW32" s="79" t="n"/>
      <c r="BX32" s="79" t="n"/>
      <c r="BY32" s="79" t="n"/>
      <c r="BZ32" s="79" t="n"/>
      <c r="CA32" s="79" t="n"/>
    </row>
    <row r="33" hidden="1" ht="18" customHeight="1" s="37">
      <c r="A33" s="462">
        <f>A5+1</f>
        <v/>
      </c>
      <c r="B33" s="150" t="inlineStr">
        <is>
          <t>S</t>
        </is>
      </c>
      <c r="C33" s="550">
        <f>C32+1</f>
        <v/>
      </c>
      <c r="G33" s="216" t="n"/>
      <c r="H33" s="57" t="n"/>
      <c r="O33" s="216" t="n"/>
      <c r="X33" s="20" t="n"/>
      <c r="AF33" s="450" t="n"/>
      <c r="AN33" s="45" t="n"/>
      <c r="AP33" s="45" t="n"/>
      <c r="AQ33" s="12" t="n"/>
      <c r="AR33" s="216" t="n">
        <v>40</v>
      </c>
      <c r="AS33" s="214" t="n"/>
      <c r="AT33" s="214" t="n"/>
      <c r="AU33" s="216">
        <f>N33+O33 + 0</f>
        <v/>
      </c>
      <c r="AW33" s="2">
        <f>SUM(AH33:AI33,AJ33/2,AK33:AL33)</f>
        <v/>
      </c>
      <c r="AX33" s="2">
        <f>AM33*0.5+SUM(AN33:AP33)</f>
        <v/>
      </c>
      <c r="AY33" s="39">
        <f>SUM(-AR33+AS33*0.01+AT33*0.5+AU33)</f>
        <v/>
      </c>
      <c r="AZ33" s="39">
        <f>'0分'!AF30</f>
        <v/>
      </c>
      <c r="BA33" s="39">
        <f>SUM(AY33,AX33,AW33)</f>
        <v/>
      </c>
      <c r="BB33" s="250" t="n"/>
      <c r="BC33" s="79">
        <f t="array" ref="BC33">SUMPRODUCT(--(NOT(ISBLANK('0₦'!D33:M33))), '0₦'!D$2:M$2) +  SUMPRODUCT(--(NOT(ISBLANK('0₦'!Q33:T33))), '0₦'!Q$2:T$2)</f>
        <v/>
      </c>
      <c r="BD33" s="250">
        <f t="array" ref="BD33">SUMPRODUCT(--(NOT(ISBLANK('0₦'!N33:P33))),'0₦'!N$2:P$2)+'0₦'!AY33</f>
        <v/>
      </c>
      <c r="BE33" s="79">
        <f t="array" ref="BE33">SUMPRODUCT(--(NOT(ISBLANK('0₦'!AA33:AC33))),'0₦'!AA$2:AC$2) + BF33</f>
        <v/>
      </c>
      <c r="BF33" s="79" t="n"/>
      <c r="BG33" s="79">
        <f t="array" ref="BG33">SUMPRODUCT(--(NOT(ISBLANK('0₦'!U33:Z33))), '0₦'!U$2:Z$2)</f>
        <v/>
      </c>
      <c r="BH33" s="79" t="n"/>
      <c r="BI33" s="79">
        <f>SUM(BG33:BH33)</f>
        <v/>
      </c>
      <c r="BJ33" s="79" t="n"/>
      <c r="BK33" s="79" t="n"/>
      <c r="BL33" s="79" t="n"/>
      <c r="BM33" s="79" t="n"/>
      <c r="BN33" s="79" t="n"/>
      <c r="BO33" s="79" t="n"/>
      <c r="BP33" s="79" t="n"/>
      <c r="BQ33" s="79" t="n"/>
      <c r="BR33" s="79" t="n"/>
      <c r="BS33" s="79" t="n"/>
      <c r="BT33" s="79" t="n"/>
      <c r="BU33" s="79" t="n"/>
      <c r="BV33" s="79" t="n"/>
      <c r="BW33" s="79" t="n"/>
      <c r="BX33" s="79" t="n"/>
      <c r="BY33" s="79" t="n"/>
      <c r="BZ33" s="79" t="n"/>
      <c r="CA33" s="79" t="n"/>
    </row>
    <row r="34" hidden="1" ht="18.95" customHeight="1" s="37">
      <c r="A34" s="551" t="n"/>
      <c r="B34" s="150" t="inlineStr">
        <is>
          <t>M</t>
        </is>
      </c>
      <c r="C34" s="550">
        <f>C33+1</f>
        <v/>
      </c>
      <c r="G34" s="216" t="n"/>
      <c r="H34" s="57" t="n"/>
      <c r="O34" s="216" t="n"/>
      <c r="X34" s="20" t="n"/>
      <c r="AF34" s="450" t="n"/>
      <c r="AN34" s="45" t="n"/>
      <c r="AP34" s="251" t="n"/>
      <c r="AQ34" s="12" t="n"/>
      <c r="AR34" s="216" t="n">
        <v>40</v>
      </c>
      <c r="AS34" s="214" t="n"/>
      <c r="AT34" s="214" t="n"/>
      <c r="AU34" s="216">
        <f>N34+O34 + 0</f>
        <v/>
      </c>
      <c r="AW34" s="2">
        <f>SUM(AH34:AI34,AJ34/2,AK34:AL34)</f>
        <v/>
      </c>
      <c r="AX34" s="2">
        <f>AM34*0.5+SUM(AN34:AP34)</f>
        <v/>
      </c>
      <c r="AY34" s="39">
        <f>SUM(-AR34+AS34*0.01+AT34*0.5+AU34)</f>
        <v/>
      </c>
      <c r="AZ34" s="39">
        <f>'0分'!AF31</f>
        <v/>
      </c>
      <c r="BA34" s="39">
        <f>SUM(AY34,AX34,AW34)</f>
        <v/>
      </c>
      <c r="BB34" s="250" t="n"/>
      <c r="BC34" s="79">
        <f t="array" ref="BC34">SUMPRODUCT(--(NOT(ISBLANK('0₦'!D34:M34))), '0₦'!D$2:M$2) +  SUMPRODUCT(--(NOT(ISBLANK('0₦'!Q34:T34))), '0₦'!Q$2:T$2)</f>
        <v/>
      </c>
      <c r="BD34" s="250">
        <f t="array" ref="BD34">SUMPRODUCT(--(NOT(ISBLANK('0₦'!N34:P34))),'0₦'!N$2:P$2)+'0₦'!AY34</f>
        <v/>
      </c>
      <c r="BE34" s="79">
        <f t="array" ref="BE34">SUMPRODUCT(--(NOT(ISBLANK('0₦'!AA34:AC34))),'0₦'!AA$2:AC$2) + BF34</f>
        <v/>
      </c>
      <c r="BF34" s="79" t="n"/>
      <c r="BG34" s="79">
        <f t="array" ref="BG34">SUMPRODUCT(--(NOT(ISBLANK('0₦'!U34:Z34))), '0₦'!U$2:Z$2)</f>
        <v/>
      </c>
      <c r="BH34" s="79" t="n"/>
      <c r="BI34" s="79">
        <f>SUM(BG34:BH34)</f>
        <v/>
      </c>
      <c r="BJ34" s="79" t="n"/>
      <c r="BK34" s="79" t="n"/>
      <c r="BL34" s="79" t="n"/>
      <c r="BM34" s="79" t="n"/>
      <c r="BN34" s="79" t="n"/>
      <c r="BO34" s="79" t="n"/>
      <c r="BP34" s="79" t="n"/>
      <c r="BQ34" s="79" t="n"/>
      <c r="BR34" s="79" t="n"/>
      <c r="BS34" s="79" t="n"/>
      <c r="BT34" s="79" t="n"/>
      <c r="BU34" s="79" t="n"/>
      <c r="BV34" s="79" t="n"/>
      <c r="BW34" s="79" t="n"/>
      <c r="BX34" s="79" t="n"/>
      <c r="BY34" s="79" t="n"/>
      <c r="BZ34" s="79" t="n"/>
      <c r="CA34" s="79" t="n"/>
    </row>
    <row r="35" hidden="1" ht="17.1" customHeight="1" s="37">
      <c r="A35" s="551" t="n"/>
      <c r="B35" s="150" t="inlineStr">
        <is>
          <t>T</t>
        </is>
      </c>
      <c r="C35" s="550">
        <f>C34+1</f>
        <v/>
      </c>
      <c r="G35" s="216" t="n"/>
      <c r="H35" s="57" t="n"/>
      <c r="O35" s="216" t="n"/>
      <c r="Q35" s="38" t="n"/>
      <c r="X35" s="20" t="n"/>
      <c r="AF35" s="450" t="n"/>
      <c r="AN35" s="251" t="n"/>
      <c r="AO35" s="38" t="n"/>
      <c r="AP35" s="251" t="n"/>
      <c r="AQ35" s="12" t="n"/>
      <c r="AR35" s="216" t="n">
        <v>40</v>
      </c>
      <c r="AS35" s="216" t="n"/>
      <c r="AT35" s="216" t="n"/>
      <c r="AU35" s="216">
        <f>N35+O35 + 0</f>
        <v/>
      </c>
      <c r="AW35" s="2">
        <f>SUM(AH35:AI35,AJ35/2,AK35:AL35)</f>
        <v/>
      </c>
      <c r="AX35" s="2">
        <f>AM35*0.5+SUM(AN35:AP35)</f>
        <v/>
      </c>
      <c r="AY35" s="39">
        <f>SUM(-AR35+AS35*0.01+AT35*0.5+AU35)</f>
        <v/>
      </c>
      <c r="AZ35" s="39">
        <f>'0分'!AF32</f>
        <v/>
      </c>
      <c r="BA35" s="39">
        <f>SUM(AY35,AX35,AW35)</f>
        <v/>
      </c>
      <c r="BB35" s="250" t="n"/>
      <c r="BC35" s="79">
        <f t="array" ref="BC35">SUMPRODUCT(--(NOT(ISBLANK('0₦'!D35:M35))), '0₦'!D$2:M$2) +  SUMPRODUCT(--(NOT(ISBLANK('0₦'!Q35:T35))), '0₦'!Q$2:T$2)</f>
        <v/>
      </c>
      <c r="BD35" s="250">
        <f t="array" ref="BD35">SUMPRODUCT(--(NOT(ISBLANK('0₦'!N35:P35))),'0₦'!N$2:P$2)+'0₦'!AY35</f>
        <v/>
      </c>
      <c r="BE35" s="79">
        <f t="array" ref="BE35">SUMPRODUCT(--(NOT(ISBLANK('0₦'!AA35:AC35))),'0₦'!AA$2:AC$2) + BF35</f>
        <v/>
      </c>
      <c r="BF35" s="79" t="n"/>
      <c r="BG35" s="79">
        <f t="array" ref="BG35">SUMPRODUCT(--(NOT(ISBLANK('0₦'!U35:Z35))), '0₦'!U$2:Z$2)</f>
        <v/>
      </c>
      <c r="BH35" s="79" t="n"/>
      <c r="BI35" s="79">
        <f>SUM(BG35:BH35)</f>
        <v/>
      </c>
      <c r="BJ35" s="79" t="n"/>
      <c r="BK35" s="79" t="n"/>
      <c r="BL35" s="79" t="n"/>
      <c r="BM35" s="79" t="n"/>
      <c r="BN35" s="79" t="n"/>
      <c r="BO35" s="79" t="n"/>
      <c r="BP35" s="79" t="n"/>
      <c r="BQ35" s="79" t="n"/>
      <c r="BR35" s="79" t="n"/>
      <c r="BS35" s="79" t="n"/>
      <c r="BT35" s="79" t="n"/>
      <c r="BU35" s="79" t="n"/>
      <c r="BV35" s="79" t="n"/>
      <c r="BW35" s="79" t="n"/>
      <c r="BX35" s="79" t="n"/>
      <c r="BY35" s="79" t="n"/>
      <c r="BZ35" s="79" t="n"/>
      <c r="CA35" s="79" t="n"/>
    </row>
    <row r="36" hidden="1" ht="18" customHeight="1" s="37">
      <c r="A36" s="551" t="n"/>
      <c r="B36" s="150" t="inlineStr">
        <is>
          <t>W</t>
        </is>
      </c>
      <c r="C36" s="550">
        <f>C35+1</f>
        <v/>
      </c>
      <c r="G36" s="216" t="n"/>
      <c r="H36" s="57" t="n"/>
      <c r="O36" s="216" t="n"/>
      <c r="X36" s="20" t="n"/>
      <c r="AF36" s="450" t="n"/>
      <c r="AN36" s="45" t="n"/>
      <c r="AO36" s="38" t="n"/>
      <c r="AP36" s="251" t="n"/>
      <c r="AQ36" s="12" t="n"/>
      <c r="AR36" s="216" t="n">
        <v>40</v>
      </c>
      <c r="AS36" s="216" t="n"/>
      <c r="AT36" s="216" t="n"/>
      <c r="AU36" s="216">
        <f>N36+O36 + 0</f>
        <v/>
      </c>
      <c r="AW36" s="2">
        <f>SUM(AH36:AI36,AJ36/2,AK36:AL36)</f>
        <v/>
      </c>
      <c r="AX36" s="2">
        <f>AM36*0.5+SUM(AN36:AP36)</f>
        <v/>
      </c>
      <c r="AY36" s="39">
        <f>SUM(-AR36+AS36*0.01+AT36*0.5+AU36)</f>
        <v/>
      </c>
      <c r="AZ36" s="39">
        <f>'0分'!AF33</f>
        <v/>
      </c>
      <c r="BA36" s="39">
        <f>SUM(AY36,AX36,AW36)</f>
        <v/>
      </c>
      <c r="BB36" s="250" t="n"/>
      <c r="BC36" s="79">
        <f t="array" ref="BC36">SUMPRODUCT(--(NOT(ISBLANK('0₦'!D36:M36))), '0₦'!D$2:M$2) +  SUMPRODUCT(--(NOT(ISBLANK('0₦'!Q36:T36))), '0₦'!Q$2:T$2)</f>
        <v/>
      </c>
      <c r="BD36" s="250">
        <f t="array" ref="BD36">SUMPRODUCT(--(NOT(ISBLANK('0₦'!N36:P36))),'0₦'!N$2:P$2)+'0₦'!AY36</f>
        <v/>
      </c>
      <c r="BE36" s="79">
        <f t="array" ref="BE36">SUMPRODUCT(--(NOT(ISBLANK('0₦'!AA36:AC36))),'0₦'!AA$2:AC$2) + BF36</f>
        <v/>
      </c>
      <c r="BF36" s="79" t="n"/>
      <c r="BG36" s="79">
        <f t="array" ref="BG36">SUMPRODUCT(--(NOT(ISBLANK('0₦'!U36:Z36))), '0₦'!U$2:Z$2)</f>
        <v/>
      </c>
      <c r="BH36" s="79" t="n"/>
      <c r="BI36" s="79">
        <f>SUM(BG36:BH36)</f>
        <v/>
      </c>
      <c r="BJ36" s="79" t="n"/>
      <c r="BK36" s="79" t="n"/>
      <c r="BL36" s="79" t="n"/>
      <c r="BM36" s="79" t="n"/>
      <c r="BN36" s="79" t="n"/>
      <c r="BO36" s="79" t="n"/>
      <c r="BP36" s="79" t="n"/>
      <c r="BQ36" s="79" t="n"/>
      <c r="BR36" s="79" t="n"/>
      <c r="BS36" s="79" t="n"/>
      <c r="BT36" s="79" t="n"/>
      <c r="BU36" s="79" t="n"/>
      <c r="BV36" s="79" t="n"/>
      <c r="BW36" s="79" t="n"/>
      <c r="BX36" s="79" t="n"/>
      <c r="BY36" s="79" t="n"/>
      <c r="BZ36" s="79" t="n"/>
      <c r="CA36" s="79" t="n"/>
    </row>
    <row r="37" hidden="1" s="37">
      <c r="A37" s="551" t="n"/>
      <c r="B37" s="150" t="inlineStr">
        <is>
          <t>Th</t>
        </is>
      </c>
      <c r="C37" s="550">
        <f>C36+1</f>
        <v/>
      </c>
      <c r="G37" s="216" t="n"/>
      <c r="H37" s="57" t="n"/>
      <c r="N37" s="38" t="n"/>
      <c r="O37" s="214" t="n"/>
      <c r="U37" s="38" t="n"/>
      <c r="X37" s="20" t="n"/>
      <c r="AF37" s="450" t="n"/>
      <c r="AN37" s="251" t="n"/>
      <c r="AO37" s="38" t="n"/>
      <c r="AP37" s="251" t="n"/>
      <c r="AQ37" s="12" t="n"/>
      <c r="AR37" s="216" t="n">
        <v>40</v>
      </c>
      <c r="AS37" s="216" t="n"/>
      <c r="AT37" s="216" t="n"/>
      <c r="AU37" s="216">
        <f>N37+O37 + 0</f>
        <v/>
      </c>
      <c r="AW37" s="2">
        <f>SUM(AH37:AI37,AJ37/2,AK37:AL37)</f>
        <v/>
      </c>
      <c r="AX37" s="2">
        <f>AM37*0.5+SUM(AN37:AP37)</f>
        <v/>
      </c>
      <c r="AY37" s="39">
        <f>SUM(-AR37+AS37*0.01+AT37*0.5+AU37)</f>
        <v/>
      </c>
      <c r="AZ37" s="39">
        <f>'0分'!AF34</f>
        <v/>
      </c>
      <c r="BA37" s="39">
        <f>SUM(AY37,AX37,AW37)</f>
        <v/>
      </c>
      <c r="BB37" s="250" t="n"/>
      <c r="BC37" s="79">
        <f t="array" ref="BC37">SUMPRODUCT(--(NOT(ISBLANK('0₦'!D37:M37))), '0₦'!D$2:M$2) +  SUMPRODUCT(--(NOT(ISBLANK('0₦'!Q37:T37))), '0₦'!Q$2:T$2)</f>
        <v/>
      </c>
      <c r="BD37" s="250">
        <f t="array" ref="BD37">SUMPRODUCT(--(NOT(ISBLANK('0₦'!N37:P37))),'0₦'!N$2:P$2)+'0₦'!AY37</f>
        <v/>
      </c>
      <c r="BE37" s="79">
        <f t="array" ref="BE37">SUMPRODUCT(--(NOT(ISBLANK('0₦'!AA37:AC37))),'0₦'!AA$2:AC$2) + BF37</f>
        <v/>
      </c>
      <c r="BF37" s="79" t="n"/>
      <c r="BG37" s="79">
        <f t="array" ref="BG37">SUMPRODUCT(--(NOT(ISBLANK('0₦'!U37:Z37))), '0₦'!U$2:Z$2)</f>
        <v/>
      </c>
      <c r="BH37" s="79" t="n"/>
      <c r="BI37" s="79">
        <f>SUM(BG37:BH37)</f>
        <v/>
      </c>
      <c r="BJ37" s="79" t="n"/>
      <c r="BK37" s="79" t="n"/>
      <c r="BL37" s="79" t="n"/>
      <c r="BM37" s="79" t="n"/>
      <c r="BN37" s="79" t="n"/>
      <c r="BO37" s="79" t="n"/>
      <c r="BP37" s="79" t="n"/>
      <c r="BQ37" s="79" t="n"/>
      <c r="BR37" s="79" t="n"/>
      <c r="BS37" s="79" t="n"/>
      <c r="BT37" s="79" t="n"/>
      <c r="BU37" s="79" t="n"/>
      <c r="BV37" s="79" t="n"/>
      <c r="BW37" s="79" t="n"/>
      <c r="BX37" s="79" t="n"/>
      <c r="BY37" s="79" t="n"/>
      <c r="BZ37" s="79" t="n"/>
      <c r="CA37" s="79" t="n"/>
    </row>
    <row r="38" hidden="1" s="37">
      <c r="A38" s="551" t="n"/>
      <c r="B38" s="150" t="inlineStr">
        <is>
          <t>F</t>
        </is>
      </c>
      <c r="C38" s="550">
        <f>C37+1</f>
        <v/>
      </c>
      <c r="G38" s="216" t="n"/>
      <c r="H38" s="57" t="n"/>
      <c r="O38" s="216" t="n"/>
      <c r="X38" s="20" t="n"/>
      <c r="AF38" s="450" t="n"/>
      <c r="AN38" s="45" t="n"/>
      <c r="AP38" s="45" t="n"/>
      <c r="AQ38" s="12" t="n"/>
      <c r="AR38" s="216" t="n">
        <v>40</v>
      </c>
      <c r="AS38" s="216" t="n"/>
      <c r="AT38" s="216" t="n"/>
      <c r="AU38" s="216">
        <f>N38+O38 + 0</f>
        <v/>
      </c>
      <c r="AW38" s="2">
        <f>SUM(AH38:AI38,AJ38/2,AK38:AL38)</f>
        <v/>
      </c>
      <c r="AX38" s="2">
        <f>AM38*0.5+SUM(AN38:AP38)</f>
        <v/>
      </c>
      <c r="AY38" s="39">
        <f>SUM(-AR38+AS38*0.01+AT38*0.5+AU38)</f>
        <v/>
      </c>
      <c r="AZ38" s="39">
        <f>'0分'!AF35</f>
        <v/>
      </c>
      <c r="BA38" s="39">
        <f>SUM(AY38,AX38,AW38)</f>
        <v/>
      </c>
      <c r="BB38" s="250" t="n"/>
      <c r="BC38" s="79">
        <f t="array" ref="BC38">SUMPRODUCT(--(NOT(ISBLANK('0₦'!D38:M38))), '0₦'!D$2:M$2) +  SUMPRODUCT(--(NOT(ISBLANK('0₦'!Q38:T38))), '0₦'!Q$2:T$2)</f>
        <v/>
      </c>
      <c r="BD38" s="250">
        <f t="array" ref="BD38">SUMPRODUCT(--(NOT(ISBLANK('0₦'!N38:P38))),'0₦'!N$2:P$2)+'0₦'!AY38</f>
        <v/>
      </c>
      <c r="BE38" s="79">
        <f t="array" ref="BE38">SUMPRODUCT(--(NOT(ISBLANK('0₦'!AA38:AC38))),'0₦'!AA$2:AC$2) + BF38</f>
        <v/>
      </c>
      <c r="BF38" s="79" t="n"/>
      <c r="BG38" s="79">
        <f t="array" ref="BG38">SUMPRODUCT(--(NOT(ISBLANK('0₦'!U38:Z38))), '0₦'!U$2:Z$2)</f>
        <v/>
      </c>
      <c r="BH38" s="79" t="n"/>
      <c r="BI38" s="79">
        <f>SUM(BG38:BH38)</f>
        <v/>
      </c>
      <c r="BJ38" s="79" t="n"/>
      <c r="BK38" s="79" t="n"/>
      <c r="BL38" s="79" t="n"/>
      <c r="BM38" s="79" t="n"/>
      <c r="BN38" s="79" t="n"/>
      <c r="BO38" s="79" t="n"/>
      <c r="BP38" s="79" t="n"/>
      <c r="BQ38" s="79" t="n"/>
      <c r="BR38" s="79" t="n"/>
      <c r="BS38" s="79" t="n"/>
      <c r="BT38" s="79" t="n"/>
      <c r="BU38" s="79" t="n"/>
      <c r="BV38" s="79" t="n"/>
      <c r="BW38" s="79" t="n"/>
      <c r="BX38" s="79" t="n"/>
      <c r="BY38" s="79" t="n"/>
      <c r="BZ38" s="79" t="n"/>
      <c r="CA38" s="79" t="n"/>
    </row>
    <row r="39" hidden="1" ht="17.1" customHeight="1" s="37">
      <c r="A39" s="552" t="n"/>
      <c r="B39" s="150" t="inlineStr">
        <is>
          <t>S</t>
        </is>
      </c>
      <c r="C39" s="550">
        <f>C38+1</f>
        <v/>
      </c>
      <c r="G39" s="216" t="n"/>
      <c r="H39" s="57" t="n"/>
      <c r="O39" s="216" t="n"/>
      <c r="T39" s="38" t="n"/>
      <c r="X39" s="20" t="n"/>
      <c r="AF39" s="450" t="n"/>
      <c r="AN39" s="251" t="n"/>
      <c r="AP39" s="45" t="n"/>
      <c r="AQ39" s="12" t="n"/>
      <c r="AR39" s="216" t="n">
        <v>40</v>
      </c>
      <c r="AS39" s="214" t="n"/>
      <c r="AT39" s="214" t="n"/>
      <c r="AU39" s="216">
        <f>N39+O39 + 0</f>
        <v/>
      </c>
      <c r="AW39" s="2">
        <f>SUM(AH39:AI39,AJ39/2,AK39:AL39)</f>
        <v/>
      </c>
      <c r="AX39" s="2">
        <f>AM39*0.5+SUM(AN39:AP39)</f>
        <v/>
      </c>
      <c r="AY39" s="39">
        <f>SUM(-AR39+AS39*0.01+AT39*0.5+AU39)</f>
        <v/>
      </c>
      <c r="AZ39" s="39">
        <f>'0分'!AF36</f>
        <v/>
      </c>
      <c r="BA39" s="39">
        <f>SUM(AY39,AX39,AW39)</f>
        <v/>
      </c>
      <c r="BB39" s="250" t="n"/>
      <c r="BC39" s="79">
        <f t="array" ref="BC39">SUMPRODUCT(--(NOT(ISBLANK('0₦'!D39:M39))), '0₦'!D$2:M$2) +  SUMPRODUCT(--(NOT(ISBLANK('0₦'!Q39:T39))), '0₦'!Q$2:T$2)</f>
        <v/>
      </c>
      <c r="BD39" s="250">
        <f t="array" ref="BD39">SUMPRODUCT(--(NOT(ISBLANK('0₦'!N39:P39))),'0₦'!N$2:P$2)+'0₦'!AY39</f>
        <v/>
      </c>
      <c r="BE39" s="79">
        <f t="array" ref="BE39">SUMPRODUCT(--(NOT(ISBLANK('0₦'!AA39:AC39))),'0₦'!AA$2:AC$2) + BF39</f>
        <v/>
      </c>
      <c r="BF39" s="79" t="n"/>
      <c r="BG39" s="79">
        <f t="array" ref="BG39">SUMPRODUCT(--(NOT(ISBLANK('0₦'!U39:Z39))), '0₦'!U$2:Z$2)</f>
        <v/>
      </c>
      <c r="BH39" s="79" t="n"/>
      <c r="BI39" s="79">
        <f>SUM(BG39:BH39)</f>
        <v/>
      </c>
      <c r="BJ39" s="79" t="n"/>
      <c r="BK39" s="79" t="n"/>
      <c r="BL39" s="79" t="n"/>
      <c r="BM39" s="79" t="n"/>
      <c r="BN39" s="79" t="n"/>
      <c r="BO39" s="79" t="n"/>
      <c r="BP39" s="79" t="n"/>
      <c r="BQ39" s="79" t="n"/>
      <c r="BR39" s="79" t="n"/>
      <c r="BS39" s="79" t="n"/>
      <c r="BT39" s="79" t="n"/>
      <c r="BU39" s="79" t="n"/>
      <c r="BV39" s="79" t="n"/>
      <c r="BW39" s="79" t="n"/>
      <c r="BX39" s="79" t="n"/>
      <c r="BY39" s="79" t="n"/>
      <c r="BZ39" s="79" t="n"/>
      <c r="CA39" s="79" t="n"/>
    </row>
    <row r="40" hidden="1" ht="17.1" customHeight="1" s="37">
      <c r="A40" s="462">
        <f>A33+0.1</f>
        <v/>
      </c>
      <c r="B40" s="150" t="inlineStr">
        <is>
          <t>S</t>
        </is>
      </c>
      <c r="C40" s="550">
        <f>C39+1</f>
        <v/>
      </c>
      <c r="E40" s="38" t="n"/>
      <c r="G40" s="216" t="n"/>
      <c r="H40" s="57" t="n"/>
      <c r="O40" s="216" t="n"/>
      <c r="T40" s="38" t="n"/>
      <c r="X40" s="20" t="n"/>
      <c r="AF40" s="450" t="n"/>
      <c r="AN40" s="45" t="n"/>
      <c r="AO40" s="38" t="n"/>
      <c r="AP40" s="45" t="n"/>
      <c r="AQ40" s="12" t="n"/>
      <c r="AR40" s="216" t="n">
        <v>40</v>
      </c>
      <c r="AS40" s="216" t="n"/>
      <c r="AT40" s="214" t="n"/>
      <c r="AU40" s="216">
        <f>N40+O40 + 0</f>
        <v/>
      </c>
      <c r="AW40" s="2">
        <f>SUM(AH40:AI40,AJ40/2,AK40:AL40)</f>
        <v/>
      </c>
      <c r="AX40" s="2">
        <f>AM40*0.5+SUM(AN40:AP40)</f>
        <v/>
      </c>
      <c r="AY40" s="39">
        <f>SUM(-AR40+AS40*0.01+AT40*0.5+AU40)</f>
        <v/>
      </c>
      <c r="AZ40" s="39">
        <f>'0分'!AF37</f>
        <v/>
      </c>
      <c r="BA40" s="39">
        <f>SUM(AY40,AX40,AW40)</f>
        <v/>
      </c>
      <c r="BB40" s="250" t="n"/>
      <c r="BC40" s="79">
        <f t="array" ref="BC40">SUMPRODUCT(--(NOT(ISBLANK('0₦'!D40:M40))), '0₦'!D$2:M$2) +  SUMPRODUCT(--(NOT(ISBLANK('0₦'!Q40:T40))), '0₦'!Q$2:T$2)</f>
        <v/>
      </c>
      <c r="BD40" s="250">
        <f t="array" ref="BD40">SUMPRODUCT(--(NOT(ISBLANK('0₦'!N40:P40))),'0₦'!N$2:P$2)+'0₦'!AY40</f>
        <v/>
      </c>
      <c r="BE40" s="79">
        <f t="array" ref="BE40">SUMPRODUCT(--(NOT(ISBLANK('0₦'!AA40:AC40))),'0₦'!AA$2:AC$2) + BF40</f>
        <v/>
      </c>
      <c r="BF40" s="79" t="n"/>
      <c r="BG40" s="79">
        <f t="array" ref="BG40">SUMPRODUCT(--(NOT(ISBLANK('0₦'!U40:Z40))), '0₦'!U$2:Z$2)</f>
        <v/>
      </c>
      <c r="BH40" s="79" t="n"/>
      <c r="BI40" s="79">
        <f>SUM(BG40:BH40)</f>
        <v/>
      </c>
      <c r="BJ40" s="79" t="n"/>
      <c r="BK40" s="79" t="n"/>
      <c r="BL40" s="79" t="n"/>
      <c r="BM40" s="79" t="n"/>
      <c r="BN40" s="79" t="n"/>
      <c r="BO40" s="79" t="n"/>
      <c r="BP40" s="79" t="n"/>
      <c r="BQ40" s="79" t="n"/>
      <c r="BR40" s="79" t="n"/>
      <c r="BS40" s="79" t="n"/>
      <c r="BT40" s="79" t="n"/>
      <c r="BU40" s="79" t="n"/>
      <c r="BV40" s="79" t="n"/>
      <c r="BW40" s="79" t="n"/>
      <c r="BX40" s="79" t="n"/>
      <c r="BY40" s="79" t="n"/>
      <c r="BZ40" s="79" t="n"/>
      <c r="CA40" s="79" t="n"/>
    </row>
    <row r="41" hidden="1" ht="18.95" customHeight="1" s="37">
      <c r="A41" s="551" t="n"/>
      <c r="B41" s="150" t="inlineStr">
        <is>
          <t>M</t>
        </is>
      </c>
      <c r="C41" s="550">
        <f>C40+1</f>
        <v/>
      </c>
      <c r="G41" s="216" t="n"/>
      <c r="H41" s="57" t="n"/>
      <c r="O41" s="216" t="n"/>
      <c r="Q41" s="38" t="n"/>
      <c r="X41" s="20" t="n"/>
      <c r="AF41" s="450" t="n"/>
      <c r="AM41" s="450">
        <f>1+1+1</f>
        <v/>
      </c>
      <c r="AN41" s="45" t="n"/>
      <c r="AP41" s="45" t="n"/>
      <c r="AQ41" s="12" t="n"/>
      <c r="AR41" s="216" t="n">
        <v>40</v>
      </c>
      <c r="AS41" s="216" t="n"/>
      <c r="AT41" s="216" t="n"/>
      <c r="AU41" s="216">
        <f>N41+O41 + 0</f>
        <v/>
      </c>
      <c r="AW41" s="2">
        <f>SUM(AH41:AI41,AJ41/2,AK41:AL41)</f>
        <v/>
      </c>
      <c r="AX41" s="2">
        <f>AM41*0.5+SUM(AN41:AP41)</f>
        <v/>
      </c>
      <c r="AY41" s="39">
        <f>SUM(-AR41+AS41*0.01+AT41*0.5+AU41)</f>
        <v/>
      </c>
      <c r="AZ41" s="39">
        <f>'0分'!AF38</f>
        <v/>
      </c>
      <c r="BA41" s="39">
        <f>SUM(AY41,AX41,AW41)</f>
        <v/>
      </c>
      <c r="BB41" s="250" t="n"/>
      <c r="BC41" s="79">
        <f t="array" ref="BC41">SUMPRODUCT(--(NOT(ISBLANK('0₦'!D41:M41))), '0₦'!D$2:M$2) +  SUMPRODUCT(--(NOT(ISBLANK('0₦'!Q41:T41))), '0₦'!Q$2:T$2)</f>
        <v/>
      </c>
      <c r="BD41" s="250">
        <f t="array" ref="BD41">SUMPRODUCT(--(NOT(ISBLANK('0₦'!N41:P41))),'0₦'!N$2:P$2)+'0₦'!AY41</f>
        <v/>
      </c>
      <c r="BE41" s="79">
        <f t="array" ref="BE41">SUMPRODUCT(--(NOT(ISBLANK('0₦'!AA41:AC41))),'0₦'!AA$2:AC$2) + BF41</f>
        <v/>
      </c>
      <c r="BF41" s="79" t="n"/>
      <c r="BG41" s="79">
        <f t="array" ref="BG41">SUMPRODUCT(--(NOT(ISBLANK('0₦'!U41:Z41))), '0₦'!U$2:Z$2)</f>
        <v/>
      </c>
      <c r="BH41" s="79" t="n"/>
      <c r="BI41" s="79">
        <f>SUM(BG41:BH41)</f>
        <v/>
      </c>
      <c r="BJ41" s="79" t="n"/>
      <c r="BK41" s="79" t="n"/>
      <c r="BL41" s="79" t="n"/>
      <c r="BM41" s="79" t="n"/>
      <c r="BN41" s="79" t="n"/>
      <c r="BO41" s="79" t="n"/>
      <c r="BP41" s="79" t="n"/>
      <c r="BQ41" s="79" t="n"/>
      <c r="BR41" s="79" t="n"/>
      <c r="BS41" s="79" t="n"/>
      <c r="BT41" s="79" t="n"/>
      <c r="BU41" s="79" t="n"/>
      <c r="BV41" s="79" t="n"/>
      <c r="BW41" s="79" t="n"/>
      <c r="BX41" s="79" t="n"/>
      <c r="BY41" s="79" t="n"/>
      <c r="BZ41" s="79" t="n"/>
      <c r="CA41" s="79" t="n"/>
    </row>
    <row r="42" hidden="1" s="37">
      <c r="A42" s="551" t="n"/>
      <c r="B42" s="150" t="inlineStr">
        <is>
          <t>T</t>
        </is>
      </c>
      <c r="C42" s="550">
        <f>C41+1</f>
        <v/>
      </c>
      <c r="G42" s="216" t="n"/>
      <c r="H42" s="57" t="n"/>
      <c r="O42" s="216" t="n"/>
      <c r="Q42" s="38" t="n"/>
      <c r="X42" s="20" t="n"/>
      <c r="AF42" s="450" t="n"/>
      <c r="AN42" s="251" t="n"/>
      <c r="AO42" s="38" t="n"/>
      <c r="AP42" s="251" t="n"/>
      <c r="AQ42" s="12" t="n"/>
      <c r="AR42" s="216" t="n">
        <v>40</v>
      </c>
      <c r="AS42" s="216" t="n"/>
      <c r="AT42" s="216" t="n"/>
      <c r="AU42" s="216">
        <f>N42+O42 + 0</f>
        <v/>
      </c>
      <c r="AW42" s="2">
        <f>SUM(AH42:AI42,AJ42/2,AK42:AL42)</f>
        <v/>
      </c>
      <c r="AX42" s="2">
        <f>AM42*0.5+SUM(AN42:AP42)</f>
        <v/>
      </c>
      <c r="AY42" s="39">
        <f>SUM(-AR42+AS42*0.01+AT42*0.5+AU42)</f>
        <v/>
      </c>
      <c r="AZ42" s="39">
        <f>'0分'!AF39</f>
        <v/>
      </c>
      <c r="BA42" s="39">
        <f>SUM(AY42,AX42,AW42)</f>
        <v/>
      </c>
      <c r="BB42" s="250" t="n"/>
      <c r="BC42" s="79">
        <f t="array" ref="BC42">SUMPRODUCT(--(NOT(ISBLANK('0₦'!D42:M42))), '0₦'!D$2:M$2) +  SUMPRODUCT(--(NOT(ISBLANK('0₦'!Q42:T42))), '0₦'!Q$2:T$2)</f>
        <v/>
      </c>
      <c r="BD42" s="250">
        <f t="array" ref="BD42">SUMPRODUCT(--(NOT(ISBLANK('0₦'!N42:P42))),'0₦'!N$2:P$2)+'0₦'!AY42</f>
        <v/>
      </c>
      <c r="BE42" s="79">
        <f t="array" ref="BE42">SUMPRODUCT(--(NOT(ISBLANK('0₦'!AA42:AC42))),'0₦'!AA$2:AC$2) + BF42</f>
        <v/>
      </c>
      <c r="BF42" s="79" t="n"/>
      <c r="BG42" s="79">
        <f t="array" ref="BG42">SUMPRODUCT(--(NOT(ISBLANK('0₦'!U42:Z42))), '0₦'!U$2:Z$2)</f>
        <v/>
      </c>
      <c r="BH42" s="79" t="n"/>
      <c r="BI42" s="79">
        <f>SUM(BG42:BH42)</f>
        <v/>
      </c>
      <c r="BJ42" s="79" t="n"/>
      <c r="BK42" s="79" t="n"/>
      <c r="BL42" s="79" t="n"/>
      <c r="BM42" s="79" t="n"/>
      <c r="BN42" s="79" t="n"/>
      <c r="BO42" s="79" t="n"/>
      <c r="BP42" s="79" t="n"/>
      <c r="BQ42" s="79" t="n"/>
      <c r="BR42" s="79" t="n"/>
      <c r="BS42" s="79" t="n"/>
      <c r="BT42" s="79" t="n"/>
      <c r="BU42" s="79" t="n"/>
      <c r="BV42" s="79" t="n"/>
      <c r="BW42" s="79" t="n"/>
      <c r="BX42" s="79" t="n"/>
      <c r="BY42" s="79" t="n"/>
      <c r="BZ42" s="79" t="n"/>
      <c r="CA42" s="79" t="n"/>
    </row>
    <row r="43" hidden="1" s="37">
      <c r="A43" s="551" t="n"/>
      <c r="B43" s="150" t="inlineStr">
        <is>
          <t>W</t>
        </is>
      </c>
      <c r="C43" s="550">
        <f>C42+1</f>
        <v/>
      </c>
      <c r="G43" s="216" t="n"/>
      <c r="H43" s="57" t="n"/>
      <c r="O43" s="216" t="n"/>
      <c r="T43" s="38" t="n"/>
      <c r="X43" s="20" t="n"/>
      <c r="AF43" s="450" t="n"/>
      <c r="AN43" s="251" t="n"/>
      <c r="AO43" s="38" t="n"/>
      <c r="AP43" s="251" t="n"/>
      <c r="AQ43" s="12" t="n"/>
      <c r="AR43" s="216" t="n">
        <v>40</v>
      </c>
      <c r="AS43" s="214" t="n"/>
      <c r="AT43" s="214" t="n"/>
      <c r="AU43" s="216">
        <f>N43+O43 + 0</f>
        <v/>
      </c>
      <c r="AW43" s="2">
        <f>SUM(AH43:AI43,AJ43/2,AK43:AL43)</f>
        <v/>
      </c>
      <c r="AX43" s="2">
        <f>AM43*0.5+SUM(AN43:AP43)</f>
        <v/>
      </c>
      <c r="AY43" s="39">
        <f>SUM(-AR43+AS43*0.01+AT43*0.5+AU43)</f>
        <v/>
      </c>
      <c r="AZ43" s="39">
        <f>'0分'!AF40</f>
        <v/>
      </c>
      <c r="BA43" s="39">
        <f>SUM(AY43,AX43,AW43)</f>
        <v/>
      </c>
      <c r="BB43" s="250" t="n"/>
      <c r="BC43" s="79">
        <f t="array" ref="BC43">SUMPRODUCT(--(NOT(ISBLANK('0₦'!D43:M43))), '0₦'!D$2:M$2) +  SUMPRODUCT(--(NOT(ISBLANK('0₦'!Q43:T43))), '0₦'!Q$2:T$2)</f>
        <v/>
      </c>
      <c r="BD43" s="250">
        <f t="array" ref="BD43">SUMPRODUCT(--(NOT(ISBLANK('0₦'!N43:P43))),'0₦'!N$2:P$2)+'0₦'!AY43</f>
        <v/>
      </c>
      <c r="BE43" s="79">
        <f t="array" ref="BE43">SUMPRODUCT(--(NOT(ISBLANK('0₦'!AA43:AC43))),'0₦'!AA$2:AC$2) + BF43</f>
        <v/>
      </c>
      <c r="BF43" s="79" t="n"/>
      <c r="BG43" s="79">
        <f t="array" ref="BG43">SUMPRODUCT(--(NOT(ISBLANK('0₦'!U43:Z43))), '0₦'!U$2:Z$2)</f>
        <v/>
      </c>
      <c r="BH43" s="79" t="n"/>
      <c r="BI43" s="79">
        <f>SUM(BG43:BH43)</f>
        <v/>
      </c>
      <c r="BJ43" s="79" t="n"/>
      <c r="BK43" s="79" t="n"/>
      <c r="BL43" s="79" t="n"/>
      <c r="BM43" s="79" t="n"/>
      <c r="BN43" s="79" t="n"/>
      <c r="BO43" s="79" t="n"/>
      <c r="BP43" s="79" t="n"/>
      <c r="BQ43" s="79" t="n"/>
      <c r="BR43" s="79" t="n"/>
      <c r="BS43" s="79" t="n"/>
      <c r="BT43" s="79" t="n"/>
      <c r="BU43" s="79" t="n"/>
      <c r="BV43" s="79" t="n"/>
      <c r="BW43" s="79" t="n"/>
      <c r="BX43" s="79" t="n"/>
      <c r="BY43" s="79" t="n"/>
      <c r="BZ43" s="79" t="n"/>
      <c r="CA43" s="79" t="n"/>
    </row>
    <row r="44" hidden="1" ht="18" customHeight="1" s="37">
      <c r="A44" s="551" t="n"/>
      <c r="B44" s="150" t="inlineStr">
        <is>
          <t>Th</t>
        </is>
      </c>
      <c r="C44" s="550">
        <f>C43+1</f>
        <v/>
      </c>
      <c r="G44" s="216" t="n"/>
      <c r="H44" s="57" t="n"/>
      <c r="O44" s="216" t="n"/>
      <c r="R44" s="38" t="n"/>
      <c r="X44" s="20" t="n"/>
      <c r="AF44" s="450" t="n"/>
      <c r="AN44" s="45" t="n"/>
      <c r="AO44" s="38" t="n"/>
      <c r="AP44" s="45" t="n"/>
      <c r="AQ44" s="12" t="n"/>
      <c r="AR44" s="216" t="n">
        <v>40</v>
      </c>
      <c r="AS44" s="216" t="n"/>
      <c r="AT44" s="216" t="n"/>
      <c r="AU44" s="216">
        <f>N44+O44 + 0</f>
        <v/>
      </c>
      <c r="AW44" s="2">
        <f>SUM(AH44:AI44,AJ44/2,AK44:AL44)</f>
        <v/>
      </c>
      <c r="AX44" s="2">
        <f>AM44*0.5+SUM(AN44:AP44)</f>
        <v/>
      </c>
      <c r="AY44" s="39">
        <f>SUM(-AR44+AS44*0.01+AT44*0.5+AU44)</f>
        <v/>
      </c>
      <c r="AZ44" s="39">
        <f>'0分'!AF41</f>
        <v/>
      </c>
      <c r="BA44" s="39">
        <f>SUM(AY44,AX44,AW44)</f>
        <v/>
      </c>
      <c r="BB44" s="250" t="n"/>
      <c r="BC44" s="79">
        <f t="array" ref="BC44">SUMPRODUCT(--(NOT(ISBLANK('0₦'!D44:M44))), '0₦'!D$2:M$2) +  SUMPRODUCT(--(NOT(ISBLANK('0₦'!Q44:T44))), '0₦'!Q$2:T$2)</f>
        <v/>
      </c>
      <c r="BD44" s="250">
        <f t="array" ref="BD44">SUMPRODUCT(--(NOT(ISBLANK('0₦'!N44:P44))),'0₦'!N$2:P$2)+'0₦'!AY44</f>
        <v/>
      </c>
      <c r="BE44" s="79">
        <f t="array" ref="BE44">SUMPRODUCT(--(NOT(ISBLANK('0₦'!AA44:AC44))),'0₦'!AA$2:AC$2) + BF44</f>
        <v/>
      </c>
      <c r="BF44" s="79" t="n"/>
      <c r="BG44" s="79">
        <f t="array" ref="BG44">SUMPRODUCT(--(NOT(ISBLANK('0₦'!U44:Z44))), '0₦'!U$2:Z$2)</f>
        <v/>
      </c>
      <c r="BH44" s="79" t="n"/>
      <c r="BI44" s="79">
        <f>SUM(BG44:BH44)</f>
        <v/>
      </c>
      <c r="BJ44" s="79" t="n"/>
      <c r="BK44" s="79" t="n"/>
      <c r="BL44" s="79" t="n"/>
      <c r="BM44" s="79" t="n"/>
      <c r="BN44" s="79" t="n"/>
      <c r="BO44" s="79" t="n"/>
      <c r="BP44" s="79" t="n"/>
      <c r="BQ44" s="79" t="n"/>
      <c r="BR44" s="79" t="n"/>
      <c r="BS44" s="79" t="n"/>
      <c r="BT44" s="79" t="n"/>
      <c r="BU44" s="79" t="n"/>
      <c r="BV44" s="79" t="n"/>
      <c r="BW44" s="79" t="n"/>
      <c r="BX44" s="79" t="n"/>
      <c r="BY44" s="79" t="n"/>
      <c r="BZ44" s="79" t="n"/>
      <c r="CA44" s="79" t="n"/>
    </row>
    <row r="45" hidden="1" ht="17.1" customHeight="1" s="37">
      <c r="A45" s="551" t="n"/>
      <c r="B45" s="150" t="inlineStr">
        <is>
          <t>F</t>
        </is>
      </c>
      <c r="C45" s="550">
        <f>C44+1</f>
        <v/>
      </c>
      <c r="G45" s="216" t="n"/>
      <c r="H45" s="57" t="n"/>
      <c r="M45" s="38" t="n"/>
      <c r="O45" s="216" t="n"/>
      <c r="R45" s="38" t="n"/>
      <c r="T45" s="38" t="n"/>
      <c r="X45" s="20" t="n"/>
      <c r="AF45" s="450" t="n"/>
      <c r="AN45" s="45" t="n"/>
      <c r="AP45" s="251" t="n"/>
      <c r="AQ45" s="12" t="n"/>
      <c r="AR45" s="216" t="n">
        <v>40</v>
      </c>
      <c r="AS45" s="216" t="n"/>
      <c r="AT45" s="216" t="n"/>
      <c r="AU45" s="216">
        <f>N45+O45 + 0</f>
        <v/>
      </c>
      <c r="AW45" s="2">
        <f>SUM(AH45:AI45,AJ45/2,AK45:AL45)</f>
        <v/>
      </c>
      <c r="AX45" s="2">
        <f>AM45*0.5+SUM(AN45:AP45)</f>
        <v/>
      </c>
      <c r="AY45" s="39">
        <f>SUM(-AR45+AS45*0.01+AT45*0.5+AU45)</f>
        <v/>
      </c>
      <c r="AZ45" s="39">
        <f>'0分'!AF42</f>
        <v/>
      </c>
      <c r="BA45" s="39">
        <f>SUM(AY45,AX45,AW45)</f>
        <v/>
      </c>
      <c r="BB45" s="250" t="n"/>
      <c r="BC45" s="79">
        <f t="array" ref="BC45">SUMPRODUCT(--(NOT(ISBLANK('0₦'!D45:M45))), '0₦'!D$2:M$2) +  SUMPRODUCT(--(NOT(ISBLANK('0₦'!Q45:T45))), '0₦'!Q$2:T$2)</f>
        <v/>
      </c>
      <c r="BD45" s="250">
        <f t="array" ref="BD45">SUMPRODUCT(--(NOT(ISBLANK('0₦'!N45:P45))),'0₦'!N$2:P$2)+'0₦'!AY45</f>
        <v/>
      </c>
      <c r="BE45" s="79">
        <f t="array" ref="BE45">SUMPRODUCT(--(NOT(ISBLANK('0₦'!AA45:AC45))),'0₦'!AA$2:AC$2) + BF45</f>
        <v/>
      </c>
      <c r="BF45" s="79" t="n"/>
      <c r="BG45" s="79">
        <f t="array" ref="BG45">SUMPRODUCT(--(NOT(ISBLANK('0₦'!U45:Z45))), '0₦'!U$2:Z$2)</f>
        <v/>
      </c>
      <c r="BH45" s="79" t="n"/>
      <c r="BI45" s="79">
        <f>SUM(BG45:BH45)</f>
        <v/>
      </c>
      <c r="BJ45" s="79" t="n"/>
      <c r="BK45" s="79" t="n"/>
      <c r="BL45" s="79" t="n"/>
      <c r="BM45" s="79" t="n"/>
      <c r="BN45" s="79" t="n"/>
      <c r="BO45" s="79" t="n"/>
      <c r="BP45" s="79" t="n"/>
      <c r="BQ45" s="79" t="n"/>
      <c r="BR45" s="79" t="n"/>
      <c r="BS45" s="79" t="n"/>
      <c r="BT45" s="79" t="n"/>
      <c r="BU45" s="79" t="n"/>
      <c r="BV45" s="79" t="n"/>
      <c r="BW45" s="79" t="n"/>
      <c r="BX45" s="79" t="n"/>
      <c r="BY45" s="79" t="n"/>
      <c r="BZ45" s="79" t="n"/>
      <c r="CA45" s="79" t="n"/>
    </row>
    <row r="46" hidden="1" ht="14.1" customHeight="1" s="37">
      <c r="A46" s="552" t="n"/>
      <c r="B46" s="150" t="inlineStr">
        <is>
          <t>S</t>
        </is>
      </c>
      <c r="C46" s="550">
        <f>C45+1</f>
        <v/>
      </c>
      <c r="G46" s="216" t="n"/>
      <c r="H46" s="57" t="n"/>
      <c r="N46" s="38" t="n"/>
      <c r="O46" s="216" t="n"/>
      <c r="T46" s="38" t="n"/>
      <c r="X46" s="20" t="n"/>
      <c r="AF46" s="450" t="n"/>
      <c r="AN46" s="45" t="n"/>
      <c r="AO46" s="38" t="n"/>
      <c r="AP46" s="45" t="n"/>
      <c r="AQ46" s="12" t="n"/>
      <c r="AR46" s="216" t="n">
        <v>40</v>
      </c>
      <c r="AS46" s="214" t="n"/>
      <c r="AT46" s="214" t="n"/>
      <c r="AU46" s="216">
        <f>N46+O46 + 0</f>
        <v/>
      </c>
      <c r="AW46" s="2">
        <f>SUM(AH46:AI46,AJ46/2,AK46:AL46)</f>
        <v/>
      </c>
      <c r="AX46" s="2">
        <f>AM46*0.5+SUM(AN46:AP46)</f>
        <v/>
      </c>
      <c r="AY46" s="39">
        <f>SUM(-AR46+AS46*0.01+AT46*0.5+AU46)</f>
        <v/>
      </c>
      <c r="AZ46" s="39">
        <f>'0分'!AF43</f>
        <v/>
      </c>
      <c r="BA46" s="39">
        <f>SUM(AY46,AX46,AW46)</f>
        <v/>
      </c>
      <c r="BB46" s="250" t="n"/>
      <c r="BC46" s="79">
        <f t="array" ref="BC46">SUMPRODUCT(--(NOT(ISBLANK('0₦'!D46:M46))), '0₦'!D$2:M$2) +  SUMPRODUCT(--(NOT(ISBLANK('0₦'!Q46:T46))), '0₦'!Q$2:T$2)</f>
        <v/>
      </c>
      <c r="BD46" s="250">
        <f t="array" ref="BD46">SUMPRODUCT(--(NOT(ISBLANK('0₦'!N46:P46))),'0₦'!N$2:P$2)+'0₦'!AY46</f>
        <v/>
      </c>
      <c r="BE46" s="79">
        <f t="array" ref="BE46">SUMPRODUCT(--(NOT(ISBLANK('0₦'!AA46:AC46))),'0₦'!AA$2:AC$2) + BF46</f>
        <v/>
      </c>
      <c r="BF46" s="79" t="n"/>
      <c r="BG46" s="79">
        <f t="array" ref="BG46">SUMPRODUCT(--(NOT(ISBLANK('0₦'!U46:Z46))), '0₦'!U$2:Z$2)</f>
        <v/>
      </c>
      <c r="BH46" s="79" t="n"/>
      <c r="BI46" s="79">
        <f>SUM(BG46:BH46)</f>
        <v/>
      </c>
      <c r="BJ46" s="79" t="n"/>
      <c r="BK46" s="79" t="n"/>
      <c r="BL46" s="79" t="n"/>
      <c r="BM46" s="79" t="n"/>
      <c r="BN46" s="79" t="n"/>
      <c r="BO46" s="79" t="n"/>
      <c r="BP46" s="79" t="n"/>
      <c r="BQ46" s="79" t="n"/>
      <c r="BR46" s="79" t="n"/>
      <c r="BS46" s="79" t="n"/>
      <c r="BT46" s="79" t="n"/>
      <c r="BU46" s="79" t="n"/>
      <c r="BV46" s="79" t="n"/>
      <c r="BW46" s="79" t="n"/>
      <c r="BX46" s="79" t="n"/>
      <c r="BY46" s="79" t="n"/>
      <c r="BZ46" s="79" t="n"/>
      <c r="CA46" s="79" t="n"/>
    </row>
    <row r="47" hidden="1" ht="18" customHeight="1" s="37">
      <c r="A47" s="462">
        <f>A40+0.1</f>
        <v/>
      </c>
      <c r="B47" s="150" t="inlineStr">
        <is>
          <t>S</t>
        </is>
      </c>
      <c r="C47" s="550">
        <f>C46+1</f>
        <v/>
      </c>
      <c r="E47" s="38" t="n"/>
      <c r="G47" s="216" t="n"/>
      <c r="H47" s="57" t="n"/>
      <c r="O47" s="216" t="n"/>
      <c r="X47" s="20" t="n"/>
      <c r="AF47" s="450" t="n"/>
      <c r="AN47" s="251" t="n"/>
      <c r="AP47" s="45" t="n"/>
      <c r="AQ47" s="12" t="n"/>
      <c r="AR47" s="216" t="n">
        <v>40</v>
      </c>
      <c r="AS47" s="216" t="n"/>
      <c r="AT47" s="216" t="n"/>
      <c r="AU47" s="216">
        <f>N47+O47 + 0</f>
        <v/>
      </c>
      <c r="AW47" s="2">
        <f>SUM(AH47:AI47,AJ47/2,AK47:AL47)</f>
        <v/>
      </c>
      <c r="AX47" s="2">
        <f>AM47*0.5+SUM(AN47:AP47)</f>
        <v/>
      </c>
      <c r="AY47" s="39">
        <f>SUM(-AR47+AS47*0.01+AT47*0.5+AU47)</f>
        <v/>
      </c>
      <c r="AZ47" s="39">
        <f>'0分'!AF44</f>
        <v/>
      </c>
      <c r="BA47" s="39">
        <f>SUM(AY47,AX47,AW47)</f>
        <v/>
      </c>
      <c r="BB47" s="250" t="n"/>
      <c r="BC47" s="79">
        <f t="array" ref="BC47">SUMPRODUCT(--(NOT(ISBLANK('0₦'!D47:M47))), '0₦'!D$2:M$2) +  SUMPRODUCT(--(NOT(ISBLANK('0₦'!Q47:T47))), '0₦'!Q$2:T$2)</f>
        <v/>
      </c>
      <c r="BD47" s="250">
        <f t="array" ref="BD47">SUMPRODUCT(--(NOT(ISBLANK('0₦'!N47:P47))),'0₦'!N$2:P$2)+'0₦'!AY47</f>
        <v/>
      </c>
      <c r="BE47" s="79">
        <f t="array" ref="BE47">SUMPRODUCT(--(NOT(ISBLANK('0₦'!AA47:AC47))),'0₦'!AA$2:AC$2) + BF47</f>
        <v/>
      </c>
      <c r="BF47" s="79" t="n"/>
      <c r="BG47" s="79">
        <f t="array" ref="BG47">SUMPRODUCT(--(NOT(ISBLANK('0₦'!U47:Z47))), '0₦'!U$2:Z$2)</f>
        <v/>
      </c>
      <c r="BH47" s="79" t="n"/>
      <c r="BI47" s="79">
        <f>SUM(BG47:BH47)</f>
        <v/>
      </c>
      <c r="BJ47" s="79" t="n"/>
      <c r="BK47" s="79" t="n"/>
      <c r="BL47" s="79" t="n"/>
      <c r="BM47" s="79" t="n"/>
      <c r="BN47" s="79" t="n"/>
      <c r="BO47" s="79" t="n"/>
      <c r="BP47" s="79" t="n"/>
      <c r="BQ47" s="79" t="n"/>
      <c r="BR47" s="79" t="n"/>
      <c r="BS47" s="79" t="n"/>
      <c r="BT47" s="79" t="n"/>
      <c r="BU47" s="79" t="n"/>
      <c r="BV47" s="79" t="n"/>
      <c r="BW47" s="79" t="n"/>
      <c r="BX47" s="79" t="n"/>
      <c r="BY47" s="79" t="n"/>
      <c r="BZ47" s="79" t="n"/>
      <c r="CA47" s="79" t="n"/>
    </row>
    <row r="48" hidden="1" ht="20.1" customHeight="1" s="37">
      <c r="A48" s="551" t="n"/>
      <c r="B48" s="150" t="inlineStr">
        <is>
          <t>M</t>
        </is>
      </c>
      <c r="C48" s="550">
        <f>C47+1</f>
        <v/>
      </c>
      <c r="G48" s="216" t="n"/>
      <c r="H48" s="57" t="n"/>
      <c r="O48" s="216" t="n"/>
      <c r="X48" s="20" t="n"/>
      <c r="AF48" s="450" t="n"/>
      <c r="AN48" s="45" t="n"/>
      <c r="AP48" s="45" t="n"/>
      <c r="AQ48" s="12" t="n"/>
      <c r="AR48" s="216" t="n">
        <v>40</v>
      </c>
      <c r="AS48" s="216" t="n"/>
      <c r="AT48" s="216" t="n"/>
      <c r="AU48" s="216">
        <f>N48+O48 + 0</f>
        <v/>
      </c>
      <c r="AW48" s="2">
        <f>SUM(AH48:AI48,AJ48/2,AK48:AL48)</f>
        <v/>
      </c>
      <c r="AX48" s="2">
        <f>AM48*0.5+SUM(AN48:AP48)</f>
        <v/>
      </c>
      <c r="AY48" s="39">
        <f>SUM(-AR48+AS48*0.01+AT48*0.5+AU48)</f>
        <v/>
      </c>
      <c r="AZ48" s="39">
        <f>'0分'!AF45</f>
        <v/>
      </c>
      <c r="BA48" s="39">
        <f>SUM(AY48,AX48,AW48)</f>
        <v/>
      </c>
      <c r="BB48" s="250" t="n"/>
      <c r="BC48" s="79">
        <f t="array" ref="BC48">SUMPRODUCT(--(NOT(ISBLANK('0₦'!D48:M48))), '0₦'!D$2:M$2) +  SUMPRODUCT(--(NOT(ISBLANK('0₦'!Q48:T48))), '0₦'!Q$2:T$2)</f>
        <v/>
      </c>
      <c r="BD48" s="250">
        <f t="array" ref="BD48">SUMPRODUCT(--(NOT(ISBLANK('0₦'!N48:P48))),'0₦'!N$2:P$2)+'0₦'!AY48</f>
        <v/>
      </c>
      <c r="BE48" s="79">
        <f t="array" ref="BE48">SUMPRODUCT(--(NOT(ISBLANK('0₦'!AA48:AC48))),'0₦'!AA$2:AC$2) + BF48</f>
        <v/>
      </c>
      <c r="BF48" s="79" t="n"/>
      <c r="BG48" s="79">
        <f t="array" ref="BG48">SUMPRODUCT(--(NOT(ISBLANK('0₦'!U48:Z48))), '0₦'!U$2:Z$2)</f>
        <v/>
      </c>
      <c r="BH48" s="79" t="n"/>
      <c r="BI48" s="79">
        <f>SUM(BG48:BH48)</f>
        <v/>
      </c>
      <c r="BJ48" s="79" t="n"/>
      <c r="BK48" s="79" t="n"/>
      <c r="BL48" s="79" t="n"/>
      <c r="BM48" s="79" t="n"/>
      <c r="BN48" s="79" t="n"/>
      <c r="BO48" s="79" t="n"/>
      <c r="BP48" s="79" t="n"/>
      <c r="BQ48" s="79" t="n"/>
      <c r="BR48" s="79" t="n"/>
      <c r="BS48" s="79" t="n"/>
      <c r="BT48" s="79" t="n"/>
      <c r="BU48" s="79" t="n"/>
      <c r="BV48" s="79" t="n"/>
      <c r="BW48" s="79" t="n"/>
      <c r="BX48" s="79" t="n"/>
      <c r="BY48" s="79" t="n"/>
      <c r="BZ48" s="79" t="n"/>
      <c r="CA48" s="79" t="n"/>
    </row>
    <row r="49" hidden="1" ht="17.1" customHeight="1" s="37">
      <c r="A49" s="551" t="n"/>
      <c r="B49" s="150" t="inlineStr">
        <is>
          <t>T</t>
        </is>
      </c>
      <c r="C49" s="550">
        <f>C48+1</f>
        <v/>
      </c>
      <c r="G49" s="216" t="n"/>
      <c r="H49" s="287" t="n"/>
      <c r="I49" s="38" t="n"/>
      <c r="J49" s="38" t="n"/>
      <c r="O49" s="216" t="n"/>
      <c r="X49" s="20" t="n"/>
      <c r="AF49" s="450" t="n"/>
      <c r="AN49" s="45" t="n"/>
      <c r="AP49" s="45" t="n"/>
      <c r="AQ49" s="12" t="n"/>
      <c r="AR49" s="216" t="n">
        <v>40</v>
      </c>
      <c r="AS49" s="216" t="n"/>
      <c r="AT49" s="216" t="n"/>
      <c r="AU49" s="216">
        <f>N49+O49 + 0</f>
        <v/>
      </c>
      <c r="AW49" s="2">
        <f>SUM(AH49:AI49,AJ49/2,AK49:AL49)</f>
        <v/>
      </c>
      <c r="AX49" s="2">
        <f>AM49*0.5+SUM(AN49:AP49)</f>
        <v/>
      </c>
      <c r="AY49" s="39">
        <f>SUM(-AR49+AS49*0.01+AT49*0.5+AU49)</f>
        <v/>
      </c>
      <c r="AZ49" s="39">
        <f>'0分'!AF46</f>
        <v/>
      </c>
      <c r="BA49" s="39">
        <f>SUM(AY49,AX49,AW49)</f>
        <v/>
      </c>
      <c r="BB49" s="250" t="n"/>
      <c r="BC49" s="79">
        <f t="array" ref="BC49">SUMPRODUCT(--(NOT(ISBLANK('0₦'!D49:M49))), '0₦'!D$2:M$2) +  SUMPRODUCT(--(NOT(ISBLANK('0₦'!Q49:T49))), '0₦'!Q$2:T$2)</f>
        <v/>
      </c>
      <c r="BD49" s="250">
        <f t="array" ref="BD49">SUMPRODUCT(--(NOT(ISBLANK('0₦'!N49:P49))),'0₦'!N$2:P$2)+'0₦'!AY49</f>
        <v/>
      </c>
      <c r="BE49" s="79">
        <f t="array" ref="BE49">SUMPRODUCT(--(NOT(ISBLANK('0₦'!AA49:AC49))),'0₦'!AA$2:AC$2) + BF49</f>
        <v/>
      </c>
      <c r="BF49" s="79" t="n"/>
      <c r="BG49" s="79">
        <f t="array" ref="BG49">SUMPRODUCT(--(NOT(ISBLANK('0₦'!U49:Z49))), '0₦'!U$2:Z$2)</f>
        <v/>
      </c>
      <c r="BH49" s="79" t="n"/>
      <c r="BI49" s="79">
        <f>SUM(BG49:BH49)</f>
        <v/>
      </c>
      <c r="BJ49" s="79" t="n"/>
      <c r="BK49" s="79" t="n"/>
      <c r="BL49" s="79" t="n"/>
      <c r="BM49" s="79" t="n"/>
      <c r="BN49" s="79" t="n"/>
      <c r="BO49" s="79" t="n"/>
      <c r="BP49" s="79" t="n"/>
      <c r="BQ49" s="79" t="n"/>
      <c r="BR49" s="79" t="n"/>
      <c r="BS49" s="79" t="n"/>
      <c r="BT49" s="79" t="n"/>
      <c r="BU49" s="79" t="n"/>
      <c r="BV49" s="79" t="n"/>
      <c r="BW49" s="79" t="n"/>
      <c r="BX49" s="79" t="n"/>
      <c r="BY49" s="79" t="n"/>
      <c r="BZ49" s="79" t="n"/>
      <c r="CA49" s="79" t="n"/>
    </row>
    <row r="50" hidden="1" s="37">
      <c r="A50" s="551" t="n"/>
      <c r="B50" s="150" t="inlineStr">
        <is>
          <t>W</t>
        </is>
      </c>
      <c r="C50" s="550">
        <f>C49+1</f>
        <v/>
      </c>
      <c r="G50" s="216" t="n"/>
      <c r="H50" s="57" t="n"/>
      <c r="O50" s="216" t="n"/>
      <c r="X50" s="20" t="n"/>
      <c r="AF50" s="450" t="n"/>
      <c r="AN50" s="45" t="n"/>
      <c r="AP50" s="45" t="n"/>
      <c r="AQ50" s="12" t="n"/>
      <c r="AR50" s="216" t="n">
        <v>40</v>
      </c>
      <c r="AS50" s="216" t="n"/>
      <c r="AT50" s="216" t="n"/>
      <c r="AU50" s="216">
        <f>N50+O50 + 0</f>
        <v/>
      </c>
      <c r="AW50" s="2">
        <f>SUM(AH50:AI50,AJ50/2,AK50:AL50)</f>
        <v/>
      </c>
      <c r="AX50" s="2">
        <f>AM50*0.5+SUM(AN50:AP50)</f>
        <v/>
      </c>
      <c r="AY50" s="39">
        <f>SUM(-AR50+AS50*0.01+AT50*0.5+AU50)</f>
        <v/>
      </c>
      <c r="AZ50" s="39">
        <f>'0分'!AF47</f>
        <v/>
      </c>
      <c r="BA50" s="39">
        <f>SUM(AY50,AX50,AW50)</f>
        <v/>
      </c>
      <c r="BB50" s="250" t="n"/>
      <c r="BC50" s="79">
        <f t="array" ref="BC50">SUMPRODUCT(--(NOT(ISBLANK('0₦'!D50:M50))), '0₦'!D$2:M$2) +  SUMPRODUCT(--(NOT(ISBLANK('0₦'!Q50:T50))), '0₦'!Q$2:T$2)</f>
        <v/>
      </c>
      <c r="BD50" s="250">
        <f t="array" ref="BD50">SUMPRODUCT(--(NOT(ISBLANK('0₦'!N50:P50))),'0₦'!N$2:P$2)+'0₦'!AY50</f>
        <v/>
      </c>
      <c r="BE50" s="79">
        <f t="array" ref="BE50">SUMPRODUCT(--(NOT(ISBLANK('0₦'!AA50:AC50))),'0₦'!AA$2:AC$2) + BF50</f>
        <v/>
      </c>
      <c r="BF50" s="79" t="n"/>
      <c r="BG50" s="79">
        <f t="array" ref="BG50">SUMPRODUCT(--(NOT(ISBLANK('0₦'!U50:Z50))), '0₦'!U$2:Z$2)</f>
        <v/>
      </c>
      <c r="BH50" s="79" t="n"/>
      <c r="BI50" s="79">
        <f>SUM(BG50:BH50)</f>
        <v/>
      </c>
      <c r="BJ50" s="79" t="n"/>
      <c r="BK50" s="79" t="n"/>
      <c r="BL50" s="79" t="n"/>
      <c r="BM50" s="79" t="n"/>
      <c r="BN50" s="79" t="n"/>
      <c r="BO50" s="79" t="n"/>
      <c r="BP50" s="79" t="n"/>
      <c r="BQ50" s="79" t="n"/>
      <c r="BR50" s="79" t="n"/>
      <c r="BS50" s="79" t="n"/>
      <c r="BT50" s="79" t="n"/>
      <c r="BU50" s="79" t="n"/>
      <c r="BV50" s="79" t="n"/>
      <c r="BW50" s="79" t="n"/>
      <c r="BX50" s="79" t="n"/>
      <c r="BY50" s="79" t="n"/>
      <c r="BZ50" s="79" t="n"/>
      <c r="CA50" s="79" t="n"/>
    </row>
    <row r="51" hidden="1" s="37">
      <c r="A51" s="551" t="n"/>
      <c r="B51" s="150" t="inlineStr">
        <is>
          <t>Th</t>
        </is>
      </c>
      <c r="C51" s="550">
        <f>C50+1</f>
        <v/>
      </c>
      <c r="G51" s="216" t="n"/>
      <c r="H51" s="57" t="n"/>
      <c r="O51" s="216" t="n"/>
      <c r="X51" s="20" t="n"/>
      <c r="AF51" s="450" t="n"/>
      <c r="AN51" s="45" t="n"/>
      <c r="AP51" s="45" t="n"/>
      <c r="AQ51" s="12" t="n"/>
      <c r="AR51" s="216" t="n">
        <v>40</v>
      </c>
      <c r="AS51" s="216" t="n"/>
      <c r="AT51" s="216" t="n"/>
      <c r="AU51" s="216">
        <f>N51+O51 + 0</f>
        <v/>
      </c>
      <c r="AW51" s="2">
        <f>SUM(AH51:AI51,AJ51/2,AK51:AL51)</f>
        <v/>
      </c>
      <c r="AX51" s="2">
        <f>AM51*0.5+SUM(AN51:AP51)</f>
        <v/>
      </c>
      <c r="AY51" s="39">
        <f>SUM(-AR51+AS51*0.01+AT51*0.5+AU51)</f>
        <v/>
      </c>
      <c r="AZ51" s="39">
        <f>'0分'!AF48</f>
        <v/>
      </c>
      <c r="BA51" s="39">
        <f>SUM(AY51,AX51,AW51)</f>
        <v/>
      </c>
      <c r="BB51" s="250" t="n"/>
      <c r="BC51" s="79">
        <f t="array" ref="BC51">SUMPRODUCT(--(NOT(ISBLANK('0₦'!D51:M51))), '0₦'!D$2:M$2) +  SUMPRODUCT(--(NOT(ISBLANK('0₦'!Q51:T51))), '0₦'!Q$2:T$2)</f>
        <v/>
      </c>
      <c r="BD51" s="250">
        <f t="array" ref="BD51">SUMPRODUCT(--(NOT(ISBLANK('0₦'!N51:P51))),'0₦'!N$2:P$2)+'0₦'!AY51</f>
        <v/>
      </c>
      <c r="BE51" s="79">
        <f t="array" ref="BE51">SUMPRODUCT(--(NOT(ISBLANK('0₦'!AA51:AC51))),'0₦'!AA$2:AC$2) + BF51</f>
        <v/>
      </c>
      <c r="BF51" s="79" t="n"/>
      <c r="BG51" s="79">
        <f t="array" ref="BG51">SUMPRODUCT(--(NOT(ISBLANK('0₦'!U51:Z51))), '0₦'!U$2:Z$2)</f>
        <v/>
      </c>
      <c r="BH51" s="79" t="n"/>
      <c r="BI51" s="79">
        <f>SUM(BG51:BH51)</f>
        <v/>
      </c>
      <c r="BJ51" s="79" t="n"/>
      <c r="BK51" s="79" t="n"/>
      <c r="BL51" s="79" t="n"/>
      <c r="BM51" s="79" t="n"/>
      <c r="BN51" s="79" t="n"/>
      <c r="BO51" s="79" t="n"/>
      <c r="BP51" s="79" t="n"/>
      <c r="BQ51" s="79" t="n"/>
      <c r="BR51" s="79" t="n"/>
      <c r="BS51" s="79" t="n"/>
      <c r="BT51" s="79" t="n"/>
      <c r="BU51" s="79" t="n"/>
      <c r="BV51" s="79" t="n"/>
      <c r="BW51" s="79" t="n"/>
      <c r="BX51" s="79" t="n"/>
      <c r="BY51" s="79" t="n"/>
      <c r="BZ51" s="79" t="n"/>
      <c r="CA51" s="79" t="n"/>
    </row>
    <row r="52" hidden="1" s="37">
      <c r="A52" s="551" t="n"/>
      <c r="B52" s="150" t="inlineStr">
        <is>
          <t>F</t>
        </is>
      </c>
      <c r="C52" s="550">
        <f>C51+1</f>
        <v/>
      </c>
      <c r="G52" s="216" t="n"/>
      <c r="H52" s="57" t="n"/>
      <c r="O52" s="216" t="n"/>
      <c r="X52" s="20" t="n"/>
      <c r="AF52" s="450" t="n"/>
      <c r="AN52" s="45" t="n"/>
      <c r="AP52" s="45" t="n"/>
      <c r="AQ52" s="12" t="n"/>
      <c r="AR52" s="216" t="n">
        <v>40</v>
      </c>
      <c r="AS52" s="216" t="n"/>
      <c r="AT52" s="216" t="n"/>
      <c r="AU52" s="216">
        <f>N52+O52 + 0</f>
        <v/>
      </c>
      <c r="AW52" s="2">
        <f>SUM(AH52:AI52,AJ52/2,AK52:AL52)</f>
        <v/>
      </c>
      <c r="AX52" s="2">
        <f>AM52*0.5+SUM(AN52:AP52)</f>
        <v/>
      </c>
      <c r="AY52" s="39">
        <f>SUM(-AR52+AS52*0.01+AT52*0.5+AU52)</f>
        <v/>
      </c>
      <c r="AZ52" s="39">
        <f>'0分'!AF49</f>
        <v/>
      </c>
      <c r="BA52" s="39">
        <f>SUM(AY52,AX52,AW52)</f>
        <v/>
      </c>
      <c r="BB52" s="250" t="n"/>
      <c r="BC52" s="79">
        <f t="array" ref="BC52">SUMPRODUCT(--(NOT(ISBLANK('0₦'!D52:M52))), '0₦'!D$2:M$2) +  SUMPRODUCT(--(NOT(ISBLANK('0₦'!Q52:T52))), '0₦'!Q$2:T$2)</f>
        <v/>
      </c>
      <c r="BD52" s="250">
        <f t="array" ref="BD52">SUMPRODUCT(--(NOT(ISBLANK('0₦'!N52:P52))),'0₦'!N$2:P$2)+'0₦'!AY52</f>
        <v/>
      </c>
      <c r="BE52" s="79">
        <f t="array" ref="BE52">SUMPRODUCT(--(NOT(ISBLANK('0₦'!AA52:AC52))),'0₦'!AA$2:AC$2) + BF52</f>
        <v/>
      </c>
      <c r="BF52" s="79" t="n"/>
      <c r="BG52" s="79">
        <f t="array" ref="BG52">SUMPRODUCT(--(NOT(ISBLANK('0₦'!U52:Z52))), '0₦'!U$2:Z$2)</f>
        <v/>
      </c>
      <c r="BH52" s="79" t="n"/>
      <c r="BI52" s="79">
        <f>SUM(BG52:BH52)</f>
        <v/>
      </c>
      <c r="BJ52" s="79" t="n"/>
      <c r="BK52" s="79" t="n"/>
      <c r="BL52" s="79" t="n"/>
      <c r="BM52" s="79" t="n"/>
      <c r="BN52" s="79" t="n"/>
      <c r="BO52" s="79" t="n"/>
      <c r="BP52" s="79" t="n"/>
      <c r="BQ52" s="79" t="n"/>
      <c r="BR52" s="79" t="n"/>
      <c r="BS52" s="79" t="n"/>
      <c r="BT52" s="79" t="n"/>
      <c r="BU52" s="79" t="n"/>
      <c r="BV52" s="79" t="n"/>
      <c r="BW52" s="79" t="n"/>
      <c r="BX52" s="79" t="n"/>
      <c r="BY52" s="79" t="n"/>
      <c r="BZ52" s="79" t="n"/>
      <c r="CA52" s="79" t="n"/>
    </row>
    <row r="53" hidden="1" s="37">
      <c r="A53" s="552" t="n"/>
      <c r="B53" s="150" t="inlineStr">
        <is>
          <t>S</t>
        </is>
      </c>
      <c r="C53" s="550">
        <f>C52+1</f>
        <v/>
      </c>
      <c r="G53" s="216" t="n"/>
      <c r="H53" s="57" t="n"/>
      <c r="O53" s="216" t="n"/>
      <c r="X53" s="20" t="n"/>
      <c r="AF53" s="450" t="n"/>
      <c r="AN53" s="45" t="n"/>
      <c r="AP53" s="45" t="n"/>
      <c r="AQ53" s="12" t="n"/>
      <c r="AR53" s="216" t="n">
        <v>40</v>
      </c>
      <c r="AS53" s="216" t="n"/>
      <c r="AT53" s="216" t="n"/>
      <c r="AU53" s="216">
        <f>N53+O53 + 0</f>
        <v/>
      </c>
      <c r="AW53" s="2">
        <f>SUM(AH53:AI53,AJ53/2,AK53:AL53)</f>
        <v/>
      </c>
      <c r="AX53" s="2">
        <f>AM53*0.5+SUM(AN53:AP53)</f>
        <v/>
      </c>
      <c r="AY53" s="39">
        <f>SUM(-AR53+AS53*0.01+AT53*0.5+AU53)</f>
        <v/>
      </c>
      <c r="AZ53" s="39">
        <f>'0分'!AF50</f>
        <v/>
      </c>
      <c r="BA53" s="39">
        <f>SUM(AY53,AX53,AW53)</f>
        <v/>
      </c>
      <c r="BB53" s="250" t="n"/>
      <c r="BC53" s="79">
        <f t="array" ref="BC53">SUMPRODUCT(--(NOT(ISBLANK('0₦'!D53:M53))), '0₦'!D$2:M$2) +  SUMPRODUCT(--(NOT(ISBLANK('0₦'!Q53:T53))), '0₦'!Q$2:T$2)</f>
        <v/>
      </c>
      <c r="BD53" s="250">
        <f t="array" ref="BD53">SUMPRODUCT(--(NOT(ISBLANK('0₦'!N53:P53))),'0₦'!N$2:P$2)+'0₦'!AY53</f>
        <v/>
      </c>
      <c r="BE53" s="79">
        <f t="array" ref="BE53">SUMPRODUCT(--(NOT(ISBLANK('0₦'!AA53:AC53))),'0₦'!AA$2:AC$2) + BF53</f>
        <v/>
      </c>
      <c r="BF53" s="79" t="n"/>
      <c r="BG53" s="79">
        <f t="array" ref="BG53">SUMPRODUCT(--(NOT(ISBLANK('0₦'!U53:Z53))), '0₦'!U$2:Z$2)</f>
        <v/>
      </c>
      <c r="BH53" s="79" t="n"/>
      <c r="BI53" s="79">
        <f>SUM(BG53:BH53)</f>
        <v/>
      </c>
      <c r="BJ53" s="79" t="n"/>
      <c r="BK53" s="79" t="n"/>
      <c r="BL53" s="79" t="n"/>
      <c r="BM53" s="79" t="n"/>
      <c r="BN53" s="79" t="n"/>
      <c r="BO53" s="79" t="n"/>
      <c r="BP53" s="79" t="n"/>
      <c r="BQ53" s="79" t="n"/>
      <c r="BR53" s="79" t="n"/>
      <c r="BS53" s="79" t="n"/>
      <c r="BT53" s="79" t="n"/>
      <c r="BU53" s="79" t="n"/>
      <c r="BV53" s="79" t="n"/>
      <c r="BW53" s="79" t="n"/>
      <c r="BX53" s="79" t="n"/>
      <c r="BY53" s="79" t="n"/>
      <c r="BZ53" s="79" t="n"/>
      <c r="CA53" s="79" t="n"/>
    </row>
    <row r="54" hidden="1" ht="18" customHeight="1" s="37">
      <c r="A54" s="462">
        <f>A47+0.1</f>
        <v/>
      </c>
      <c r="B54" s="150" t="inlineStr">
        <is>
          <t>S</t>
        </is>
      </c>
      <c r="C54" s="550">
        <f>C53+1</f>
        <v/>
      </c>
      <c r="G54" s="216" t="n"/>
      <c r="H54" s="57" t="n"/>
      <c r="O54" s="214" t="n"/>
      <c r="X54" s="20" t="n"/>
      <c r="AF54" s="450" t="n"/>
      <c r="AN54" s="45" t="n"/>
      <c r="AP54" s="45" t="n"/>
      <c r="AQ54" s="12" t="n"/>
      <c r="AR54" s="216" t="n">
        <v>40</v>
      </c>
      <c r="AS54" s="216" t="n"/>
      <c r="AT54" s="216" t="n"/>
      <c r="AU54" s="216">
        <f>N54+O54 + 0</f>
        <v/>
      </c>
      <c r="AW54" s="2">
        <f>SUM(AH54:AI54,AJ54/2,AK54:AL54)</f>
        <v/>
      </c>
      <c r="AX54" s="2">
        <f>AM54*0.5+SUM(AN54:AP54)</f>
        <v/>
      </c>
      <c r="AY54" s="39">
        <f>SUM(-AR54+AS54*0.01+AT54*0.5+AU54)</f>
        <v/>
      </c>
      <c r="AZ54" s="39">
        <f>'0分'!AF51</f>
        <v/>
      </c>
      <c r="BA54" s="39">
        <f>SUM(AY54,AX54,AW54)</f>
        <v/>
      </c>
      <c r="BB54" s="250" t="n"/>
      <c r="BC54" s="79">
        <f t="array" ref="BC54">SUMPRODUCT(--(NOT(ISBLANK('0₦'!D54:M54))), '0₦'!D$2:M$2) +  SUMPRODUCT(--(NOT(ISBLANK('0₦'!Q54:T54))), '0₦'!Q$2:T$2)</f>
        <v/>
      </c>
      <c r="BD54" s="250">
        <f t="array" ref="BD54">SUMPRODUCT(--(NOT(ISBLANK('0₦'!N54:P54))),'0₦'!N$2:P$2)+'0₦'!AY54</f>
        <v/>
      </c>
      <c r="BE54" s="79">
        <f t="array" ref="BE54">SUMPRODUCT(--(NOT(ISBLANK('0₦'!AA54:AC54))),'0₦'!AA$2:AC$2) + BF54</f>
        <v/>
      </c>
      <c r="BF54" s="79" t="n"/>
      <c r="BG54" s="79">
        <f t="array" ref="BG54">SUMPRODUCT(--(NOT(ISBLANK('0₦'!U54:Z54))), '0₦'!U$2:Z$2)</f>
        <v/>
      </c>
      <c r="BH54" s="79" t="n"/>
      <c r="BI54" s="79">
        <f>SUM(BG54:BH54)</f>
        <v/>
      </c>
      <c r="BJ54" s="79" t="n"/>
      <c r="BK54" s="79" t="n"/>
      <c r="BL54" s="79" t="n"/>
      <c r="BM54" s="79" t="n"/>
      <c r="BN54" s="79" t="n"/>
      <c r="BO54" s="79" t="n"/>
      <c r="BP54" s="79" t="n"/>
      <c r="BQ54" s="79" t="n"/>
      <c r="BR54" s="79" t="n"/>
      <c r="BS54" s="79" t="n"/>
      <c r="BT54" s="79" t="n"/>
      <c r="BU54" s="79" t="n"/>
      <c r="BV54" s="79" t="n"/>
      <c r="BW54" s="79" t="n"/>
      <c r="BX54" s="79" t="n"/>
      <c r="BY54" s="79" t="n"/>
      <c r="BZ54" s="79" t="n"/>
      <c r="CA54" s="79" t="n"/>
    </row>
    <row r="55" hidden="1" ht="17.1" customHeight="1" s="37">
      <c r="A55" s="551" t="n"/>
      <c r="B55" s="150" t="inlineStr">
        <is>
          <t>M</t>
        </is>
      </c>
      <c r="C55" s="550">
        <f>C54+1</f>
        <v/>
      </c>
      <c r="G55" s="216" t="n"/>
      <c r="H55" s="57" t="n"/>
      <c r="O55" s="214" t="n"/>
      <c r="X55" s="20" t="n"/>
      <c r="AF55" s="450" t="n"/>
      <c r="AN55" s="45" t="n"/>
      <c r="AP55" s="45" t="n"/>
      <c r="AQ55" s="12" t="n"/>
      <c r="AR55" s="216" t="n">
        <v>40</v>
      </c>
      <c r="AS55" s="216" t="n"/>
      <c r="AT55" s="216" t="n"/>
      <c r="AU55" s="216">
        <f>N55+O55 + 0</f>
        <v/>
      </c>
      <c r="AW55" s="2">
        <f>SUM(AH55:AI55,AJ55/2,AK55:AL55)</f>
        <v/>
      </c>
      <c r="AX55" s="2">
        <f>AM55*0.5+SUM(AN55:AP55)</f>
        <v/>
      </c>
      <c r="AY55" s="39">
        <f>SUM(-AR55+AS55*0.01+AT55*0.5+AU55)</f>
        <v/>
      </c>
      <c r="AZ55" s="39">
        <f>'0分'!AF52</f>
        <v/>
      </c>
      <c r="BA55" s="39">
        <f>SUM(AY55,AX55,AW55)</f>
        <v/>
      </c>
      <c r="BB55" s="250" t="n"/>
      <c r="BC55" s="79">
        <f t="array" ref="BC55">SUMPRODUCT(--(NOT(ISBLANK('0₦'!D55:M55))), '0₦'!D$2:M$2) +  SUMPRODUCT(--(NOT(ISBLANK('0₦'!Q55:T55))), '0₦'!Q$2:T$2)</f>
        <v/>
      </c>
      <c r="BD55" s="250">
        <f t="array" ref="BD55">SUMPRODUCT(--(NOT(ISBLANK('0₦'!N55:P55))),'0₦'!N$2:P$2)+'0₦'!AY55</f>
        <v/>
      </c>
      <c r="BE55" s="79">
        <f t="array" ref="BE55">SUMPRODUCT(--(NOT(ISBLANK('0₦'!AA55:AC55))),'0₦'!AA$2:AC$2) + BF55</f>
        <v/>
      </c>
      <c r="BF55" s="79" t="n"/>
      <c r="BG55" s="79">
        <f t="array" ref="BG55">SUMPRODUCT(--(NOT(ISBLANK('0₦'!U55:Z55))), '0₦'!U$2:Z$2)</f>
        <v/>
      </c>
      <c r="BH55" s="79" t="n"/>
      <c r="BI55" s="79">
        <f>SUM(BG55:BH55)</f>
        <v/>
      </c>
      <c r="BJ55" s="79" t="n"/>
      <c r="BK55" s="79" t="n"/>
      <c r="BL55" s="79" t="n"/>
      <c r="BM55" s="79" t="n"/>
      <c r="BN55" s="79" t="n"/>
      <c r="BO55" s="79" t="n"/>
      <c r="BP55" s="79" t="n"/>
      <c r="BQ55" s="79" t="n"/>
      <c r="BR55" s="79" t="n"/>
      <c r="BS55" s="79" t="n"/>
      <c r="BT55" s="79" t="n"/>
      <c r="BU55" s="79" t="n"/>
      <c r="BV55" s="79" t="n"/>
      <c r="BW55" s="79" t="n"/>
      <c r="BX55" s="79" t="n"/>
      <c r="BY55" s="79" t="n"/>
      <c r="BZ55" s="79" t="n"/>
      <c r="CA55" s="79" t="n"/>
    </row>
    <row r="56" hidden="1" s="37">
      <c r="A56" s="551" t="n"/>
      <c r="B56" s="150" t="inlineStr">
        <is>
          <t>T</t>
        </is>
      </c>
      <c r="C56" s="550">
        <f>C55+1</f>
        <v/>
      </c>
      <c r="G56" s="216" t="n"/>
      <c r="H56" s="57" t="n"/>
      <c r="O56" s="216" t="n"/>
      <c r="X56" s="20" t="n"/>
      <c r="AF56" s="450" t="n"/>
      <c r="AN56" s="45" t="n"/>
      <c r="AP56" s="45" t="n"/>
      <c r="AQ56" s="12" t="n"/>
      <c r="AR56" s="216" t="n">
        <v>40</v>
      </c>
      <c r="AS56" s="216" t="n"/>
      <c r="AT56" s="216" t="n"/>
      <c r="AU56" s="216">
        <f>N56+O56 + 0</f>
        <v/>
      </c>
      <c r="AW56" s="2">
        <f>SUM(AH56:AI56,AJ56/2,AK56:AL56)</f>
        <v/>
      </c>
      <c r="AX56" s="2">
        <f>AM56*0.5+SUM(AN56:AP56)</f>
        <v/>
      </c>
      <c r="AY56" s="39">
        <f>SUM(-AR56+AS56*0.01+AT56*0.5+AU56)</f>
        <v/>
      </c>
      <c r="AZ56" s="39">
        <f>'0分'!AF53</f>
        <v/>
      </c>
      <c r="BA56" s="39">
        <f>SUM(AY56,AX56,AW56)</f>
        <v/>
      </c>
      <c r="BB56" s="250" t="n"/>
      <c r="BC56" s="79">
        <f t="array" ref="BC56">SUMPRODUCT(--(NOT(ISBLANK('0₦'!D56:M56))), '0₦'!D$2:M$2) +  SUMPRODUCT(--(NOT(ISBLANK('0₦'!Q56:T56))), '0₦'!Q$2:T$2)</f>
        <v/>
      </c>
      <c r="BD56" s="250">
        <f t="array" ref="BD56">SUMPRODUCT(--(NOT(ISBLANK('0₦'!N56:P56))),'0₦'!N$2:P$2)+'0₦'!AY56</f>
        <v/>
      </c>
      <c r="BE56" s="79">
        <f t="array" ref="BE56">SUMPRODUCT(--(NOT(ISBLANK('0₦'!AA56:AC56))),'0₦'!AA$2:AC$2) + BF56</f>
        <v/>
      </c>
      <c r="BF56" s="79" t="n"/>
      <c r="BG56" s="79">
        <f t="array" ref="BG56">SUMPRODUCT(--(NOT(ISBLANK('0₦'!U56:Z56))), '0₦'!U$2:Z$2)</f>
        <v/>
      </c>
      <c r="BH56" s="79" t="n"/>
      <c r="BI56" s="79">
        <f>SUM(BG56:BH56)</f>
        <v/>
      </c>
      <c r="BJ56" s="79" t="n"/>
      <c r="BK56" s="79" t="n"/>
      <c r="BL56" s="79" t="n"/>
      <c r="BM56" s="79" t="n"/>
      <c r="BN56" s="79" t="n"/>
      <c r="BO56" s="79" t="n"/>
      <c r="BP56" s="79" t="n"/>
      <c r="BQ56" s="79" t="n"/>
      <c r="BR56" s="79" t="n"/>
      <c r="BS56" s="79" t="n"/>
      <c r="BT56" s="79" t="n"/>
      <c r="BU56" s="79" t="n"/>
      <c r="BV56" s="79" t="n"/>
      <c r="BW56" s="79" t="n"/>
      <c r="BX56" s="79" t="n"/>
      <c r="BY56" s="79" t="n"/>
      <c r="BZ56" s="79" t="n"/>
      <c r="CA56" s="79" t="n"/>
    </row>
    <row r="57" hidden="1" s="37">
      <c r="A57" s="551" t="n"/>
      <c r="B57" s="150" t="inlineStr">
        <is>
          <t>W</t>
        </is>
      </c>
      <c r="C57" s="550">
        <f>C56+1</f>
        <v/>
      </c>
      <c r="G57" s="216" t="n"/>
      <c r="H57" s="57" t="n"/>
      <c r="O57" s="216" t="n"/>
      <c r="X57" s="20" t="n"/>
      <c r="AF57" s="450" t="n"/>
      <c r="AN57" s="45" t="n"/>
      <c r="AP57" s="45" t="n"/>
      <c r="AQ57" s="12" t="n"/>
      <c r="AR57" s="216" t="n">
        <v>40</v>
      </c>
      <c r="AS57" s="216" t="n"/>
      <c r="AT57" s="216" t="n"/>
      <c r="AU57" s="216">
        <f>N57+O57 + 0</f>
        <v/>
      </c>
      <c r="AW57" s="2">
        <f>SUM(AH57:AI57,AJ57/2,AK57:AL57)</f>
        <v/>
      </c>
      <c r="AX57" s="2">
        <f>AM57*0.5+SUM(AN57:AP57)</f>
        <v/>
      </c>
      <c r="AY57" s="39">
        <f>SUM(-AR57+AS57*0.01+AT57*0.5+AU57)</f>
        <v/>
      </c>
      <c r="AZ57" s="39">
        <f>'0分'!AF54</f>
        <v/>
      </c>
      <c r="BA57" s="39">
        <f>SUM(AY57,AX57,AW57)</f>
        <v/>
      </c>
      <c r="BB57" s="250" t="n"/>
      <c r="BC57" s="79">
        <f t="array" ref="BC57">SUMPRODUCT(--(NOT(ISBLANK('0₦'!D57:M57))), '0₦'!D$2:M$2) +  SUMPRODUCT(--(NOT(ISBLANK('0₦'!Q57:T57))), '0₦'!Q$2:T$2)</f>
        <v/>
      </c>
      <c r="BD57" s="250">
        <f t="array" ref="BD57">SUMPRODUCT(--(NOT(ISBLANK('0₦'!N57:P57))),'0₦'!N$2:P$2)+'0₦'!AY57</f>
        <v/>
      </c>
      <c r="BE57" s="79">
        <f t="array" ref="BE57">SUMPRODUCT(--(NOT(ISBLANK('0₦'!AA57:AC57))),'0₦'!AA$2:AC$2) + BF57</f>
        <v/>
      </c>
      <c r="BF57" s="79" t="n"/>
      <c r="BG57" s="79">
        <f t="array" ref="BG57">SUMPRODUCT(--(NOT(ISBLANK('0₦'!U57:Z57))), '0₦'!U$2:Z$2)</f>
        <v/>
      </c>
      <c r="BH57" s="79" t="n"/>
      <c r="BI57" s="79">
        <f>SUM(BG57:BH57)</f>
        <v/>
      </c>
      <c r="BJ57" s="79" t="n"/>
      <c r="BK57" s="79" t="n"/>
      <c r="BL57" s="79" t="n"/>
      <c r="BM57" s="79" t="n"/>
      <c r="BN57" s="79" t="n"/>
      <c r="BO57" s="79" t="n"/>
      <c r="BP57" s="79" t="n"/>
      <c r="BQ57" s="79" t="n"/>
      <c r="BR57" s="79" t="n"/>
      <c r="BS57" s="79" t="n"/>
      <c r="BT57" s="79" t="n"/>
      <c r="BU57" s="79" t="n"/>
      <c r="BV57" s="79" t="n"/>
      <c r="BW57" s="79" t="n"/>
      <c r="BX57" s="79" t="n"/>
      <c r="BY57" s="79" t="n"/>
      <c r="BZ57" s="79" t="n"/>
      <c r="CA57" s="79" t="n"/>
    </row>
    <row r="58" hidden="1" ht="21.95" customHeight="1" s="37">
      <c r="A58" s="551" t="n"/>
      <c r="B58" s="150" t="inlineStr">
        <is>
          <t>Th</t>
        </is>
      </c>
      <c r="C58" s="550">
        <f>C57+1</f>
        <v/>
      </c>
      <c r="G58" s="216" t="n"/>
      <c r="H58" s="57" t="n"/>
      <c r="O58" s="216" t="n"/>
      <c r="X58" s="20" t="n"/>
      <c r="AF58" s="450" t="n"/>
      <c r="AN58" s="45" t="n"/>
      <c r="AP58" s="45" t="n"/>
      <c r="AQ58" s="12" t="n"/>
      <c r="AR58" s="216" t="n">
        <v>40</v>
      </c>
      <c r="AS58" s="216" t="n"/>
      <c r="AT58" s="216" t="n"/>
      <c r="AU58" s="216">
        <f>N58+O58 + 0</f>
        <v/>
      </c>
      <c r="AW58" s="2">
        <f>SUM(AH58:AI58,AJ58/2,AK58:AL58)</f>
        <v/>
      </c>
      <c r="AX58" s="2">
        <f>AM58*0.5+SUM(AN58:AP58)</f>
        <v/>
      </c>
      <c r="AY58" s="39">
        <f>SUM(-AR58+AS58*0.01+AT58*0.5+AU58)</f>
        <v/>
      </c>
      <c r="AZ58" s="39">
        <f>'0分'!AF55</f>
        <v/>
      </c>
      <c r="BA58" s="39">
        <f>SUM(AY58,AX58,AW58)</f>
        <v/>
      </c>
      <c r="BB58" s="250" t="n"/>
      <c r="BC58" s="79">
        <f t="array" ref="BC58">SUMPRODUCT(--(NOT(ISBLANK('0₦'!D58:M58))), '0₦'!D$2:M$2) +  SUMPRODUCT(--(NOT(ISBLANK('0₦'!Q58:T58))), '0₦'!Q$2:T$2)</f>
        <v/>
      </c>
      <c r="BD58" s="250">
        <f t="array" ref="BD58">SUMPRODUCT(--(NOT(ISBLANK('0₦'!N58:P58))),'0₦'!N$2:P$2)+'0₦'!AY58</f>
        <v/>
      </c>
      <c r="BE58" s="79">
        <f t="array" ref="BE58">SUMPRODUCT(--(NOT(ISBLANK('0₦'!AA58:AC58))),'0₦'!AA$2:AC$2) + BF58</f>
        <v/>
      </c>
      <c r="BF58" s="79" t="n"/>
      <c r="BG58" s="79">
        <f t="array" ref="BG58">SUMPRODUCT(--(NOT(ISBLANK('0₦'!U58:Z58))), '0₦'!U$2:Z$2)</f>
        <v/>
      </c>
      <c r="BH58" s="79" t="n"/>
      <c r="BI58" s="79">
        <f>SUM(BG58:BH58)</f>
        <v/>
      </c>
      <c r="BJ58" s="79" t="n"/>
      <c r="BK58" s="79" t="n"/>
      <c r="BL58" s="79" t="n"/>
      <c r="BM58" s="79" t="n"/>
      <c r="BN58" s="79" t="n"/>
      <c r="BO58" s="79" t="n"/>
      <c r="BP58" s="79" t="n"/>
      <c r="BQ58" s="79" t="n"/>
      <c r="BR58" s="79" t="n"/>
      <c r="BS58" s="79" t="n"/>
      <c r="BT58" s="79" t="n"/>
      <c r="BU58" s="79" t="n"/>
      <c r="BV58" s="79" t="n"/>
      <c r="BW58" s="79" t="n"/>
      <c r="BX58" s="79" t="n"/>
      <c r="BY58" s="79" t="n"/>
      <c r="BZ58" s="79" t="n"/>
      <c r="CA58" s="79" t="n"/>
    </row>
    <row r="59" hidden="1" s="37">
      <c r="A59" s="551" t="n"/>
      <c r="B59" s="150" t="inlineStr">
        <is>
          <t>F</t>
        </is>
      </c>
      <c r="C59" s="550">
        <f>C58+1</f>
        <v/>
      </c>
      <c r="G59" s="216" t="n"/>
      <c r="H59" s="57" t="n"/>
      <c r="O59" s="216" t="n"/>
      <c r="T59" s="38" t="n"/>
      <c r="X59" s="20" t="n"/>
      <c r="AF59" s="450" t="n"/>
      <c r="AN59" s="45" t="n"/>
      <c r="AP59" s="45" t="n"/>
      <c r="AQ59" s="12" t="n"/>
      <c r="AR59" s="216" t="n">
        <v>40</v>
      </c>
      <c r="AS59" s="216" t="n"/>
      <c r="AT59" s="216" t="n"/>
      <c r="AU59" s="216">
        <f>N59+O59 + 0</f>
        <v/>
      </c>
      <c r="AW59" s="2">
        <f>SUM(AH59:AI59,AJ59/2,AK59:AL59)</f>
        <v/>
      </c>
      <c r="AX59" s="2">
        <f>AM59*0.5+SUM(AN59:AP59)</f>
        <v/>
      </c>
      <c r="AY59" s="39">
        <f>SUM(-AR59+AS59*0.01+AT59*0.5+AU59)</f>
        <v/>
      </c>
      <c r="AZ59" s="39">
        <f>'0分'!AF56</f>
        <v/>
      </c>
      <c r="BA59" s="39">
        <f>SUM(AY59,AX59,AW59)</f>
        <v/>
      </c>
      <c r="BB59" s="250" t="n"/>
      <c r="BC59" s="79">
        <f t="array" ref="BC59">SUMPRODUCT(--(NOT(ISBLANK('0₦'!D59:M59))), '0₦'!D$2:M$2) +  SUMPRODUCT(--(NOT(ISBLANK('0₦'!Q59:T59))), '0₦'!Q$2:T$2)</f>
        <v/>
      </c>
      <c r="BD59" s="250">
        <f t="array" ref="BD59">SUMPRODUCT(--(NOT(ISBLANK('0₦'!N59:P59))),'0₦'!N$2:P$2)+'0₦'!AY59</f>
        <v/>
      </c>
      <c r="BE59" s="79">
        <f t="array" ref="BE59">SUMPRODUCT(--(NOT(ISBLANK('0₦'!AA59:AC59))),'0₦'!AA$2:AC$2) + BF59</f>
        <v/>
      </c>
      <c r="BF59" s="79" t="n"/>
      <c r="BG59" s="79">
        <f t="array" ref="BG59">SUMPRODUCT(--(NOT(ISBLANK('0₦'!U59:Z59))), '0₦'!U$2:Z$2)</f>
        <v/>
      </c>
      <c r="BH59" s="79" t="n"/>
      <c r="BI59" s="79">
        <f>SUM(BG59:BH59)</f>
        <v/>
      </c>
      <c r="BJ59" s="79" t="n"/>
      <c r="BK59" s="79" t="n"/>
      <c r="BL59" s="79" t="n"/>
      <c r="BM59" s="79" t="n"/>
      <c r="BN59" s="79" t="n"/>
      <c r="BO59" s="79" t="n"/>
      <c r="BP59" s="79" t="n"/>
      <c r="BQ59" s="79" t="n"/>
      <c r="BR59" s="79" t="n"/>
      <c r="BS59" s="79" t="n"/>
      <c r="BT59" s="79" t="n"/>
      <c r="BU59" s="79" t="n"/>
      <c r="BV59" s="79" t="n"/>
      <c r="BW59" s="79" t="n"/>
      <c r="BX59" s="79" t="n"/>
      <c r="BY59" s="79" t="n"/>
      <c r="BZ59" s="79" t="n"/>
      <c r="CA59" s="79" t="n"/>
    </row>
    <row r="60" hidden="1" ht="18" customHeight="1" s="37">
      <c r="A60" s="552" t="n"/>
      <c r="B60" s="150" t="inlineStr">
        <is>
          <t>S</t>
        </is>
      </c>
      <c r="C60" s="550">
        <f>C59+1</f>
        <v/>
      </c>
      <c r="G60" s="216" t="n"/>
      <c r="H60" s="57" t="n"/>
      <c r="O60" s="216" t="n"/>
      <c r="U60" s="38" t="n"/>
      <c r="X60" s="20" t="n"/>
      <c r="AF60" s="450" t="n"/>
      <c r="AN60" s="45" t="n"/>
      <c r="AP60" s="45" t="n"/>
      <c r="AQ60" s="12" t="n"/>
      <c r="AR60" s="216" t="n">
        <v>40</v>
      </c>
      <c r="AS60" s="216" t="n"/>
      <c r="AT60" s="216" t="n"/>
      <c r="AU60" s="216">
        <f>N60+O60 + 0</f>
        <v/>
      </c>
      <c r="AW60" s="2">
        <f>SUM(AH60:AI60,AJ60/2,AK60:AL60)</f>
        <v/>
      </c>
      <c r="AX60" s="2">
        <f>AM60*0.5+SUM(AN60:AP60)</f>
        <v/>
      </c>
      <c r="AY60" s="39">
        <f>SUM(-AR60+AS60*0.01+AT60*0.5+AU60)</f>
        <v/>
      </c>
      <c r="AZ60" s="39">
        <f>'0分'!AF57</f>
        <v/>
      </c>
      <c r="BA60" s="39">
        <f>SUM(AY60,AX60,AW60)</f>
        <v/>
      </c>
      <c r="BB60" s="250" t="n"/>
      <c r="BC60" s="79">
        <f t="array" ref="BC60">SUMPRODUCT(--(NOT(ISBLANK('0₦'!D60:M60))), '0₦'!D$2:M$2) +  SUMPRODUCT(--(NOT(ISBLANK('0₦'!Q60:T60))), '0₦'!Q$2:T$2)</f>
        <v/>
      </c>
      <c r="BD60" s="250">
        <f t="array" ref="BD60">SUMPRODUCT(--(NOT(ISBLANK('0₦'!N60:P60))),'0₦'!N$2:P$2)+'0₦'!AY60</f>
        <v/>
      </c>
      <c r="BE60" s="79">
        <f t="array" ref="BE60">SUMPRODUCT(--(NOT(ISBLANK('0₦'!AA60:AC60))),'0₦'!AA$2:AC$2) + BF60</f>
        <v/>
      </c>
      <c r="BF60" s="79" t="n"/>
      <c r="BG60" s="79">
        <f t="array" ref="BG60">SUMPRODUCT(--(NOT(ISBLANK('0₦'!U60:Z60))), '0₦'!U$2:Z$2)</f>
        <v/>
      </c>
      <c r="BH60" s="79" t="n"/>
      <c r="BI60" s="79">
        <f>SUM(BG60:BH60)</f>
        <v/>
      </c>
      <c r="BJ60" s="79" t="n"/>
      <c r="BK60" s="79" t="n"/>
      <c r="BL60" s="79" t="n"/>
      <c r="BM60" s="79" t="n"/>
      <c r="BN60" s="79" t="n"/>
      <c r="BO60" s="79" t="n"/>
      <c r="BP60" s="79" t="n"/>
      <c r="BQ60" s="79" t="n"/>
      <c r="BR60" s="79" t="n"/>
      <c r="BS60" s="79" t="n"/>
      <c r="BT60" s="79" t="n"/>
      <c r="BU60" s="79" t="n"/>
      <c r="BV60" s="79" t="n"/>
      <c r="BW60" s="79" t="n"/>
      <c r="BX60" s="79" t="n"/>
      <c r="BY60" s="79" t="n"/>
      <c r="BZ60" s="79" t="n"/>
      <c r="CA60" s="79" t="n"/>
    </row>
    <row r="61" hidden="1" ht="15.95" customHeight="1" s="37">
      <c r="A61" s="462">
        <f>A33+1</f>
        <v/>
      </c>
      <c r="B61" s="150" t="inlineStr">
        <is>
          <t>S</t>
        </is>
      </c>
      <c r="C61" s="550">
        <f>C60+1</f>
        <v/>
      </c>
      <c r="G61" s="216" t="n"/>
      <c r="H61" s="57" t="n"/>
      <c r="O61" s="216" t="n"/>
      <c r="R61" s="38" t="n"/>
      <c r="X61" s="20" t="n"/>
      <c r="AF61" s="450" t="n"/>
      <c r="AN61" s="45" t="n"/>
      <c r="AP61" s="45" t="n"/>
      <c r="AQ61" s="12" t="n"/>
      <c r="AR61" s="216" t="n">
        <v>40</v>
      </c>
      <c r="AS61" s="216" t="n"/>
      <c r="AT61" s="216" t="n"/>
      <c r="AU61" s="216">
        <f>N61+O61 + 0</f>
        <v/>
      </c>
      <c r="AW61" s="2">
        <f>SUM(AH61:AI61,AJ61/2,AK61:AL61)</f>
        <v/>
      </c>
      <c r="AX61" s="2">
        <f>AM61*0.5+SUM(AN61:AP61)</f>
        <v/>
      </c>
      <c r="AY61" s="39">
        <f>SUM(-AR61+AS61*0.01+AT61*0.5+AU61)</f>
        <v/>
      </c>
      <c r="AZ61" s="39">
        <f>'0分'!AF58</f>
        <v/>
      </c>
      <c r="BA61" s="39">
        <f>SUM(AY61,AX61,AW61)</f>
        <v/>
      </c>
      <c r="BB61" s="250" t="n"/>
      <c r="BC61" s="79">
        <f t="array" ref="BC61">SUMPRODUCT(--(NOT(ISBLANK('0₦'!D61:M61))), '0₦'!D$2:M$2) +  SUMPRODUCT(--(NOT(ISBLANK('0₦'!Q61:T61))), '0₦'!Q$2:T$2)</f>
        <v/>
      </c>
      <c r="BD61" s="250">
        <f t="array" ref="BD61">SUMPRODUCT(--(NOT(ISBLANK('0₦'!N61:P61))),'0₦'!N$2:P$2)+'0₦'!AY61</f>
        <v/>
      </c>
      <c r="BE61" s="79">
        <f t="array" ref="BE61">SUMPRODUCT(--(NOT(ISBLANK('0₦'!AA61:AC61))),'0₦'!AA$2:AC$2) + BF61</f>
        <v/>
      </c>
      <c r="BF61" s="79" t="n"/>
      <c r="BG61" s="79">
        <f t="array" ref="BG61">SUMPRODUCT(--(NOT(ISBLANK('0₦'!U61:Z61))), '0₦'!U$2:Z$2)</f>
        <v/>
      </c>
      <c r="BH61" s="79" t="n"/>
      <c r="BI61" s="79">
        <f>SUM(BG61:BH61)</f>
        <v/>
      </c>
      <c r="BJ61" s="79" t="n"/>
      <c r="BK61" s="79" t="n"/>
      <c r="BL61" s="79" t="n"/>
      <c r="BM61" s="79" t="n"/>
      <c r="BN61" s="79" t="n"/>
      <c r="BO61" s="79" t="n"/>
      <c r="BP61" s="79" t="n"/>
      <c r="BQ61" s="79" t="n"/>
      <c r="BR61" s="79" t="n"/>
      <c r="BS61" s="79" t="n"/>
      <c r="BT61" s="79" t="n"/>
      <c r="BU61" s="79" t="n"/>
      <c r="BV61" s="79" t="n"/>
      <c r="BW61" s="79" t="n"/>
      <c r="BX61" s="79" t="n"/>
      <c r="BY61" s="79" t="n"/>
      <c r="BZ61" s="79" t="n"/>
      <c r="CA61" s="79" t="n"/>
    </row>
    <row r="62" hidden="1" ht="17.1" customHeight="1" s="37">
      <c r="A62" s="551" t="n"/>
      <c r="B62" s="150" t="inlineStr">
        <is>
          <t>M</t>
        </is>
      </c>
      <c r="C62" s="550">
        <f>C61+1</f>
        <v/>
      </c>
      <c r="G62" s="216" t="n"/>
      <c r="H62" s="57" t="n"/>
      <c r="O62" s="216" t="n"/>
      <c r="Q62" s="38" t="n"/>
      <c r="X62" s="20" t="n"/>
      <c r="AF62" s="450" t="n"/>
      <c r="AN62" s="45" t="n"/>
      <c r="AP62" s="45" t="n"/>
      <c r="AQ62" s="12" t="n"/>
      <c r="AR62" s="216" t="n">
        <v>40</v>
      </c>
      <c r="AS62" s="216" t="n"/>
      <c r="AT62" s="216" t="n"/>
      <c r="AU62" s="216">
        <f>N62+O62 + 0</f>
        <v/>
      </c>
      <c r="AW62" s="2">
        <f>SUM(AH62:AI62,AJ62/2,AK62:AL62)</f>
        <v/>
      </c>
      <c r="AX62" s="2">
        <f>AM62*0.5+SUM(AN62:AP62)</f>
        <v/>
      </c>
      <c r="AY62" s="39">
        <f>SUM(-AR62+AS62*0.01+AT62*0.5+AU62)</f>
        <v/>
      </c>
      <c r="AZ62" s="39">
        <f>'0分'!AF59</f>
        <v/>
      </c>
      <c r="BA62" s="39">
        <f>SUM(AY62,AX62,AW62)</f>
        <v/>
      </c>
      <c r="BB62" s="250" t="n"/>
      <c r="BC62" s="79">
        <f t="array" ref="BC62">SUMPRODUCT(--(NOT(ISBLANK('0₦'!D62:M62))), '0₦'!D$2:M$2) +  SUMPRODUCT(--(NOT(ISBLANK('0₦'!Q62:T62))), '0₦'!Q$2:T$2)</f>
        <v/>
      </c>
      <c r="BD62" s="250">
        <f t="array" ref="BD62">SUMPRODUCT(--(NOT(ISBLANK('0₦'!N62:P62))),'0₦'!N$2:P$2)+'0₦'!AY62</f>
        <v/>
      </c>
      <c r="BE62" s="79">
        <f t="array" ref="BE62">SUMPRODUCT(--(NOT(ISBLANK('0₦'!AA62:AC62))),'0₦'!AA$2:AC$2) + BF62</f>
        <v/>
      </c>
      <c r="BF62" s="79" t="n"/>
      <c r="BG62" s="79">
        <f t="array" ref="BG62">SUMPRODUCT(--(NOT(ISBLANK('0₦'!U62:Z62))), '0₦'!U$2:Z$2)</f>
        <v/>
      </c>
      <c r="BH62" s="79" t="n"/>
      <c r="BI62" s="79">
        <f>SUM(BG62:BH62)</f>
        <v/>
      </c>
      <c r="BJ62" s="79" t="n"/>
      <c r="BK62" s="79" t="n"/>
      <c r="BL62" s="79" t="n"/>
      <c r="BM62" s="79" t="n"/>
      <c r="BN62" s="79" t="n"/>
      <c r="BO62" s="79" t="n"/>
      <c r="BP62" s="79" t="n"/>
      <c r="BQ62" s="79" t="n"/>
      <c r="BR62" s="79" t="n"/>
      <c r="BS62" s="79" t="n"/>
      <c r="BT62" s="79" t="n"/>
      <c r="BU62" s="79" t="n"/>
      <c r="BV62" s="79" t="n"/>
      <c r="BW62" s="79" t="n"/>
      <c r="BX62" s="79" t="n"/>
      <c r="BY62" s="79" t="n"/>
      <c r="BZ62" s="79" t="n"/>
      <c r="CA62" s="79" t="n"/>
    </row>
    <row r="63" hidden="1" s="37">
      <c r="A63" s="551" t="n"/>
      <c r="B63" s="150" t="inlineStr">
        <is>
          <t>T</t>
        </is>
      </c>
      <c r="C63" s="550">
        <f>C62+1</f>
        <v/>
      </c>
      <c r="G63" s="216" t="n"/>
      <c r="H63" s="57" t="n"/>
      <c r="O63" s="216" t="n"/>
      <c r="X63" s="20" t="n"/>
      <c r="AF63" s="450" t="n"/>
      <c r="AN63" s="45" t="n"/>
      <c r="AP63" s="45" t="n"/>
      <c r="AQ63" s="12" t="n"/>
      <c r="AR63" s="216" t="n">
        <v>40</v>
      </c>
      <c r="AS63" s="216" t="n"/>
      <c r="AT63" s="216" t="n"/>
      <c r="AU63" s="216">
        <f>N63+O63 + 0</f>
        <v/>
      </c>
      <c r="AW63" s="2">
        <f>SUM(AH63:AI63,AJ63/2,AK63:AL63)</f>
        <v/>
      </c>
      <c r="AX63" s="2">
        <f>AM63*0.5+SUM(AN63:AP63)</f>
        <v/>
      </c>
      <c r="AY63" s="39">
        <f>SUM(-AR63+AS63*0.01+AT63*0.5+AU63)</f>
        <v/>
      </c>
      <c r="AZ63" s="39">
        <f>'0分'!AF60</f>
        <v/>
      </c>
      <c r="BA63" s="39">
        <f>SUM(AY63,AX63,AW63)</f>
        <v/>
      </c>
      <c r="BB63" s="250" t="n"/>
      <c r="BC63" s="79">
        <f t="array" ref="BC63">SUMPRODUCT(--(NOT(ISBLANK('0₦'!D63:M63))), '0₦'!D$2:M$2) +  SUMPRODUCT(--(NOT(ISBLANK('0₦'!Q63:T63))), '0₦'!Q$2:T$2)</f>
        <v/>
      </c>
      <c r="BD63" s="250">
        <f t="array" ref="BD63">SUMPRODUCT(--(NOT(ISBLANK('0₦'!N63:P63))),'0₦'!N$2:P$2)+'0₦'!AY63</f>
        <v/>
      </c>
      <c r="BE63" s="79">
        <f t="array" ref="BE63">SUMPRODUCT(--(NOT(ISBLANK('0₦'!AA63:AC63))),'0₦'!AA$2:AC$2) + BF63</f>
        <v/>
      </c>
      <c r="BF63" s="79" t="n"/>
      <c r="BG63" s="79">
        <f t="array" ref="BG63">SUMPRODUCT(--(NOT(ISBLANK('0₦'!U63:Z63))), '0₦'!U$2:Z$2)</f>
        <v/>
      </c>
      <c r="BH63" s="79" t="n"/>
      <c r="BI63" s="79">
        <f>SUM(BG63:BH63)</f>
        <v/>
      </c>
      <c r="BJ63" s="79" t="n"/>
      <c r="BK63" s="79" t="n"/>
      <c r="BL63" s="79" t="n"/>
      <c r="BM63" s="79" t="n"/>
      <c r="BN63" s="79" t="n"/>
      <c r="BO63" s="79" t="n"/>
      <c r="BP63" s="79" t="n"/>
      <c r="BQ63" s="79" t="n"/>
      <c r="BR63" s="79" t="n"/>
      <c r="BS63" s="79" t="n"/>
      <c r="BT63" s="79" t="n"/>
      <c r="BU63" s="79" t="n"/>
      <c r="BV63" s="79" t="n"/>
      <c r="BW63" s="79" t="n"/>
      <c r="BX63" s="79" t="n"/>
      <c r="BY63" s="79" t="n"/>
      <c r="BZ63" s="79" t="n"/>
      <c r="CA63" s="79" t="n"/>
    </row>
    <row r="64" hidden="1" s="37">
      <c r="A64" s="551" t="n"/>
      <c r="B64" s="150" t="inlineStr">
        <is>
          <t>W</t>
        </is>
      </c>
      <c r="C64" s="550">
        <f>C63+1</f>
        <v/>
      </c>
      <c r="G64" s="216" t="n"/>
      <c r="H64" s="57" t="n"/>
      <c r="O64" s="216" t="n"/>
      <c r="X64" s="20" t="n"/>
      <c r="AF64" s="450" t="n"/>
      <c r="AN64" s="45" t="n"/>
      <c r="AP64" s="45" t="n"/>
      <c r="AQ64" s="12" t="n"/>
      <c r="AR64" s="216" t="n">
        <v>40</v>
      </c>
      <c r="AS64" s="216" t="n"/>
      <c r="AT64" s="216" t="n"/>
      <c r="AU64" s="216">
        <f>N64+O64 + 0</f>
        <v/>
      </c>
      <c r="AW64" s="2">
        <f>SUM(AH64:AI64,AJ64/2,AK64:AL64)</f>
        <v/>
      </c>
      <c r="AX64" s="2">
        <f>AM64*0.5+SUM(AN64:AP64)</f>
        <v/>
      </c>
      <c r="AY64" s="39">
        <f>SUM(-AR64+AS64*0.01+AT64*0.5+AU64)</f>
        <v/>
      </c>
      <c r="AZ64" s="39">
        <f>'0分'!AF61</f>
        <v/>
      </c>
      <c r="BA64" s="39">
        <f>SUM(AY64,AX64,AW64)</f>
        <v/>
      </c>
      <c r="BB64" s="250" t="n"/>
      <c r="BC64" s="79">
        <f t="array" ref="BC64">SUMPRODUCT(--(NOT(ISBLANK('0₦'!D64:M64))), '0₦'!D$2:M$2) +  SUMPRODUCT(--(NOT(ISBLANK('0₦'!Q64:T64))), '0₦'!Q$2:T$2)</f>
        <v/>
      </c>
      <c r="BD64" s="250">
        <f t="array" ref="BD64">SUMPRODUCT(--(NOT(ISBLANK('0₦'!N64:P64))),'0₦'!N$2:P$2)+'0₦'!AY64</f>
        <v/>
      </c>
      <c r="BE64" s="79">
        <f t="array" ref="BE64">SUMPRODUCT(--(NOT(ISBLANK('0₦'!AA64:AC64))),'0₦'!AA$2:AC$2) + BF64</f>
        <v/>
      </c>
      <c r="BF64" s="79" t="n"/>
      <c r="BG64" s="79">
        <f t="array" ref="BG64">SUMPRODUCT(--(NOT(ISBLANK('0₦'!U64:Z64))), '0₦'!U$2:Z$2)</f>
        <v/>
      </c>
      <c r="BH64" s="79" t="n"/>
      <c r="BI64" s="79">
        <f>SUM(BG64:BH64)</f>
        <v/>
      </c>
      <c r="BJ64" s="79" t="n"/>
      <c r="BK64" s="79" t="n"/>
      <c r="BL64" s="79" t="n"/>
      <c r="BM64" s="79" t="n"/>
      <c r="BN64" s="79" t="n"/>
      <c r="BO64" s="79" t="n"/>
      <c r="BP64" s="79" t="n"/>
      <c r="BQ64" s="79" t="n"/>
      <c r="BR64" s="79" t="n"/>
      <c r="BS64" s="79" t="n"/>
      <c r="BT64" s="79" t="n"/>
      <c r="BU64" s="79" t="n"/>
      <c r="BV64" s="79" t="n"/>
      <c r="BW64" s="79" t="n"/>
      <c r="BX64" s="79" t="n"/>
      <c r="BY64" s="79" t="n"/>
      <c r="BZ64" s="79" t="n"/>
      <c r="CA64" s="79" t="n"/>
    </row>
    <row r="65" hidden="1" s="37">
      <c r="A65" s="551" t="n"/>
      <c r="B65" s="150" t="inlineStr">
        <is>
          <t>Th</t>
        </is>
      </c>
      <c r="C65" s="550">
        <f>C64+1</f>
        <v/>
      </c>
      <c r="G65" s="216" t="n"/>
      <c r="H65" s="57" t="n"/>
      <c r="O65" s="216" t="n"/>
      <c r="T65" s="38" t="n"/>
      <c r="X65" s="20" t="n"/>
      <c r="AF65" s="450" t="n"/>
      <c r="AN65" s="45" t="n"/>
      <c r="AP65" s="45" t="n"/>
      <c r="AQ65" s="12" t="n"/>
      <c r="AR65" s="216" t="n">
        <v>40</v>
      </c>
      <c r="AS65" s="216" t="n"/>
      <c r="AT65" s="216" t="n"/>
      <c r="AU65" s="216">
        <f>N65+O65 + 0</f>
        <v/>
      </c>
      <c r="AW65" s="2">
        <f>SUM(AH65:AI65,AJ65/2,AK65:AL65)</f>
        <v/>
      </c>
      <c r="AX65" s="2">
        <f>AM65*0.5+SUM(AN65:AP65)</f>
        <v/>
      </c>
      <c r="AY65" s="39">
        <f>SUM(-AR65+AS65*0.01+AT65*0.5+AU65)</f>
        <v/>
      </c>
      <c r="AZ65" s="39">
        <f>'0分'!AF62</f>
        <v/>
      </c>
      <c r="BA65" s="39">
        <f>SUM(AY65,AX65,AW65)</f>
        <v/>
      </c>
      <c r="BB65" s="250" t="n"/>
      <c r="BC65" s="79">
        <f t="array" ref="BC65">SUMPRODUCT(--(NOT(ISBLANK('0₦'!D65:M65))), '0₦'!D$2:M$2) +  SUMPRODUCT(--(NOT(ISBLANK('0₦'!Q65:T65))), '0₦'!Q$2:T$2)</f>
        <v/>
      </c>
      <c r="BD65" s="250">
        <f t="array" ref="BD65">SUMPRODUCT(--(NOT(ISBLANK('0₦'!N65:P65))),'0₦'!N$2:P$2)+'0₦'!AY65</f>
        <v/>
      </c>
      <c r="BE65" s="79">
        <f t="array" ref="BE65">SUMPRODUCT(--(NOT(ISBLANK('0₦'!AA65:AC65))),'0₦'!AA$2:AC$2) + BF65</f>
        <v/>
      </c>
      <c r="BF65" s="79" t="n"/>
      <c r="BG65" s="79">
        <f t="array" ref="BG65">SUMPRODUCT(--(NOT(ISBLANK('0₦'!U65:Z65))), '0₦'!U$2:Z$2)</f>
        <v/>
      </c>
      <c r="BH65" s="79" t="n"/>
      <c r="BI65" s="79">
        <f>SUM(BG65:BH65)</f>
        <v/>
      </c>
      <c r="BJ65" s="79" t="n"/>
      <c r="BK65" s="79" t="n"/>
      <c r="BL65" s="79" t="n"/>
      <c r="BM65" s="79" t="n"/>
      <c r="BN65" s="79" t="n"/>
      <c r="BO65" s="79" t="n"/>
      <c r="BP65" s="79" t="n"/>
      <c r="BQ65" s="79" t="n"/>
      <c r="BR65" s="79" t="n"/>
      <c r="BS65" s="79" t="n"/>
      <c r="BT65" s="79" t="n"/>
      <c r="BU65" s="79" t="n"/>
      <c r="BV65" s="79" t="n"/>
      <c r="BW65" s="79" t="n"/>
      <c r="BX65" s="79" t="n"/>
      <c r="BY65" s="79" t="n"/>
      <c r="BZ65" s="79" t="n"/>
      <c r="CA65" s="79" t="n"/>
    </row>
    <row r="66" hidden="1" ht="17.1" customHeight="1" s="37">
      <c r="A66" s="551" t="n"/>
      <c r="B66" s="150" t="inlineStr">
        <is>
          <t>F</t>
        </is>
      </c>
      <c r="C66" s="550">
        <f>C65+1</f>
        <v/>
      </c>
      <c r="G66" s="216" t="n"/>
      <c r="H66" s="57" t="n"/>
      <c r="O66" s="216" t="n"/>
      <c r="T66" s="38" t="n"/>
      <c r="X66" s="20" t="n"/>
      <c r="AF66" s="450" t="n"/>
      <c r="AN66" s="45" t="n"/>
      <c r="AP66" s="45" t="n"/>
      <c r="AQ66" s="12" t="n"/>
      <c r="AR66" s="216" t="n">
        <v>40</v>
      </c>
      <c r="AS66" s="216" t="n"/>
      <c r="AT66" s="216" t="n"/>
      <c r="AU66" s="216">
        <f>N66+O66 + 0</f>
        <v/>
      </c>
      <c r="AW66" s="2">
        <f>SUM(AH66:AI66,AJ66/2,AK66:AL66)</f>
        <v/>
      </c>
      <c r="AX66" s="2">
        <f>AM66*0.5+SUM(AN66:AP66)</f>
        <v/>
      </c>
      <c r="AY66" s="39">
        <f>SUM(-AR66+AS66*0.01+AT66*0.5+AU66)</f>
        <v/>
      </c>
      <c r="AZ66" s="39">
        <f>'0分'!AF63</f>
        <v/>
      </c>
      <c r="BA66" s="39">
        <f>SUM(AY66,AX66,AW66)</f>
        <v/>
      </c>
      <c r="BB66" s="250" t="n"/>
      <c r="BC66" s="79">
        <f t="array" ref="BC66">SUMPRODUCT(--(NOT(ISBLANK('0₦'!D66:M66))), '0₦'!D$2:M$2) +  SUMPRODUCT(--(NOT(ISBLANK('0₦'!Q66:T66))), '0₦'!Q$2:T$2)</f>
        <v/>
      </c>
      <c r="BD66" s="250">
        <f t="array" ref="BD66">SUMPRODUCT(--(NOT(ISBLANK('0₦'!N66:P66))),'0₦'!N$2:P$2)+'0₦'!AY66</f>
        <v/>
      </c>
      <c r="BE66" s="79">
        <f t="array" ref="BE66">SUMPRODUCT(--(NOT(ISBLANK('0₦'!AA66:AC66))),'0₦'!AA$2:AC$2) + BF66</f>
        <v/>
      </c>
      <c r="BF66" s="79" t="n"/>
      <c r="BG66" s="79">
        <f t="array" ref="BG66">SUMPRODUCT(--(NOT(ISBLANK('0₦'!U66:Z66))), '0₦'!U$2:Z$2)</f>
        <v/>
      </c>
      <c r="BH66" s="79" t="n"/>
      <c r="BI66" s="79">
        <f>SUM(BG66:BH66)</f>
        <v/>
      </c>
      <c r="BJ66" s="79" t="n"/>
      <c r="BK66" s="79" t="n"/>
      <c r="BL66" s="79" t="n"/>
      <c r="BM66" s="79" t="n"/>
      <c r="BN66" s="79" t="n"/>
      <c r="BO66" s="79" t="n"/>
      <c r="BP66" s="79" t="n"/>
      <c r="BQ66" s="79" t="n"/>
      <c r="BR66" s="79" t="n"/>
      <c r="BS66" s="79" t="n"/>
      <c r="BT66" s="79" t="n"/>
      <c r="BU66" s="79" t="n"/>
      <c r="BV66" s="79" t="n"/>
      <c r="BW66" s="79" t="n"/>
      <c r="BX66" s="79" t="n"/>
      <c r="BY66" s="79" t="n"/>
      <c r="BZ66" s="79" t="n"/>
      <c r="CA66" s="79" t="n"/>
    </row>
    <row r="67" hidden="1" s="37">
      <c r="A67" s="552" t="n"/>
      <c r="B67" s="150" t="inlineStr">
        <is>
          <t>S</t>
        </is>
      </c>
      <c r="C67" s="550">
        <f>C66+1</f>
        <v/>
      </c>
      <c r="G67" s="216" t="n"/>
      <c r="H67" s="57" t="n"/>
      <c r="O67" s="214" t="n"/>
      <c r="X67" s="20" t="n"/>
      <c r="AF67" s="450" t="n"/>
      <c r="AN67" s="45" t="n"/>
      <c r="AP67" s="45" t="n"/>
      <c r="AQ67" s="12" t="n"/>
      <c r="AR67" s="216" t="n">
        <v>40</v>
      </c>
      <c r="AS67" s="216" t="n"/>
      <c r="AT67" s="216" t="n"/>
      <c r="AU67" s="216">
        <f>N67+O67 + 0</f>
        <v/>
      </c>
      <c r="AW67" s="2">
        <f>SUM(AH67:AI67,AJ67/2,AK67:AL67)</f>
        <v/>
      </c>
      <c r="AX67" s="2">
        <f>AM67*0.5+SUM(AN67:AP67)</f>
        <v/>
      </c>
      <c r="AY67" s="39">
        <f>SUM(-AR67+AS67*0.01+AT67*0.5+AU67)</f>
        <v/>
      </c>
      <c r="AZ67" s="39">
        <f>'0分'!AF64</f>
        <v/>
      </c>
      <c r="BA67" s="39">
        <f>SUM(AY67,AX67,AW67)</f>
        <v/>
      </c>
      <c r="BB67" s="250" t="n"/>
      <c r="BC67" s="79">
        <f t="array" ref="BC67">SUMPRODUCT(--(NOT(ISBLANK('0₦'!D67:M67))), '0₦'!D$2:M$2) +  SUMPRODUCT(--(NOT(ISBLANK('0₦'!Q67:T67))), '0₦'!Q$2:T$2)</f>
        <v/>
      </c>
      <c r="BD67" s="250">
        <f t="array" ref="BD67">SUMPRODUCT(--(NOT(ISBLANK('0₦'!N67:P67))),'0₦'!N$2:P$2)+'0₦'!AY67</f>
        <v/>
      </c>
      <c r="BE67" s="79">
        <f t="array" ref="BE67">SUMPRODUCT(--(NOT(ISBLANK('0₦'!AA67:AC67))),'0₦'!AA$2:AC$2) + BF67</f>
        <v/>
      </c>
      <c r="BF67" s="79" t="n"/>
      <c r="BG67" s="79">
        <f t="array" ref="BG67">SUMPRODUCT(--(NOT(ISBLANK('0₦'!U67:Z67))), '0₦'!U$2:Z$2)</f>
        <v/>
      </c>
      <c r="BH67" s="79" t="n"/>
      <c r="BI67" s="79">
        <f>SUM(BG67:BH67)</f>
        <v/>
      </c>
      <c r="BJ67" s="79" t="n"/>
      <c r="BK67" s="79" t="n"/>
      <c r="BL67" s="79" t="n"/>
      <c r="BM67" s="79" t="n"/>
      <c r="BN67" s="79" t="n"/>
      <c r="BO67" s="79" t="n"/>
      <c r="BP67" s="79" t="n"/>
      <c r="BQ67" s="79" t="n"/>
      <c r="BR67" s="79" t="n"/>
      <c r="BS67" s="79" t="n"/>
      <c r="BT67" s="79" t="n"/>
      <c r="BU67" s="79" t="n"/>
      <c r="BV67" s="79" t="n"/>
      <c r="BW67" s="79" t="n"/>
      <c r="BX67" s="79" t="n"/>
      <c r="BY67" s="79" t="n"/>
      <c r="BZ67" s="79" t="n"/>
      <c r="CA67" s="79" t="n"/>
    </row>
    <row r="68" hidden="1" ht="17.1" customHeight="1" s="37">
      <c r="A68" s="462">
        <f>A61+0.1</f>
        <v/>
      </c>
      <c r="B68" s="150" t="inlineStr">
        <is>
          <t>S</t>
        </is>
      </c>
      <c r="C68" s="550">
        <f>C67+1</f>
        <v/>
      </c>
      <c r="G68" s="216" t="n"/>
      <c r="H68" s="57" t="n"/>
      <c r="O68" s="216" t="n"/>
      <c r="X68" s="20" t="n"/>
      <c r="AF68" s="450" t="n"/>
      <c r="AN68" s="45" t="n"/>
      <c r="AP68" s="45" t="n"/>
      <c r="AQ68" s="12" t="n"/>
      <c r="AR68" s="216" t="n">
        <v>40</v>
      </c>
      <c r="AS68" s="216" t="n"/>
      <c r="AT68" s="216" t="n"/>
      <c r="AU68" s="216">
        <f>N68+O68 + 0</f>
        <v/>
      </c>
      <c r="AW68" s="2">
        <f>SUM(AH68:AI68,AJ68/2,AK68:AL68)</f>
        <v/>
      </c>
      <c r="AX68" s="2">
        <f>AM68*0.5+SUM(AN68:AP68)</f>
        <v/>
      </c>
      <c r="AY68" s="39">
        <f>SUM(-AR68+AS68*0.01+AT68*0.5+AU68)</f>
        <v/>
      </c>
      <c r="AZ68" s="39">
        <f>'0分'!AF65</f>
        <v/>
      </c>
      <c r="BA68" s="39">
        <f>SUM(AY68,AX68,AW68)</f>
        <v/>
      </c>
      <c r="BB68" s="250" t="n"/>
      <c r="BC68" s="79">
        <f t="array" ref="BC68">SUMPRODUCT(--(NOT(ISBLANK('0₦'!D68:M68))), '0₦'!D$2:M$2) +  SUMPRODUCT(--(NOT(ISBLANK('0₦'!Q68:T68))), '0₦'!Q$2:T$2)</f>
        <v/>
      </c>
      <c r="BD68" s="250">
        <f t="array" ref="BD68">SUMPRODUCT(--(NOT(ISBLANK('0₦'!N68:P68))),'0₦'!N$2:P$2)+'0₦'!AY68</f>
        <v/>
      </c>
      <c r="BE68" s="79">
        <f t="array" ref="BE68">SUMPRODUCT(--(NOT(ISBLANK('0₦'!AA68:AC68))),'0₦'!AA$2:AC$2) + BF68</f>
        <v/>
      </c>
      <c r="BF68" s="79" t="n"/>
      <c r="BG68" s="79">
        <f t="array" ref="BG68">SUMPRODUCT(--(NOT(ISBLANK('0₦'!U68:Z68))), '0₦'!U$2:Z$2)</f>
        <v/>
      </c>
      <c r="BH68" s="79" t="n"/>
      <c r="BI68" s="79">
        <f>SUM(BG68:BH68)</f>
        <v/>
      </c>
      <c r="BJ68" s="79" t="n"/>
      <c r="BK68" s="79" t="n"/>
      <c r="BL68" s="79" t="n"/>
      <c r="BM68" s="79" t="n"/>
      <c r="BN68" s="79" t="n"/>
      <c r="BO68" s="79" t="n"/>
      <c r="BP68" s="79" t="n"/>
      <c r="BQ68" s="79" t="n"/>
      <c r="BR68" s="79" t="n"/>
      <c r="BS68" s="79" t="n"/>
      <c r="BT68" s="79" t="n"/>
      <c r="BU68" s="79" t="n"/>
      <c r="BV68" s="79" t="n"/>
      <c r="BW68" s="79" t="n"/>
      <c r="BX68" s="79" t="n"/>
      <c r="BY68" s="79" t="n"/>
      <c r="BZ68" s="79" t="n"/>
      <c r="CA68" s="79" t="n"/>
    </row>
    <row r="69" hidden="1" s="37">
      <c r="A69" s="551" t="n"/>
      <c r="B69" s="150" t="inlineStr">
        <is>
          <t>M</t>
        </is>
      </c>
      <c r="C69" s="550">
        <f>C68+1</f>
        <v/>
      </c>
      <c r="G69" s="216" t="n"/>
      <c r="H69" s="57" t="n"/>
      <c r="O69" s="216" t="n"/>
      <c r="X69" s="20" t="n"/>
      <c r="AF69" s="450" t="n"/>
      <c r="AN69" s="45" t="n"/>
      <c r="AP69" s="45" t="n"/>
      <c r="AQ69" s="12" t="n"/>
      <c r="AR69" s="216" t="n">
        <v>40</v>
      </c>
      <c r="AS69" s="216" t="n"/>
      <c r="AT69" s="216" t="n"/>
      <c r="AU69" s="216">
        <f>N69+O69 + 0</f>
        <v/>
      </c>
      <c r="AW69" s="2">
        <f>SUM(AH69:AI69,AJ69/2,AK69:AL69)</f>
        <v/>
      </c>
      <c r="AX69" s="2">
        <f>AM69*0.5+SUM(AN69:AP69)</f>
        <v/>
      </c>
      <c r="AY69" s="39">
        <f>SUM(-AR69+AS69*0.01+AT69*0.5+AU69)</f>
        <v/>
      </c>
      <c r="AZ69" s="39">
        <f>'0分'!AF66</f>
        <v/>
      </c>
      <c r="BA69" s="39">
        <f>SUM(AY69,AX69,AW69)</f>
        <v/>
      </c>
      <c r="BB69" s="250" t="n"/>
      <c r="BC69" s="79">
        <f t="array" ref="BC69">SUMPRODUCT(--(NOT(ISBLANK('0₦'!D69:M69))), '0₦'!D$2:M$2) +  SUMPRODUCT(--(NOT(ISBLANK('0₦'!Q69:T69))), '0₦'!Q$2:T$2)</f>
        <v/>
      </c>
      <c r="BD69" s="250">
        <f t="array" ref="BD69">SUMPRODUCT(--(NOT(ISBLANK('0₦'!N69:P69))),'0₦'!N$2:P$2)+'0₦'!AY69</f>
        <v/>
      </c>
      <c r="BE69" s="79">
        <f t="array" ref="BE69">SUMPRODUCT(--(NOT(ISBLANK('0₦'!AA69:AC69))),'0₦'!AA$2:AC$2) + BF69</f>
        <v/>
      </c>
      <c r="BF69" s="79" t="n"/>
      <c r="BG69" s="79">
        <f t="array" ref="BG69">SUMPRODUCT(--(NOT(ISBLANK('0₦'!U69:Z69))), '0₦'!U$2:Z$2)</f>
        <v/>
      </c>
      <c r="BH69" s="79" t="n"/>
      <c r="BI69" s="79">
        <f>SUM(BG69:BH69)</f>
        <v/>
      </c>
      <c r="BJ69" s="79" t="n"/>
      <c r="BK69" s="79" t="n"/>
      <c r="BL69" s="79" t="n"/>
      <c r="BM69" s="79" t="n"/>
      <c r="BN69" s="79" t="n"/>
      <c r="BO69" s="79" t="n"/>
      <c r="BP69" s="79" t="n"/>
      <c r="BQ69" s="79" t="n"/>
      <c r="BR69" s="79" t="n"/>
      <c r="BS69" s="79" t="n"/>
      <c r="BT69" s="79" t="n"/>
      <c r="BU69" s="79" t="n"/>
      <c r="BV69" s="79" t="n"/>
      <c r="BW69" s="79" t="n"/>
      <c r="BX69" s="79" t="n"/>
      <c r="BY69" s="79" t="n"/>
      <c r="BZ69" s="79" t="n"/>
      <c r="CA69" s="79" t="n"/>
    </row>
    <row r="70" hidden="1" ht="21" customHeight="1" s="37">
      <c r="A70" s="551" t="n"/>
      <c r="B70" s="150" t="inlineStr">
        <is>
          <t>T</t>
        </is>
      </c>
      <c r="C70" s="550">
        <f>C69+1</f>
        <v/>
      </c>
      <c r="G70" s="216" t="n"/>
      <c r="H70" s="57" t="n"/>
      <c r="O70" s="216" t="n"/>
      <c r="U70" s="38" t="n"/>
      <c r="X70" s="20" t="n"/>
      <c r="AF70" s="450" t="n"/>
      <c r="AN70" s="45" t="n"/>
      <c r="AP70" s="45" t="n"/>
      <c r="AQ70" s="12" t="n"/>
      <c r="AR70" s="216" t="n">
        <v>40</v>
      </c>
      <c r="AS70" s="216" t="n"/>
      <c r="AT70" s="216" t="n"/>
      <c r="AU70" s="216">
        <f>N70+O70 + 0</f>
        <v/>
      </c>
      <c r="AW70" s="2">
        <f>SUM(AH70:AI70,AJ70/2,AK70:AL70)</f>
        <v/>
      </c>
      <c r="AX70" s="2">
        <f>AM70*0.5+SUM(AN70:AP70)</f>
        <v/>
      </c>
      <c r="AY70" s="39">
        <f>SUM(-AR70+AS70*0.01+AT70*0.5+AU70)</f>
        <v/>
      </c>
      <c r="AZ70" s="39">
        <f>'0分'!AF67</f>
        <v/>
      </c>
      <c r="BA70" s="39">
        <f>SUM(AY70,AX70,AW70)</f>
        <v/>
      </c>
      <c r="BB70" s="250" t="n"/>
      <c r="BC70" s="79">
        <f t="array" ref="BC70">SUMPRODUCT(--(NOT(ISBLANK('0₦'!D70:M70))), '0₦'!D$2:M$2) +  SUMPRODUCT(--(NOT(ISBLANK('0₦'!Q70:T70))), '0₦'!Q$2:T$2)</f>
        <v/>
      </c>
      <c r="BD70" s="250">
        <f t="array" ref="BD70">SUMPRODUCT(--(NOT(ISBLANK('0₦'!N70:P70))),'0₦'!N$2:P$2)+'0₦'!AY70</f>
        <v/>
      </c>
      <c r="BE70" s="79">
        <f t="array" ref="BE70">SUMPRODUCT(--(NOT(ISBLANK('0₦'!AA70:AC70))),'0₦'!AA$2:AC$2) + BF70</f>
        <v/>
      </c>
      <c r="BF70" s="79" t="n"/>
      <c r="BG70" s="79">
        <f t="array" ref="BG70">SUMPRODUCT(--(NOT(ISBLANK('0₦'!U70:Z70))), '0₦'!U$2:Z$2)</f>
        <v/>
      </c>
      <c r="BH70" s="79" t="n"/>
      <c r="BI70" s="79">
        <f>SUM(BG70:BH70)</f>
        <v/>
      </c>
      <c r="BJ70" s="79" t="n"/>
      <c r="BK70" s="79" t="n"/>
      <c r="BL70" s="79" t="n"/>
      <c r="BM70" s="79" t="n"/>
      <c r="BN70" s="79" t="n"/>
      <c r="BO70" s="79" t="n"/>
      <c r="BP70" s="79" t="n"/>
      <c r="BQ70" s="79" t="n"/>
      <c r="BR70" s="79" t="n"/>
      <c r="BS70" s="79" t="n"/>
      <c r="BT70" s="79" t="n"/>
      <c r="BU70" s="79" t="n"/>
      <c r="BV70" s="79" t="n"/>
      <c r="BW70" s="79" t="n"/>
      <c r="BX70" s="79" t="n"/>
      <c r="BY70" s="79" t="n"/>
      <c r="BZ70" s="79" t="n"/>
      <c r="CA70" s="79" t="n"/>
    </row>
    <row r="71" hidden="1" s="37">
      <c r="A71" s="551" t="n"/>
      <c r="B71" s="150" t="inlineStr">
        <is>
          <t>W</t>
        </is>
      </c>
      <c r="C71" s="550">
        <f>C70+1</f>
        <v/>
      </c>
      <c r="G71" s="216" t="n"/>
      <c r="H71" s="57" t="n"/>
      <c r="O71" s="216" t="n"/>
      <c r="X71" s="20" t="n"/>
      <c r="AF71" s="450" t="n"/>
      <c r="AN71" s="45" t="n"/>
      <c r="AP71" s="45" t="n"/>
      <c r="AQ71" s="12" t="n"/>
      <c r="AR71" s="216" t="n">
        <v>40</v>
      </c>
      <c r="AS71" s="216" t="n"/>
      <c r="AT71" s="216" t="n"/>
      <c r="AU71" s="216">
        <f>N71+O71 + 0</f>
        <v/>
      </c>
      <c r="AW71" s="2">
        <f>SUM(AH71:AI71,AJ71/2,AK71:AL71)</f>
        <v/>
      </c>
      <c r="AX71" s="2">
        <f>AM71*0.5+SUM(AN71:AP71)</f>
        <v/>
      </c>
      <c r="AY71" s="39">
        <f>SUM(-AR71+AS71*0.01+AT71*0.5+AU71)</f>
        <v/>
      </c>
      <c r="AZ71" s="39">
        <f>'0分'!AF68</f>
        <v/>
      </c>
      <c r="BA71" s="39">
        <f>SUM(AY71,AX71,AW71)</f>
        <v/>
      </c>
      <c r="BB71" s="250" t="n"/>
      <c r="BC71" s="79">
        <f t="array" ref="BC71">SUMPRODUCT(--(NOT(ISBLANK('0₦'!D71:M71))), '0₦'!D$2:M$2) +  SUMPRODUCT(--(NOT(ISBLANK('0₦'!Q71:T71))), '0₦'!Q$2:T$2)</f>
        <v/>
      </c>
      <c r="BD71" s="250">
        <f t="array" ref="BD71">SUMPRODUCT(--(NOT(ISBLANK('0₦'!N71:P71))),'0₦'!N$2:P$2)+'0₦'!AY71</f>
        <v/>
      </c>
      <c r="BE71" s="79">
        <f t="array" ref="BE71">SUMPRODUCT(--(NOT(ISBLANK('0₦'!AA71:AC71))),'0₦'!AA$2:AC$2) + BF71</f>
        <v/>
      </c>
      <c r="BF71" s="79" t="n"/>
      <c r="BG71" s="79">
        <f t="array" ref="BG71">SUMPRODUCT(--(NOT(ISBLANK('0₦'!U71:Z71))), '0₦'!U$2:Z$2)</f>
        <v/>
      </c>
      <c r="BH71" s="79" t="n"/>
      <c r="BI71" s="79">
        <f>SUM(BG71:BH71)</f>
        <v/>
      </c>
      <c r="BJ71" s="79" t="n"/>
      <c r="BK71" s="79" t="n"/>
      <c r="BL71" s="79" t="n"/>
      <c r="BM71" s="79" t="n"/>
      <c r="BN71" s="79" t="n"/>
      <c r="BO71" s="79" t="n"/>
      <c r="BP71" s="79" t="n"/>
      <c r="BQ71" s="79" t="n"/>
      <c r="BR71" s="79" t="n"/>
      <c r="BS71" s="79" t="n"/>
      <c r="BT71" s="79" t="n"/>
      <c r="BU71" s="79" t="n"/>
      <c r="BV71" s="79" t="n"/>
      <c r="BW71" s="79" t="n"/>
      <c r="BX71" s="79" t="n"/>
      <c r="BY71" s="79" t="n"/>
      <c r="BZ71" s="79" t="n"/>
      <c r="CA71" s="79" t="n"/>
    </row>
    <row r="72" hidden="1" ht="17.1" customHeight="1" s="37">
      <c r="A72" s="551" t="n"/>
      <c r="B72" s="150" t="inlineStr">
        <is>
          <t>Th</t>
        </is>
      </c>
      <c r="C72" s="550">
        <f>C71+1</f>
        <v/>
      </c>
      <c r="G72" s="216" t="n"/>
      <c r="H72" s="57" t="n"/>
      <c r="M72" s="38" t="n"/>
      <c r="O72" s="216" t="n"/>
      <c r="S72" s="38" t="n"/>
      <c r="X72" s="20" t="n"/>
      <c r="AF72" s="450" t="n"/>
      <c r="AN72" s="45" t="n"/>
      <c r="AP72" s="45" t="n"/>
      <c r="AQ72" s="12" t="n"/>
      <c r="AR72" s="216" t="n">
        <v>40</v>
      </c>
      <c r="AS72" s="216" t="n"/>
      <c r="AT72" s="216" t="n"/>
      <c r="AU72" s="216">
        <f>N72+O72 + 0</f>
        <v/>
      </c>
      <c r="AW72" s="2">
        <f>SUM(AH72:AI72,AJ72/2,AK72:AL72)</f>
        <v/>
      </c>
      <c r="AX72" s="2">
        <f>AM72*0.5+SUM(AN72:AP72)</f>
        <v/>
      </c>
      <c r="AY72" s="39">
        <f>SUM(-AR72+AS72*0.01+AT72*0.5+AU72)</f>
        <v/>
      </c>
      <c r="AZ72" s="39">
        <f>'0分'!AF69</f>
        <v/>
      </c>
      <c r="BA72" s="39">
        <f>SUM(AY72,AX72,AW72)</f>
        <v/>
      </c>
      <c r="BB72" s="250" t="n"/>
      <c r="BC72" s="79">
        <f t="array" ref="BC72">SUMPRODUCT(--(NOT(ISBLANK('0₦'!D72:M72))), '0₦'!D$2:M$2) +  SUMPRODUCT(--(NOT(ISBLANK('0₦'!Q72:T72))), '0₦'!Q$2:T$2)</f>
        <v/>
      </c>
      <c r="BD72" s="250">
        <f t="array" ref="BD72">SUMPRODUCT(--(NOT(ISBLANK('0₦'!N72:P72))),'0₦'!N$2:P$2)+'0₦'!AY72</f>
        <v/>
      </c>
      <c r="BE72" s="79">
        <f t="array" ref="BE72">SUMPRODUCT(--(NOT(ISBLANK('0₦'!AA72:AC72))),'0₦'!AA$2:AC$2) + BF72</f>
        <v/>
      </c>
      <c r="BF72" s="79" t="n"/>
      <c r="BG72" s="79">
        <f t="array" ref="BG72">SUMPRODUCT(--(NOT(ISBLANK('0₦'!U72:Z72))), '0₦'!U$2:Z$2)</f>
        <v/>
      </c>
      <c r="BH72" s="79" t="n"/>
      <c r="BI72" s="79">
        <f>SUM(BG72:BH72)</f>
        <v/>
      </c>
      <c r="BJ72" s="79" t="n"/>
      <c r="BK72" s="79" t="n"/>
      <c r="BL72" s="79" t="n"/>
      <c r="BM72" s="79" t="n"/>
      <c r="BN72" s="79" t="n"/>
      <c r="BO72" s="79" t="n"/>
      <c r="BP72" s="79" t="n"/>
      <c r="BQ72" s="79" t="n"/>
      <c r="BR72" s="79" t="n"/>
      <c r="BS72" s="79" t="n"/>
      <c r="BT72" s="79" t="n"/>
      <c r="BU72" s="79" t="n"/>
      <c r="BV72" s="79" t="n"/>
      <c r="BW72" s="79" t="n"/>
      <c r="BX72" s="79" t="n"/>
      <c r="BY72" s="79" t="n"/>
      <c r="BZ72" s="79" t="n"/>
      <c r="CA72" s="79" t="n"/>
    </row>
    <row r="73" hidden="1" s="37">
      <c r="A73" s="551" t="n"/>
      <c r="B73" s="150" t="inlineStr">
        <is>
          <t>F</t>
        </is>
      </c>
      <c r="C73" s="550">
        <f>C72+1</f>
        <v/>
      </c>
      <c r="G73" s="216" t="n"/>
      <c r="H73" s="57" t="n"/>
      <c r="O73" s="216" t="n"/>
      <c r="X73" s="20" t="n"/>
      <c r="AF73" s="450" t="n"/>
      <c r="AN73" s="45" t="n"/>
      <c r="AP73" s="45" t="n"/>
      <c r="AQ73" s="12" t="n"/>
      <c r="AR73" s="216" t="n">
        <v>40</v>
      </c>
      <c r="AS73" s="216" t="n"/>
      <c r="AT73" s="216" t="n"/>
      <c r="AU73" s="216">
        <f>N73+O73 + 0</f>
        <v/>
      </c>
      <c r="AW73" s="2">
        <f>SUM(AH73:AI73,AJ73/2,AK73:AL73)</f>
        <v/>
      </c>
      <c r="AX73" s="2">
        <f>AM73*0.5+SUM(AN73:AP73)</f>
        <v/>
      </c>
      <c r="AY73" s="39">
        <f>SUM(-AR73+AS73*0.01+AT73*0.5+AU73)</f>
        <v/>
      </c>
      <c r="AZ73" s="39">
        <f>'0分'!AF70</f>
        <v/>
      </c>
      <c r="BA73" s="39">
        <f>SUM(AY73,AX73,AW73)</f>
        <v/>
      </c>
      <c r="BB73" s="250" t="n"/>
      <c r="BC73" s="79">
        <f t="array" ref="BC73">SUMPRODUCT(--(NOT(ISBLANK('0₦'!D73:M73))), '0₦'!D$2:M$2) +  SUMPRODUCT(--(NOT(ISBLANK('0₦'!Q73:T73))), '0₦'!Q$2:T$2)</f>
        <v/>
      </c>
      <c r="BD73" s="250">
        <f t="array" ref="BD73">SUMPRODUCT(--(NOT(ISBLANK('0₦'!N73:P73))),'0₦'!N$2:P$2)+'0₦'!AY73</f>
        <v/>
      </c>
      <c r="BE73" s="79">
        <f t="array" ref="BE73">SUMPRODUCT(--(NOT(ISBLANK('0₦'!AA73:AC73))),'0₦'!AA$2:AC$2) + BF73</f>
        <v/>
      </c>
      <c r="BF73" s="79" t="n"/>
      <c r="BG73" s="79">
        <f t="array" ref="BG73">SUMPRODUCT(--(NOT(ISBLANK('0₦'!U73:Z73))), '0₦'!U$2:Z$2)</f>
        <v/>
      </c>
      <c r="BH73" s="79" t="n"/>
      <c r="BI73" s="79">
        <f>SUM(BG73:BH73)</f>
        <v/>
      </c>
      <c r="BJ73" s="79" t="n"/>
      <c r="BK73" s="79" t="n"/>
      <c r="BL73" s="79" t="n"/>
      <c r="BM73" s="79" t="n"/>
      <c r="BN73" s="79" t="n"/>
      <c r="BO73" s="79" t="n"/>
      <c r="BP73" s="79" t="n"/>
      <c r="BQ73" s="79" t="n"/>
      <c r="BR73" s="79" t="n"/>
      <c r="BS73" s="79" t="n"/>
      <c r="BT73" s="79" t="n"/>
      <c r="BU73" s="79" t="n"/>
      <c r="BV73" s="79" t="n"/>
      <c r="BW73" s="79" t="n"/>
      <c r="BX73" s="79" t="n"/>
      <c r="BY73" s="79" t="n"/>
      <c r="BZ73" s="79" t="n"/>
      <c r="CA73" s="79" t="n"/>
    </row>
    <row r="74" hidden="1" s="37">
      <c r="A74" s="552" t="n"/>
      <c r="B74" s="150" t="inlineStr">
        <is>
          <t>S</t>
        </is>
      </c>
      <c r="C74" s="550">
        <f>C73+1</f>
        <v/>
      </c>
      <c r="G74" s="216" t="n"/>
      <c r="H74" s="57" t="n"/>
      <c r="O74" s="216" t="n"/>
      <c r="X74" s="20" t="n"/>
      <c r="AF74" s="450" t="n"/>
      <c r="AN74" s="45" t="n"/>
      <c r="AP74" s="45" t="n"/>
      <c r="AQ74" s="12" t="n"/>
      <c r="AR74" s="216" t="n">
        <v>40</v>
      </c>
      <c r="AS74" s="216" t="n"/>
      <c r="AT74" s="216" t="n"/>
      <c r="AU74" s="216">
        <f>N74+O74 + 0</f>
        <v/>
      </c>
      <c r="AW74" s="2">
        <f>SUM(AH74:AI74,AJ74/2,AK74:AL74)</f>
        <v/>
      </c>
      <c r="AX74" s="2">
        <f>AM74*0.5+SUM(AN74:AP74)</f>
        <v/>
      </c>
      <c r="AY74" s="39">
        <f>SUM(-AR74+AS74*0.01+AT74*0.5+AU74)</f>
        <v/>
      </c>
      <c r="AZ74" s="39">
        <f>'0分'!AF71</f>
        <v/>
      </c>
      <c r="BA74" s="39">
        <f>SUM(AY74,AX74,AW74)</f>
        <v/>
      </c>
      <c r="BB74" s="250" t="n"/>
      <c r="BC74" s="79">
        <f t="array" ref="BC74">SUMPRODUCT(--(NOT(ISBLANK('0₦'!D74:M74))), '0₦'!D$2:M$2) +  SUMPRODUCT(--(NOT(ISBLANK('0₦'!Q74:T74))), '0₦'!Q$2:T$2)</f>
        <v/>
      </c>
      <c r="BD74" s="250">
        <f t="array" ref="BD74">SUMPRODUCT(--(NOT(ISBLANK('0₦'!N74:P74))),'0₦'!N$2:P$2)+'0₦'!AY74</f>
        <v/>
      </c>
      <c r="BE74" s="79">
        <f t="array" ref="BE74">SUMPRODUCT(--(NOT(ISBLANK('0₦'!AA74:AC74))),'0₦'!AA$2:AC$2) + BF74</f>
        <v/>
      </c>
      <c r="BF74" s="79" t="n"/>
      <c r="BG74" s="79">
        <f t="array" ref="BG74">SUMPRODUCT(--(NOT(ISBLANK('0₦'!U74:Z74))), '0₦'!U$2:Z$2)</f>
        <v/>
      </c>
      <c r="BH74" s="79" t="n"/>
      <c r="BI74" s="79">
        <f>SUM(BG74:BH74)</f>
        <v/>
      </c>
      <c r="BJ74" s="79" t="n"/>
      <c r="BK74" s="79" t="n"/>
      <c r="BL74" s="79" t="n"/>
      <c r="BM74" s="79" t="n"/>
      <c r="BN74" s="79" t="n"/>
      <c r="BO74" s="79" t="n"/>
      <c r="BP74" s="79" t="n"/>
      <c r="BQ74" s="79" t="n"/>
      <c r="BR74" s="79" t="n"/>
      <c r="BS74" s="79" t="n"/>
      <c r="BT74" s="79" t="n"/>
      <c r="BU74" s="79" t="n"/>
      <c r="BV74" s="79" t="n"/>
      <c r="BW74" s="79" t="n"/>
      <c r="BX74" s="79" t="n"/>
      <c r="BY74" s="79" t="n"/>
      <c r="BZ74" s="79" t="n"/>
      <c r="CA74" s="79" t="n"/>
    </row>
    <row r="75" hidden="1" ht="17.1" customHeight="1" s="37">
      <c r="A75" s="462">
        <f>A68+0.1</f>
        <v/>
      </c>
      <c r="B75" s="150" t="inlineStr">
        <is>
          <t>S</t>
        </is>
      </c>
      <c r="C75" s="550">
        <f>C74+1</f>
        <v/>
      </c>
      <c r="G75" s="216" t="n"/>
      <c r="H75" s="57" t="n"/>
      <c r="O75" s="214" t="n"/>
      <c r="X75" s="20" t="n"/>
      <c r="AF75" s="450" t="n"/>
      <c r="AN75" s="45" t="n"/>
      <c r="AP75" s="45" t="n"/>
      <c r="AQ75" s="12" t="n"/>
      <c r="AR75" s="216" t="n">
        <v>40</v>
      </c>
      <c r="AS75" s="216" t="n"/>
      <c r="AT75" s="216" t="n"/>
      <c r="AU75" s="216">
        <f>N75+O75 + 0</f>
        <v/>
      </c>
      <c r="AW75" s="2">
        <f>SUM(AH75:AI75,AJ75/2,AK75:AL75)</f>
        <v/>
      </c>
      <c r="AX75" s="2">
        <f>AM75*0.5+SUM(AN75:AP75)</f>
        <v/>
      </c>
      <c r="AY75" s="39">
        <f>SUM(-AR75+AS75*0.01+AT75*0.5+AU75)</f>
        <v/>
      </c>
      <c r="AZ75" s="39">
        <f>'0分'!AF72</f>
        <v/>
      </c>
      <c r="BA75" s="39">
        <f>SUM(AY75,AX75,AW75)</f>
        <v/>
      </c>
      <c r="BB75" s="250" t="n"/>
      <c r="BC75" s="79">
        <f t="array" ref="BC75">SUMPRODUCT(--(NOT(ISBLANK('0₦'!D75:M75))), '0₦'!D$2:M$2) +  SUMPRODUCT(--(NOT(ISBLANK('0₦'!Q75:T75))), '0₦'!Q$2:T$2)</f>
        <v/>
      </c>
      <c r="BD75" s="250">
        <f t="array" ref="BD75">SUMPRODUCT(--(NOT(ISBLANK('0₦'!N75:P75))),'0₦'!N$2:P$2)+'0₦'!AY75</f>
        <v/>
      </c>
      <c r="BE75" s="79">
        <f t="array" ref="BE75">SUMPRODUCT(--(NOT(ISBLANK('0₦'!AA75:AC75))),'0₦'!AA$2:AC$2) + BF75</f>
        <v/>
      </c>
      <c r="BF75" s="79" t="n"/>
      <c r="BG75" s="79">
        <f t="array" ref="BG75">SUMPRODUCT(--(NOT(ISBLANK('0₦'!U75:Z75))), '0₦'!U$2:Z$2)</f>
        <v/>
      </c>
      <c r="BH75" s="79" t="n"/>
      <c r="BI75" s="79">
        <f>SUM(BG75:BH75)</f>
        <v/>
      </c>
      <c r="BJ75" s="79" t="n"/>
      <c r="BK75" s="79" t="n"/>
      <c r="BL75" s="79" t="n"/>
      <c r="BM75" s="79" t="n"/>
      <c r="BN75" s="79" t="n"/>
      <c r="BO75" s="79" t="n"/>
      <c r="BP75" s="79" t="n"/>
      <c r="BQ75" s="79" t="n"/>
      <c r="BR75" s="79" t="n"/>
      <c r="BS75" s="79" t="n"/>
      <c r="BT75" s="79" t="n"/>
      <c r="BU75" s="79" t="n"/>
      <c r="BV75" s="79" t="n"/>
      <c r="BW75" s="79" t="n"/>
      <c r="BX75" s="79" t="n"/>
      <c r="BY75" s="79" t="n"/>
      <c r="BZ75" s="79" t="n"/>
      <c r="CA75" s="79" t="n"/>
    </row>
    <row r="76" hidden="1" s="37">
      <c r="A76" s="551" t="n"/>
      <c r="B76" s="150" t="inlineStr">
        <is>
          <t>M</t>
        </is>
      </c>
      <c r="C76" s="550">
        <f>C75+1</f>
        <v/>
      </c>
      <c r="G76" s="216" t="n"/>
      <c r="H76" s="57" t="n"/>
      <c r="O76" s="214" t="n"/>
      <c r="X76" s="20" t="n"/>
      <c r="AF76" s="450" t="n"/>
      <c r="AN76" s="45" t="n"/>
      <c r="AP76" s="45" t="n"/>
      <c r="AQ76" s="12" t="n"/>
      <c r="AR76" s="216" t="n">
        <v>40</v>
      </c>
      <c r="AS76" s="216" t="n"/>
      <c r="AT76" s="216" t="n"/>
      <c r="AU76" s="216">
        <f>N76+O76 + 0</f>
        <v/>
      </c>
      <c r="AW76" s="2">
        <f>SUM(AH76:AI76,AJ76/2,AK76:AL76)</f>
        <v/>
      </c>
      <c r="AX76" s="2">
        <f>AM76*0.5+SUM(AN76:AP76)</f>
        <v/>
      </c>
      <c r="AY76" s="39">
        <f>SUM(-AR76+AS76*0.01+AT76*0.5+AU76)</f>
        <v/>
      </c>
      <c r="AZ76" s="39">
        <f>'0分'!AF73</f>
        <v/>
      </c>
      <c r="BA76" s="39">
        <f>SUM(AY76,AX76,AW76)</f>
        <v/>
      </c>
      <c r="BB76" s="250" t="n"/>
      <c r="BC76" s="79">
        <f t="array" ref="BC76">SUMPRODUCT(--(NOT(ISBLANK('0₦'!D76:M76))), '0₦'!D$2:M$2) +  SUMPRODUCT(--(NOT(ISBLANK('0₦'!Q76:T76))), '0₦'!Q$2:T$2)</f>
        <v/>
      </c>
      <c r="BD76" s="250">
        <f t="array" ref="BD76">SUMPRODUCT(--(NOT(ISBLANK('0₦'!N76:P76))),'0₦'!N$2:P$2)+'0₦'!AY76</f>
        <v/>
      </c>
      <c r="BE76" s="79">
        <f t="array" ref="BE76">SUMPRODUCT(--(NOT(ISBLANK('0₦'!AA76:AC76))),'0₦'!AA$2:AC$2) + BF76</f>
        <v/>
      </c>
      <c r="BF76" s="79" t="n"/>
      <c r="BG76" s="79">
        <f t="array" ref="BG76">SUMPRODUCT(--(NOT(ISBLANK('0₦'!U76:Z76))), '0₦'!U$2:Z$2)</f>
        <v/>
      </c>
      <c r="BH76" s="79" t="n"/>
      <c r="BI76" s="79">
        <f>SUM(BG76:BH76)</f>
        <v/>
      </c>
      <c r="BJ76" s="79" t="n"/>
      <c r="BK76" s="79" t="n"/>
      <c r="BL76" s="79" t="n"/>
      <c r="BM76" s="79" t="n"/>
      <c r="BN76" s="79" t="n"/>
      <c r="BO76" s="79" t="n"/>
      <c r="BP76" s="79" t="n"/>
      <c r="BQ76" s="79" t="n"/>
      <c r="BR76" s="79" t="n"/>
      <c r="BS76" s="79" t="n"/>
      <c r="BT76" s="79" t="n"/>
      <c r="BU76" s="79" t="n"/>
      <c r="BV76" s="79" t="n"/>
      <c r="BW76" s="79" t="n"/>
      <c r="BX76" s="79" t="n"/>
      <c r="BY76" s="79" t="n"/>
      <c r="BZ76" s="79" t="n"/>
      <c r="CA76" s="79" t="n"/>
    </row>
    <row r="77" hidden="1" s="37">
      <c r="A77" s="551" t="n"/>
      <c r="B77" s="150" t="inlineStr">
        <is>
          <t>T</t>
        </is>
      </c>
      <c r="C77" s="550">
        <f>C76+1</f>
        <v/>
      </c>
      <c r="G77" s="216" t="n"/>
      <c r="H77" s="57" t="n"/>
      <c r="O77" s="216" t="n"/>
      <c r="X77" s="20" t="n"/>
      <c r="AF77" s="450" t="n"/>
      <c r="AN77" s="45" t="n"/>
      <c r="AP77" s="45" t="n"/>
      <c r="AQ77" s="12" t="n"/>
      <c r="AR77" s="216" t="n">
        <v>40</v>
      </c>
      <c r="AS77" s="216" t="n"/>
      <c r="AT77" s="216" t="n"/>
      <c r="AU77" s="216">
        <f>N77+O77 + 0</f>
        <v/>
      </c>
      <c r="AW77" s="2">
        <f>SUM(AH77:AI77,AJ77/2,AK77:AL77)</f>
        <v/>
      </c>
      <c r="AX77" s="2">
        <f>AM77*0.5+SUM(AN77:AP77)</f>
        <v/>
      </c>
      <c r="AY77" s="39">
        <f>SUM(-AR77+AS77*0.01+AT77*0.5+AU77)</f>
        <v/>
      </c>
      <c r="AZ77" s="39">
        <f>'0分'!AF74</f>
        <v/>
      </c>
      <c r="BA77" s="39">
        <f>SUM(AY77,AX77,AW77)</f>
        <v/>
      </c>
      <c r="BB77" s="250" t="n"/>
      <c r="BC77" s="79">
        <f t="array" ref="BC77">SUMPRODUCT(--(NOT(ISBLANK('0₦'!D77:M77))), '0₦'!D$2:M$2) +  SUMPRODUCT(--(NOT(ISBLANK('0₦'!Q77:T77))), '0₦'!Q$2:T$2)</f>
        <v/>
      </c>
      <c r="BD77" s="250">
        <f t="array" ref="BD77">SUMPRODUCT(--(NOT(ISBLANK('0₦'!N77:P77))),'0₦'!N$2:P$2)+'0₦'!AY77</f>
        <v/>
      </c>
      <c r="BE77" s="79">
        <f t="array" ref="BE77">SUMPRODUCT(--(NOT(ISBLANK('0₦'!AA77:AC77))),'0₦'!AA$2:AC$2) + BF77</f>
        <v/>
      </c>
      <c r="BF77" s="79" t="n"/>
      <c r="BG77" s="79">
        <f t="array" ref="BG77">SUMPRODUCT(--(NOT(ISBLANK('0₦'!U77:Z77))), '0₦'!U$2:Z$2)</f>
        <v/>
      </c>
      <c r="BH77" s="79" t="n"/>
      <c r="BI77" s="79">
        <f>SUM(BG77:BH77)</f>
        <v/>
      </c>
      <c r="BJ77" s="79" t="n"/>
      <c r="BK77" s="79" t="n"/>
      <c r="BL77" s="79" t="n"/>
      <c r="BM77" s="79" t="n"/>
      <c r="BN77" s="79" t="n"/>
      <c r="BO77" s="79" t="n"/>
      <c r="BP77" s="79" t="n"/>
      <c r="BQ77" s="79" t="n"/>
      <c r="BR77" s="79" t="n"/>
      <c r="BS77" s="79" t="n"/>
      <c r="BT77" s="79" t="n"/>
      <c r="BU77" s="79" t="n"/>
      <c r="BV77" s="79" t="n"/>
      <c r="BW77" s="79" t="n"/>
      <c r="BX77" s="79" t="n"/>
      <c r="BY77" s="79" t="n"/>
      <c r="BZ77" s="79" t="n"/>
      <c r="CA77" s="79" t="n"/>
    </row>
    <row r="78" hidden="1" s="37">
      <c r="A78" s="551" t="n"/>
      <c r="B78" s="150" t="inlineStr">
        <is>
          <t>W</t>
        </is>
      </c>
      <c r="C78" s="550">
        <f>C77+1</f>
        <v/>
      </c>
      <c r="G78" s="216" t="n"/>
      <c r="H78" s="57" t="n"/>
      <c r="O78" s="216" t="n"/>
      <c r="X78" s="20" t="n"/>
      <c r="AF78" s="450" t="n"/>
      <c r="AN78" s="45" t="n"/>
      <c r="AP78" s="45" t="n"/>
      <c r="AQ78" s="12" t="n"/>
      <c r="AR78" s="216" t="n">
        <v>40</v>
      </c>
      <c r="AS78" s="216" t="n"/>
      <c r="AT78" s="216" t="n"/>
      <c r="AU78" s="216">
        <f>N78+O78 + 0</f>
        <v/>
      </c>
      <c r="AW78" s="2">
        <f>SUM(AH78:AI78,AJ78/2,AK78:AL78)</f>
        <v/>
      </c>
      <c r="AX78" s="2">
        <f>AM78*0.5+SUM(AN78:AP78)</f>
        <v/>
      </c>
      <c r="AY78" s="39">
        <f>SUM(-AR78+AS78*0.01+AT78*0.5+AU78)</f>
        <v/>
      </c>
      <c r="AZ78" s="39">
        <f>'0分'!AF75</f>
        <v/>
      </c>
      <c r="BA78" s="39">
        <f>SUM(AY78,AX78,AW78)</f>
        <v/>
      </c>
      <c r="BB78" s="250" t="n"/>
      <c r="BC78" s="79">
        <f t="array" ref="BC78">SUMPRODUCT(--(NOT(ISBLANK('0₦'!D78:M78))), '0₦'!D$2:M$2) +  SUMPRODUCT(--(NOT(ISBLANK('0₦'!Q78:T78))), '0₦'!Q$2:T$2)</f>
        <v/>
      </c>
      <c r="BD78" s="250">
        <f t="array" ref="BD78">SUMPRODUCT(--(NOT(ISBLANK('0₦'!N78:P78))),'0₦'!N$2:P$2)+'0₦'!AY78</f>
        <v/>
      </c>
      <c r="BE78" s="79">
        <f t="array" ref="BE78">SUMPRODUCT(--(NOT(ISBLANK('0₦'!AA78:AC78))),'0₦'!AA$2:AC$2) + BF78</f>
        <v/>
      </c>
      <c r="BF78" s="79" t="n"/>
      <c r="BG78" s="79">
        <f t="array" ref="BG78">SUMPRODUCT(--(NOT(ISBLANK('0₦'!U78:Z78))), '0₦'!U$2:Z$2)</f>
        <v/>
      </c>
      <c r="BH78" s="79" t="n"/>
      <c r="BI78" s="79">
        <f>SUM(BG78:BH78)</f>
        <v/>
      </c>
      <c r="BJ78" s="79" t="n"/>
      <c r="BK78" s="79" t="n"/>
      <c r="BL78" s="79" t="n"/>
      <c r="BM78" s="79" t="n"/>
      <c r="BN78" s="79" t="n"/>
      <c r="BO78" s="79" t="n"/>
      <c r="BP78" s="79" t="n"/>
      <c r="BQ78" s="79" t="n"/>
      <c r="BR78" s="79" t="n"/>
      <c r="BS78" s="79" t="n"/>
      <c r="BT78" s="79" t="n"/>
      <c r="BU78" s="79" t="n"/>
      <c r="BV78" s="79" t="n"/>
      <c r="BW78" s="79" t="n"/>
      <c r="BX78" s="79" t="n"/>
      <c r="BY78" s="79" t="n"/>
      <c r="BZ78" s="79" t="n"/>
      <c r="CA78" s="79" t="n"/>
    </row>
    <row r="79" hidden="1" s="37">
      <c r="A79" s="551" t="n"/>
      <c r="B79" s="150" t="inlineStr">
        <is>
          <t>Th</t>
        </is>
      </c>
      <c r="C79" s="550">
        <f>C78+1</f>
        <v/>
      </c>
      <c r="G79" s="216" t="n"/>
      <c r="H79" s="57" t="n"/>
      <c r="O79" s="216" t="n"/>
      <c r="X79" s="20" t="n"/>
      <c r="AF79" s="450" t="n"/>
      <c r="AN79" s="45" t="n"/>
      <c r="AP79" s="45" t="n"/>
      <c r="AQ79" s="12" t="n"/>
      <c r="AR79" s="216" t="n">
        <v>40</v>
      </c>
      <c r="AS79" s="216" t="n"/>
      <c r="AT79" s="216" t="n"/>
      <c r="AU79" s="216">
        <f>N79+O79 + 0</f>
        <v/>
      </c>
      <c r="AW79" s="2">
        <f>SUM(AH79:AI79,AJ79/2,AK79:AL79)</f>
        <v/>
      </c>
      <c r="AX79" s="2">
        <f>AM79*0.5+SUM(AN79:AP79)</f>
        <v/>
      </c>
      <c r="AY79" s="39">
        <f>SUM(-AR79+AS79*0.01+AT79*0.5+AU79)</f>
        <v/>
      </c>
      <c r="AZ79" s="39">
        <f>'0分'!AF76</f>
        <v/>
      </c>
      <c r="BA79" s="39">
        <f>SUM(AY79,AX79,AW79)</f>
        <v/>
      </c>
      <c r="BB79" s="250" t="n"/>
      <c r="BC79" s="79">
        <f t="array" ref="BC79">SUMPRODUCT(--(NOT(ISBLANK('0₦'!D79:M79))), '0₦'!D$2:M$2) +  SUMPRODUCT(--(NOT(ISBLANK('0₦'!Q79:T79))), '0₦'!Q$2:T$2)</f>
        <v/>
      </c>
      <c r="BD79" s="250">
        <f t="array" ref="BD79">SUMPRODUCT(--(NOT(ISBLANK('0₦'!N79:P79))),'0₦'!N$2:P$2)+'0₦'!AY79</f>
        <v/>
      </c>
      <c r="BE79" s="79">
        <f t="array" ref="BE79">SUMPRODUCT(--(NOT(ISBLANK('0₦'!AA79:AC79))),'0₦'!AA$2:AC$2) + BF79</f>
        <v/>
      </c>
      <c r="BF79" s="79" t="n"/>
      <c r="BG79" s="79">
        <f t="array" ref="BG79">SUMPRODUCT(--(NOT(ISBLANK('0₦'!U79:Z79))), '0₦'!U$2:Z$2)</f>
        <v/>
      </c>
      <c r="BH79" s="79" t="n"/>
      <c r="BI79" s="79">
        <f>SUM(BG79:BH79)</f>
        <v/>
      </c>
      <c r="BJ79" s="79" t="n"/>
      <c r="BK79" s="79" t="n"/>
      <c r="BL79" s="79" t="n"/>
      <c r="BM79" s="79" t="n"/>
      <c r="BN79" s="79" t="n"/>
      <c r="BO79" s="79" t="n"/>
      <c r="BP79" s="79" t="n"/>
      <c r="BQ79" s="79" t="n"/>
      <c r="BR79" s="79" t="n"/>
      <c r="BS79" s="79" t="n"/>
      <c r="BT79" s="79" t="n"/>
      <c r="BU79" s="79" t="n"/>
      <c r="BV79" s="79" t="n"/>
      <c r="BW79" s="79" t="n"/>
      <c r="BX79" s="79" t="n"/>
      <c r="BY79" s="79" t="n"/>
      <c r="BZ79" s="79" t="n"/>
      <c r="CA79" s="79" t="n"/>
    </row>
    <row r="80" hidden="1" ht="17.1" customHeight="1" s="37">
      <c r="A80" s="551" t="n"/>
      <c r="B80" s="150" t="inlineStr">
        <is>
          <t>F</t>
        </is>
      </c>
      <c r="C80" s="550">
        <f>C79+1</f>
        <v/>
      </c>
      <c r="G80" s="216" t="n"/>
      <c r="H80" s="57" t="n"/>
      <c r="L80" s="38" t="n"/>
      <c r="O80" s="214" t="n"/>
      <c r="X80" s="20" t="n"/>
      <c r="AF80" s="450" t="n"/>
      <c r="AN80" s="45" t="n"/>
      <c r="AP80" s="45" t="n"/>
      <c r="AQ80" s="12" t="n"/>
      <c r="AR80" s="216" t="n">
        <v>40</v>
      </c>
      <c r="AS80" s="216" t="n"/>
      <c r="AT80" s="216" t="n"/>
      <c r="AU80" s="216">
        <f>N80+O80 + 0</f>
        <v/>
      </c>
      <c r="AW80" s="2">
        <f>SUM(AH80:AI80,AJ80/2,AK80:AL80)</f>
        <v/>
      </c>
      <c r="AX80" s="2">
        <f>AM80*0.5+SUM(AN80:AP80)</f>
        <v/>
      </c>
      <c r="AY80" s="39">
        <f>SUM(-AR80+AS80*0.01+AT80*0.5+AU80)</f>
        <v/>
      </c>
      <c r="AZ80" s="39">
        <f>'0分'!AF77</f>
        <v/>
      </c>
      <c r="BA80" s="39">
        <f>SUM(AY80,AX80,AW80)</f>
        <v/>
      </c>
      <c r="BB80" s="250" t="n"/>
      <c r="BC80" s="79">
        <f t="array" ref="BC80">SUMPRODUCT(--(NOT(ISBLANK('0₦'!D80:M80))), '0₦'!D$2:M$2) +  SUMPRODUCT(--(NOT(ISBLANK('0₦'!Q80:T80))), '0₦'!Q$2:T$2)</f>
        <v/>
      </c>
      <c r="BD80" s="250">
        <f t="array" ref="BD80">SUMPRODUCT(--(NOT(ISBLANK('0₦'!N80:P80))),'0₦'!N$2:P$2)+'0₦'!AY80</f>
        <v/>
      </c>
      <c r="BE80" s="79">
        <f t="array" ref="BE80">SUMPRODUCT(--(NOT(ISBLANK('0₦'!AA80:AC80))),'0₦'!AA$2:AC$2) + BF80</f>
        <v/>
      </c>
      <c r="BF80" s="79" t="n"/>
      <c r="BG80" s="79">
        <f t="array" ref="BG80">SUMPRODUCT(--(NOT(ISBLANK('0₦'!U80:Z80))), '0₦'!U$2:Z$2)</f>
        <v/>
      </c>
      <c r="BH80" s="79" t="n"/>
      <c r="BI80" s="79">
        <f>SUM(BG80:BH80)</f>
        <v/>
      </c>
      <c r="BJ80" s="79" t="n"/>
      <c r="BK80" s="79" t="n"/>
      <c r="BL80" s="79" t="n"/>
      <c r="BM80" s="79" t="n"/>
      <c r="BN80" s="79" t="n"/>
      <c r="BO80" s="79" t="n"/>
      <c r="BP80" s="79" t="n"/>
      <c r="BQ80" s="79" t="n"/>
      <c r="BR80" s="79" t="n"/>
      <c r="BS80" s="79" t="n"/>
      <c r="BT80" s="79" t="n"/>
      <c r="BU80" s="79" t="n"/>
      <c r="BV80" s="79" t="n"/>
      <c r="BW80" s="79" t="n"/>
      <c r="BX80" s="79" t="n"/>
      <c r="BY80" s="79" t="n"/>
      <c r="BZ80" s="79" t="n"/>
      <c r="CA80" s="79" t="n"/>
    </row>
    <row r="81" hidden="1" ht="15" customHeight="1" s="37">
      <c r="A81" s="552" t="n"/>
      <c r="B81" s="150" t="inlineStr">
        <is>
          <t>S</t>
        </is>
      </c>
      <c r="C81" s="550">
        <f>C80+1</f>
        <v/>
      </c>
      <c r="G81" s="216" t="n"/>
      <c r="H81" s="57" t="n"/>
      <c r="O81" s="214" t="n"/>
      <c r="X81" s="20" t="n"/>
      <c r="AF81" s="450" t="n"/>
      <c r="AN81" s="45" t="n"/>
      <c r="AP81" s="45" t="n"/>
      <c r="AQ81" s="12" t="n"/>
      <c r="AR81" s="216" t="n">
        <v>40</v>
      </c>
      <c r="AS81" s="216" t="n"/>
      <c r="AT81" s="216" t="n"/>
      <c r="AU81" s="216">
        <f>N81+O81 + 0</f>
        <v/>
      </c>
      <c r="AW81" s="2">
        <f>SUM(AH81:AI81,AJ81/2,AK81:AL81)</f>
        <v/>
      </c>
      <c r="AX81" s="2">
        <f>AM81*0.5+SUM(AN81:AP81)</f>
        <v/>
      </c>
      <c r="AY81" s="39">
        <f>SUM(-AR81+AS81*0.01+AT81*0.5+AU81)</f>
        <v/>
      </c>
      <c r="AZ81" s="39">
        <f>'0分'!AF78</f>
        <v/>
      </c>
      <c r="BA81" s="39">
        <f>SUM(AY81,AX81,AW81)</f>
        <v/>
      </c>
      <c r="BB81" s="250" t="n"/>
      <c r="BC81" s="79">
        <f t="array" ref="BC81">SUMPRODUCT(--(NOT(ISBLANK('0₦'!D81:M81))), '0₦'!D$2:M$2) +  SUMPRODUCT(--(NOT(ISBLANK('0₦'!Q81:T81))), '0₦'!Q$2:T$2)</f>
        <v/>
      </c>
      <c r="BD81" s="250">
        <f t="array" ref="BD81">SUMPRODUCT(--(NOT(ISBLANK('0₦'!N81:P81))),'0₦'!N$2:P$2)+'0₦'!AY81</f>
        <v/>
      </c>
      <c r="BE81" s="79">
        <f t="array" ref="BE81">SUMPRODUCT(--(NOT(ISBLANK('0₦'!AA81:AC81))),'0₦'!AA$2:AC$2) + BF81</f>
        <v/>
      </c>
      <c r="BF81" s="79" t="n"/>
      <c r="BG81" s="79">
        <f t="array" ref="BG81">SUMPRODUCT(--(NOT(ISBLANK('0₦'!U81:Z81))), '0₦'!U$2:Z$2)</f>
        <v/>
      </c>
      <c r="BH81" s="79" t="n"/>
      <c r="BI81" s="79">
        <f>SUM(BG81:BH81)</f>
        <v/>
      </c>
      <c r="BJ81" s="79" t="n"/>
      <c r="BK81" s="79" t="n"/>
      <c r="BL81" s="79" t="n"/>
      <c r="BM81" s="79" t="n"/>
      <c r="BN81" s="79" t="n"/>
      <c r="BO81" s="79" t="n"/>
      <c r="BP81" s="79" t="n"/>
      <c r="BQ81" s="79" t="n"/>
      <c r="BR81" s="79" t="n"/>
      <c r="BS81" s="79" t="n"/>
      <c r="BT81" s="79" t="n"/>
      <c r="BU81" s="79" t="n"/>
      <c r="BV81" s="79" t="n"/>
      <c r="BW81" s="79" t="n"/>
      <c r="BX81" s="79" t="n"/>
      <c r="BY81" s="79" t="n"/>
      <c r="BZ81" s="79" t="n"/>
      <c r="CA81" s="79" t="n"/>
    </row>
    <row r="82" hidden="1" ht="17.1" customHeight="1" s="37">
      <c r="A82" s="462">
        <f>A75+0.1</f>
        <v/>
      </c>
      <c r="B82" s="150" t="inlineStr">
        <is>
          <t>S</t>
        </is>
      </c>
      <c r="C82" s="550">
        <f>C81+1</f>
        <v/>
      </c>
      <c r="G82" s="216" t="n"/>
      <c r="H82" s="57" t="n"/>
      <c r="O82" s="214" t="n"/>
      <c r="X82" s="20" t="n"/>
      <c r="AF82" s="450" t="n"/>
      <c r="AN82" s="45" t="n"/>
      <c r="AP82" s="45" t="n"/>
      <c r="AQ82" s="12" t="n"/>
      <c r="AR82" s="216" t="n">
        <v>40</v>
      </c>
      <c r="AS82" s="216" t="n"/>
      <c r="AT82" s="216" t="n"/>
      <c r="AU82" s="216">
        <f>N82+O82 + 0</f>
        <v/>
      </c>
      <c r="AW82" s="2">
        <f>SUM(AH82:AI82,AJ82/2,AK82:AL82)</f>
        <v/>
      </c>
      <c r="AX82" s="2">
        <f>AM82*0.5+SUM(AN82:AP82)</f>
        <v/>
      </c>
      <c r="AY82" s="39">
        <f>SUM(-AR82+AS82*0.01+AT82*0.5+AU82)</f>
        <v/>
      </c>
      <c r="AZ82" s="39">
        <f>'0分'!AF79</f>
        <v/>
      </c>
      <c r="BA82" s="39">
        <f>SUM(AY82,AX82,AW82)</f>
        <v/>
      </c>
      <c r="BB82" s="250" t="n"/>
      <c r="BC82" s="79">
        <f t="array" ref="BC82">SUMPRODUCT(--(NOT(ISBLANK('0₦'!D82:M82))), '0₦'!D$2:M$2) +  SUMPRODUCT(--(NOT(ISBLANK('0₦'!Q82:T82))), '0₦'!Q$2:T$2)</f>
        <v/>
      </c>
      <c r="BD82" s="250">
        <f t="array" ref="BD82">SUMPRODUCT(--(NOT(ISBLANK('0₦'!N82:P82))),'0₦'!N$2:P$2)+'0₦'!AY82</f>
        <v/>
      </c>
      <c r="BE82" s="79">
        <f t="array" ref="BE82">SUMPRODUCT(--(NOT(ISBLANK('0₦'!AA82:AC82))),'0₦'!AA$2:AC$2) + BF82</f>
        <v/>
      </c>
      <c r="BF82" s="79" t="n"/>
      <c r="BG82" s="79">
        <f t="array" ref="BG82">SUMPRODUCT(--(NOT(ISBLANK('0₦'!U82:Z82))), '0₦'!U$2:Z$2)</f>
        <v/>
      </c>
      <c r="BH82" s="79" t="n"/>
      <c r="BI82" s="79">
        <f>SUM(BG82:BH82)</f>
        <v/>
      </c>
      <c r="BJ82" s="79" t="n"/>
      <c r="BK82" s="79" t="n"/>
      <c r="BL82" s="79" t="n"/>
      <c r="BM82" s="79" t="n"/>
      <c r="BN82" s="79" t="n"/>
      <c r="BO82" s="79" t="n"/>
      <c r="BP82" s="79" t="n"/>
      <c r="BQ82" s="79" t="n"/>
      <c r="BR82" s="79" t="n"/>
      <c r="BS82" s="79" t="n"/>
      <c r="BT82" s="79" t="n"/>
      <c r="BU82" s="79" t="n"/>
      <c r="BV82" s="79" t="n"/>
      <c r="BW82" s="79" t="n"/>
      <c r="BX82" s="79" t="n"/>
      <c r="BY82" s="79" t="n"/>
      <c r="BZ82" s="79" t="n"/>
      <c r="CA82" s="79" t="n"/>
    </row>
    <row r="83" hidden="1" ht="17.1" customHeight="1" s="37">
      <c r="A83" s="551" t="n"/>
      <c r="B83" s="150" t="inlineStr">
        <is>
          <t>M</t>
        </is>
      </c>
      <c r="C83" s="550">
        <f>C82+1</f>
        <v/>
      </c>
      <c r="G83" s="216" t="n"/>
      <c r="H83" s="57" t="n"/>
      <c r="O83" s="214" t="n"/>
      <c r="X83" s="20" t="n"/>
      <c r="AF83" s="450" t="n"/>
      <c r="AN83" s="45" t="n"/>
      <c r="AP83" s="45" t="n"/>
      <c r="AQ83" s="12" t="n"/>
      <c r="AR83" s="216" t="n">
        <v>40</v>
      </c>
      <c r="AS83" s="216" t="n"/>
      <c r="AT83" s="216" t="n"/>
      <c r="AU83" s="216">
        <f>N83+O83 + 0</f>
        <v/>
      </c>
      <c r="AW83" s="2">
        <f>SUM(AH83:AI83,AJ83/2,AK83:AL83)</f>
        <v/>
      </c>
      <c r="AX83" s="2">
        <f>AM83*0.5+SUM(AN83:AP83)</f>
        <v/>
      </c>
      <c r="AY83" s="39">
        <f>SUM(-AR83+AS83*0.01+AT83*0.5+AU83)</f>
        <v/>
      </c>
      <c r="AZ83" s="39">
        <f>'0分'!AF80</f>
        <v/>
      </c>
      <c r="BA83" s="39">
        <f>SUM(AY83,AX83,AW83)</f>
        <v/>
      </c>
      <c r="BB83" s="250" t="n"/>
      <c r="BC83" s="79">
        <f t="array" ref="BC83">SUMPRODUCT(--(NOT(ISBLANK('0₦'!D83:M83))), '0₦'!D$2:M$2) +  SUMPRODUCT(--(NOT(ISBLANK('0₦'!Q83:T83))), '0₦'!Q$2:T$2)</f>
        <v/>
      </c>
      <c r="BD83" s="250">
        <f t="array" ref="BD83">SUMPRODUCT(--(NOT(ISBLANK('0₦'!N83:P83))),'0₦'!N$2:P$2)+'0₦'!AY83</f>
        <v/>
      </c>
      <c r="BE83" s="79">
        <f t="array" ref="BE83">SUMPRODUCT(--(NOT(ISBLANK('0₦'!AA83:AC83))),'0₦'!AA$2:AC$2) + BF83</f>
        <v/>
      </c>
      <c r="BF83" s="79" t="n"/>
      <c r="BG83" s="79">
        <f t="array" ref="BG83">SUMPRODUCT(--(NOT(ISBLANK('0₦'!U83:Z83))), '0₦'!U$2:Z$2)</f>
        <v/>
      </c>
      <c r="BH83" s="79" t="n"/>
      <c r="BI83" s="79">
        <f>SUM(BG83:BH83)</f>
        <v/>
      </c>
      <c r="BJ83" s="79" t="n"/>
      <c r="BK83" s="79" t="n"/>
      <c r="BL83" s="79" t="n"/>
      <c r="BM83" s="79" t="n"/>
      <c r="BN83" s="79" t="n"/>
      <c r="BO83" s="79" t="n"/>
      <c r="BP83" s="79" t="n"/>
      <c r="BQ83" s="79" t="n"/>
      <c r="BR83" s="79" t="n"/>
      <c r="BS83" s="79" t="n"/>
      <c r="BT83" s="79" t="n"/>
      <c r="BU83" s="79" t="n"/>
      <c r="BV83" s="79" t="n"/>
      <c r="BW83" s="79" t="n"/>
      <c r="BX83" s="79" t="n"/>
      <c r="BY83" s="79" t="n"/>
      <c r="BZ83" s="79" t="n"/>
      <c r="CA83" s="79" t="n"/>
    </row>
    <row r="84" hidden="1" ht="17.1" customHeight="1" s="37">
      <c r="A84" s="551" t="n"/>
      <c r="B84" s="150" t="inlineStr">
        <is>
          <t>T</t>
        </is>
      </c>
      <c r="C84" s="550">
        <f>C83+1</f>
        <v/>
      </c>
      <c r="G84" s="216" t="n"/>
      <c r="H84" s="57" t="n"/>
      <c r="O84" s="214" t="n"/>
      <c r="T84" s="38" t="n"/>
      <c r="X84" s="20" t="n"/>
      <c r="AF84" s="450" t="n"/>
      <c r="AN84" s="45" t="n"/>
      <c r="AP84" s="45" t="n"/>
      <c r="AQ84" s="12" t="n"/>
      <c r="AR84" s="216" t="n">
        <v>40</v>
      </c>
      <c r="AS84" s="216" t="n"/>
      <c r="AT84" s="216" t="n"/>
      <c r="AU84" s="216">
        <f>N84+O84 + 0</f>
        <v/>
      </c>
      <c r="AW84" s="2">
        <f>SUM(AH84:AI84,AJ84/2,AK84:AL84)</f>
        <v/>
      </c>
      <c r="AX84" s="2">
        <f>AM84*0.5+SUM(AN84:AP84)</f>
        <v/>
      </c>
      <c r="AY84" s="39">
        <f>SUM(-AR84+AS84*0.01+AT84*0.5+AU84)</f>
        <v/>
      </c>
      <c r="AZ84" s="39">
        <f>'0分'!AF81</f>
        <v/>
      </c>
      <c r="BA84" s="39">
        <f>SUM(AY84,AX84,AW84)</f>
        <v/>
      </c>
      <c r="BB84" s="250" t="n"/>
      <c r="BC84" s="79">
        <f t="array" ref="BC84">SUMPRODUCT(--(NOT(ISBLANK('0₦'!D84:M84))), '0₦'!D$2:M$2) +  SUMPRODUCT(--(NOT(ISBLANK('0₦'!Q84:T84))), '0₦'!Q$2:T$2)</f>
        <v/>
      </c>
      <c r="BD84" s="250">
        <f t="array" ref="BD84">SUMPRODUCT(--(NOT(ISBLANK('0₦'!N84:P84))),'0₦'!N$2:P$2)+'0₦'!AY84</f>
        <v/>
      </c>
      <c r="BE84" s="79">
        <f t="array" ref="BE84">SUMPRODUCT(--(NOT(ISBLANK('0₦'!AA84:AC84))),'0₦'!AA$2:AC$2) + BF84</f>
        <v/>
      </c>
      <c r="BF84" s="79" t="n"/>
      <c r="BG84" s="79">
        <f t="array" ref="BG84">SUMPRODUCT(--(NOT(ISBLANK('0₦'!U84:Z84))), '0₦'!U$2:Z$2)</f>
        <v/>
      </c>
      <c r="BH84" s="79" t="n"/>
      <c r="BI84" s="79">
        <f>SUM(BG84:BH84)</f>
        <v/>
      </c>
      <c r="BJ84" s="79" t="n"/>
      <c r="BK84" s="79" t="n"/>
      <c r="BL84" s="79" t="n"/>
      <c r="BM84" s="79" t="n"/>
      <c r="BN84" s="79" t="n"/>
      <c r="BO84" s="79" t="n"/>
      <c r="BP84" s="79" t="n"/>
      <c r="BQ84" s="79" t="n"/>
      <c r="BR84" s="79" t="n"/>
      <c r="BS84" s="79" t="n"/>
      <c r="BT84" s="79" t="n"/>
      <c r="BU84" s="79" t="n"/>
      <c r="BV84" s="79" t="n"/>
      <c r="BW84" s="79" t="n"/>
      <c r="BX84" s="79" t="n"/>
      <c r="BY84" s="79" t="n"/>
      <c r="BZ84" s="79" t="n"/>
      <c r="CA84" s="79" t="n"/>
    </row>
    <row r="85" hidden="1" ht="17.1" customHeight="1" s="37">
      <c r="A85" s="551" t="n"/>
      <c r="B85" s="150" t="inlineStr">
        <is>
          <t>W</t>
        </is>
      </c>
      <c r="C85" s="550">
        <f>C84+1</f>
        <v/>
      </c>
      <c r="G85" s="216" t="n"/>
      <c r="H85" s="57" t="n"/>
      <c r="O85" s="216" t="n"/>
      <c r="X85" s="20" t="n"/>
      <c r="AF85" s="450" t="n"/>
      <c r="AN85" s="45" t="n"/>
      <c r="AP85" s="45" t="n"/>
      <c r="AQ85" s="12" t="n"/>
      <c r="AR85" s="216" t="n">
        <v>40</v>
      </c>
      <c r="AS85" s="216" t="n"/>
      <c r="AT85" s="216" t="n"/>
      <c r="AU85" s="216">
        <f>N85+O85 + 0</f>
        <v/>
      </c>
      <c r="AW85" s="2">
        <f>SUM(AH85:AI85,AJ85/2,AK85:AL85)</f>
        <v/>
      </c>
      <c r="AX85" s="2">
        <f>AM85*0.5+SUM(AN85:AP85)</f>
        <v/>
      </c>
      <c r="AY85" s="39">
        <f>SUM(-AR85+AS85*0.01+AT85*0.5+AU85)</f>
        <v/>
      </c>
      <c r="AZ85" s="39">
        <f>'0分'!AF82</f>
        <v/>
      </c>
      <c r="BA85" s="39">
        <f>SUM(AY85,AX85,AW85)</f>
        <v/>
      </c>
      <c r="BB85" s="250" t="n"/>
      <c r="BC85" s="79">
        <f t="array" ref="BC85">SUMPRODUCT(--(NOT(ISBLANK('0₦'!D85:M85))), '0₦'!D$2:M$2) +  SUMPRODUCT(--(NOT(ISBLANK('0₦'!Q85:T85))), '0₦'!Q$2:T$2)</f>
        <v/>
      </c>
      <c r="BD85" s="250">
        <f t="array" ref="BD85">SUMPRODUCT(--(NOT(ISBLANK('0₦'!N85:P85))),'0₦'!N$2:P$2)+'0₦'!AY85</f>
        <v/>
      </c>
      <c r="BE85" s="79">
        <f t="array" ref="BE85">SUMPRODUCT(--(NOT(ISBLANK('0₦'!AA85:AC85))),'0₦'!AA$2:AC$2) + BF85</f>
        <v/>
      </c>
      <c r="BF85" s="79" t="n"/>
      <c r="BG85" s="79">
        <f t="array" ref="BG85">SUMPRODUCT(--(NOT(ISBLANK('0₦'!U85:Z85))), '0₦'!U$2:Z$2)</f>
        <v/>
      </c>
      <c r="BH85" s="79" t="n"/>
      <c r="BI85" s="79">
        <f>SUM(BG85:BH85)</f>
        <v/>
      </c>
      <c r="BJ85" s="79" t="n"/>
      <c r="BK85" s="79" t="n"/>
      <c r="BL85" s="79" t="n"/>
      <c r="BM85" s="79" t="n"/>
      <c r="BN85" s="79" t="n"/>
      <c r="BO85" s="79" t="n"/>
      <c r="BP85" s="79" t="n"/>
      <c r="BQ85" s="79" t="n"/>
      <c r="BR85" s="79" t="n"/>
      <c r="BS85" s="79" t="n"/>
      <c r="BT85" s="79" t="n"/>
      <c r="BU85" s="79" t="n"/>
      <c r="BV85" s="79" t="n"/>
      <c r="BW85" s="79" t="n"/>
      <c r="BX85" s="79" t="n"/>
      <c r="BY85" s="79" t="n"/>
      <c r="BZ85" s="79" t="n"/>
      <c r="CA85" s="79" t="n"/>
    </row>
    <row r="86" hidden="1" ht="20.1" customHeight="1" s="37">
      <c r="A86" s="551" t="n"/>
      <c r="B86" s="150" t="inlineStr">
        <is>
          <t>Th</t>
        </is>
      </c>
      <c r="C86" s="550">
        <f>C85+1</f>
        <v/>
      </c>
      <c r="G86" s="216" t="n"/>
      <c r="H86" s="57" t="n"/>
      <c r="O86" s="216" t="n"/>
      <c r="X86" s="20" t="n"/>
      <c r="AF86" s="450" t="n"/>
      <c r="AN86" s="45" t="n"/>
      <c r="AP86" s="45" t="n"/>
      <c r="AQ86" s="12" t="n"/>
      <c r="AR86" s="216" t="n">
        <v>40</v>
      </c>
      <c r="AS86" s="216" t="n"/>
      <c r="AT86" s="216" t="n"/>
      <c r="AU86" s="216">
        <f>N86+O86 + 0</f>
        <v/>
      </c>
      <c r="AW86" s="2">
        <f>SUM(AH86:AI86,AJ86/2,AK86:AL86)</f>
        <v/>
      </c>
      <c r="AX86" s="2">
        <f>AM86*0.5+SUM(AN86:AP86)</f>
        <v/>
      </c>
      <c r="AY86" s="39">
        <f>SUM(-AR86+AS86*0.01+AT86*0.5+AU86)</f>
        <v/>
      </c>
      <c r="AZ86" s="39">
        <f>'0分'!AF83</f>
        <v/>
      </c>
      <c r="BA86" s="39">
        <f>SUM(AY86,AX86,AW86)</f>
        <v/>
      </c>
      <c r="BB86" s="250" t="n"/>
      <c r="BC86" s="79">
        <f t="array" ref="BC86">SUMPRODUCT(--(NOT(ISBLANK('0₦'!D86:M86))), '0₦'!D$2:M$2) +  SUMPRODUCT(--(NOT(ISBLANK('0₦'!Q86:T86))), '0₦'!Q$2:T$2)</f>
        <v/>
      </c>
      <c r="BD86" s="250">
        <f t="array" ref="BD86">SUMPRODUCT(--(NOT(ISBLANK('0₦'!N86:P86))),'0₦'!N$2:P$2)+'0₦'!AY86</f>
        <v/>
      </c>
      <c r="BE86" s="79">
        <f t="array" ref="BE86">SUMPRODUCT(--(NOT(ISBLANK('0₦'!AA86:AC86))),'0₦'!AA$2:AC$2) + BF86</f>
        <v/>
      </c>
      <c r="BF86" s="79" t="n"/>
      <c r="BG86" s="79">
        <f t="array" ref="BG86">SUMPRODUCT(--(NOT(ISBLANK('0₦'!U86:Z86))), '0₦'!U$2:Z$2)</f>
        <v/>
      </c>
      <c r="BH86" s="79" t="n"/>
      <c r="BI86" s="79">
        <f>SUM(BG86:BH86)</f>
        <v/>
      </c>
      <c r="BJ86" s="79" t="n"/>
      <c r="BK86" s="79" t="n"/>
      <c r="BL86" s="79" t="n"/>
      <c r="BM86" s="79" t="n"/>
      <c r="BN86" s="79" t="n"/>
      <c r="BO86" s="79" t="n"/>
      <c r="BP86" s="79" t="n"/>
      <c r="BQ86" s="79" t="n"/>
      <c r="BR86" s="79" t="n"/>
      <c r="BS86" s="79" t="n"/>
      <c r="BT86" s="79" t="n"/>
      <c r="BU86" s="79" t="n"/>
      <c r="BV86" s="79" t="n"/>
      <c r="BW86" s="79" t="n"/>
      <c r="BX86" s="79" t="n"/>
      <c r="BY86" s="79" t="n"/>
      <c r="BZ86" s="79" t="n"/>
      <c r="CA86" s="79" t="n"/>
    </row>
    <row r="87" hidden="1" ht="17.1" customHeight="1" s="37">
      <c r="A87" s="551" t="n"/>
      <c r="B87" s="150" t="inlineStr">
        <is>
          <t>F</t>
        </is>
      </c>
      <c r="C87" s="550">
        <f>C86+1</f>
        <v/>
      </c>
      <c r="G87" s="216" t="n"/>
      <c r="H87" s="57" t="n"/>
      <c r="O87" s="216" t="n"/>
      <c r="X87" s="20" t="n"/>
      <c r="AF87" s="450" t="n"/>
      <c r="AN87" s="45" t="n"/>
      <c r="AP87" s="45" t="n"/>
      <c r="AQ87" s="12" t="n"/>
      <c r="AR87" s="216" t="n">
        <v>40</v>
      </c>
      <c r="AS87" s="216" t="n"/>
      <c r="AT87" s="216" t="n"/>
      <c r="AU87" s="216">
        <f>N87+O87 + 0</f>
        <v/>
      </c>
      <c r="AW87" s="2">
        <f>SUM(AH87:AI87,AJ87/2,AK87:AL87)</f>
        <v/>
      </c>
      <c r="AX87" s="2">
        <f>AM87*0.5+SUM(AN87:AP87)</f>
        <v/>
      </c>
      <c r="AY87" s="39">
        <f>SUM(-AR87+AS87*0.01+AT87*0.5+AU87)</f>
        <v/>
      </c>
      <c r="AZ87" s="39">
        <f>'0分'!AF84</f>
        <v/>
      </c>
      <c r="BA87" s="39">
        <f>SUM(AY87,AX87,AW87)</f>
        <v/>
      </c>
      <c r="BB87" s="250" t="n"/>
      <c r="BC87" s="79">
        <f t="array" ref="BC87">SUMPRODUCT(--(NOT(ISBLANK('0₦'!D87:M87))), '0₦'!D$2:M$2) +  SUMPRODUCT(--(NOT(ISBLANK('0₦'!Q87:T87))), '0₦'!Q$2:T$2)</f>
        <v/>
      </c>
      <c r="BD87" s="250">
        <f t="array" ref="BD87">SUMPRODUCT(--(NOT(ISBLANK('0₦'!N87:P87))),'0₦'!N$2:P$2)+'0₦'!AY87</f>
        <v/>
      </c>
      <c r="BE87" s="79">
        <f t="array" ref="BE87">SUMPRODUCT(--(NOT(ISBLANK('0₦'!AA87:AC87))),'0₦'!AA$2:AC$2) + BF87</f>
        <v/>
      </c>
      <c r="BF87" s="79" t="n"/>
      <c r="BG87" s="79">
        <f t="array" ref="BG87">SUMPRODUCT(--(NOT(ISBLANK('0₦'!U87:Z87))), '0₦'!U$2:Z$2)</f>
        <v/>
      </c>
      <c r="BH87" s="79" t="n"/>
      <c r="BI87" s="79">
        <f>SUM(BG87:BH87)</f>
        <v/>
      </c>
      <c r="BJ87" s="79" t="n"/>
      <c r="BK87" s="79" t="n"/>
      <c r="BL87" s="79" t="n"/>
      <c r="BM87" s="79" t="n"/>
      <c r="BN87" s="79" t="n"/>
      <c r="BO87" s="79" t="n"/>
      <c r="BP87" s="79" t="n"/>
      <c r="BQ87" s="79" t="n"/>
      <c r="BR87" s="79" t="n"/>
      <c r="BS87" s="79" t="n"/>
      <c r="BT87" s="79" t="n"/>
      <c r="BU87" s="79" t="n"/>
      <c r="BV87" s="79" t="n"/>
      <c r="BW87" s="79" t="n"/>
      <c r="BX87" s="79" t="n"/>
      <c r="BY87" s="79" t="n"/>
      <c r="BZ87" s="79" t="n"/>
      <c r="CA87" s="79" t="n"/>
    </row>
    <row r="88" hidden="1" s="37">
      <c r="A88" s="552" t="n"/>
      <c r="B88" s="150" t="inlineStr">
        <is>
          <t>S</t>
        </is>
      </c>
      <c r="C88" s="550">
        <f>C87+1</f>
        <v/>
      </c>
      <c r="G88" s="216" t="n"/>
      <c r="H88" s="57" t="n"/>
      <c r="O88" s="216" t="n"/>
      <c r="X88" s="20" t="n"/>
      <c r="AF88" s="450" t="n"/>
      <c r="AN88" s="45" t="n"/>
      <c r="AP88" s="45" t="n"/>
      <c r="AQ88" s="12" t="n"/>
      <c r="AR88" s="216" t="n">
        <v>40</v>
      </c>
      <c r="AS88" s="216" t="n"/>
      <c r="AT88" s="216" t="n"/>
      <c r="AU88" s="216">
        <f>N88+O88 + 0</f>
        <v/>
      </c>
      <c r="AW88" s="2">
        <f>SUM(AH88:AI88,AJ88/2,AK88:AL88)</f>
        <v/>
      </c>
      <c r="AX88" s="2">
        <f>AM88*0.5+SUM(AN88:AP88)</f>
        <v/>
      </c>
      <c r="AY88" s="39">
        <f>SUM(-AR88+AS88*0.01+AT88*0.5+AU88)</f>
        <v/>
      </c>
      <c r="AZ88" s="39">
        <f>'0分'!AF85</f>
        <v/>
      </c>
      <c r="BA88" s="39">
        <f>SUM(AY88,AX88,AW88)</f>
        <v/>
      </c>
      <c r="BB88" s="250" t="n"/>
      <c r="BC88" s="79">
        <f t="array" ref="BC88">SUMPRODUCT(--(NOT(ISBLANK('0₦'!D88:M88))), '0₦'!D$2:M$2) +  SUMPRODUCT(--(NOT(ISBLANK('0₦'!Q88:T88))), '0₦'!Q$2:T$2)</f>
        <v/>
      </c>
      <c r="BD88" s="250">
        <f t="array" ref="BD88">SUMPRODUCT(--(NOT(ISBLANK('0₦'!N88:P88))),'0₦'!N$2:P$2)+'0₦'!AY88</f>
        <v/>
      </c>
      <c r="BE88" s="79">
        <f t="array" ref="BE88">SUMPRODUCT(--(NOT(ISBLANK('0₦'!AA88:AC88))),'0₦'!AA$2:AC$2) + BF88</f>
        <v/>
      </c>
      <c r="BF88" s="79" t="n"/>
      <c r="BG88" s="79">
        <f t="array" ref="BG88">SUMPRODUCT(--(NOT(ISBLANK('0₦'!U88:Z88))), '0₦'!U$2:Z$2)</f>
        <v/>
      </c>
      <c r="BH88" s="79" t="n"/>
      <c r="BI88" s="79">
        <f>SUM(BG88:BH88)</f>
        <v/>
      </c>
      <c r="BJ88" s="79" t="n"/>
      <c r="BK88" s="79" t="n"/>
      <c r="BL88" s="79" t="n"/>
      <c r="BM88" s="79" t="n"/>
      <c r="BN88" s="79" t="n"/>
      <c r="BO88" s="79" t="n"/>
      <c r="BP88" s="79" t="n"/>
      <c r="BQ88" s="79" t="n"/>
      <c r="BR88" s="79" t="n"/>
      <c r="BS88" s="79" t="n"/>
      <c r="BT88" s="79" t="n"/>
      <c r="BU88" s="79" t="n"/>
      <c r="BV88" s="79" t="n"/>
      <c r="BW88" s="79" t="n"/>
      <c r="BX88" s="79" t="n"/>
      <c r="BY88" s="79" t="n"/>
      <c r="BZ88" s="79" t="n"/>
      <c r="CA88" s="79" t="n"/>
    </row>
    <row r="89" hidden="1" s="37">
      <c r="A89" s="462">
        <f>A82+0.1</f>
        <v/>
      </c>
      <c r="B89" s="150" t="inlineStr">
        <is>
          <t>S</t>
        </is>
      </c>
      <c r="C89" s="550">
        <f>C88+1</f>
        <v/>
      </c>
      <c r="G89" s="216" t="n"/>
      <c r="H89" s="57" t="n"/>
      <c r="M89" s="38" t="n"/>
      <c r="O89" s="216" t="n"/>
      <c r="X89" s="20" t="n"/>
      <c r="AF89" s="450" t="n"/>
      <c r="AN89" s="45" t="n"/>
      <c r="AP89" s="45" t="n"/>
      <c r="AQ89" s="12" t="n"/>
      <c r="AR89" s="216" t="n">
        <v>40</v>
      </c>
      <c r="AS89" s="216" t="n"/>
      <c r="AT89" s="216" t="n"/>
      <c r="AU89" s="216">
        <f>N89+O89 + 0</f>
        <v/>
      </c>
      <c r="AW89" s="2">
        <f>SUM(AH89:AI89,AJ89/2,AK89:AL89)</f>
        <v/>
      </c>
      <c r="AX89" s="2">
        <f>AM89*0.5+SUM(AN89:AP89)</f>
        <v/>
      </c>
      <c r="AY89" s="39">
        <f>SUM(-AR89+AS89*0.01+AT89*0.5+AU89)</f>
        <v/>
      </c>
      <c r="AZ89" s="39">
        <f>'0分'!AF86</f>
        <v/>
      </c>
      <c r="BA89" s="39">
        <f>SUM(AY89,AX89,AW89)</f>
        <v/>
      </c>
      <c r="BB89" s="250" t="n"/>
      <c r="BC89" s="79">
        <f t="array" ref="BC89">SUMPRODUCT(--(NOT(ISBLANK('0₦'!D89:M89))), '0₦'!D$2:M$2) +  SUMPRODUCT(--(NOT(ISBLANK('0₦'!Q89:T89))), '0₦'!Q$2:T$2)</f>
        <v/>
      </c>
      <c r="BD89" s="250">
        <f t="array" ref="BD89">SUMPRODUCT(--(NOT(ISBLANK('0₦'!N89:P89))),'0₦'!N$2:P$2)+'0₦'!AY89</f>
        <v/>
      </c>
      <c r="BE89" s="79">
        <f t="array" ref="BE89">SUMPRODUCT(--(NOT(ISBLANK('0₦'!AA89:AC89))),'0₦'!AA$2:AC$2) + BF89</f>
        <v/>
      </c>
      <c r="BF89" s="79" t="n"/>
      <c r="BG89" s="79">
        <f t="array" ref="BG89">SUMPRODUCT(--(NOT(ISBLANK('0₦'!U89:Z89))), '0₦'!U$2:Z$2)</f>
        <v/>
      </c>
      <c r="BH89" s="79" t="n"/>
      <c r="BI89" s="79">
        <f>SUM(BG89:BH89)</f>
        <v/>
      </c>
      <c r="BJ89" s="79" t="n"/>
      <c r="BK89" s="79" t="n"/>
      <c r="BL89" s="79" t="n"/>
      <c r="BM89" s="79" t="n"/>
      <c r="BN89" s="79" t="n"/>
      <c r="BO89" s="79" t="n"/>
      <c r="BP89" s="79" t="n"/>
      <c r="BQ89" s="79" t="n"/>
      <c r="BR89" s="79" t="n"/>
      <c r="BS89" s="79" t="n"/>
      <c r="BT89" s="79" t="n"/>
      <c r="BU89" s="79" t="n"/>
      <c r="BV89" s="79" t="n"/>
      <c r="BW89" s="79" t="n"/>
      <c r="BX89" s="79" t="n"/>
      <c r="BY89" s="79" t="n"/>
      <c r="BZ89" s="79" t="n"/>
      <c r="CA89" s="79" t="n"/>
    </row>
    <row r="90" hidden="1" ht="17.1" customHeight="1" s="37">
      <c r="A90" s="551" t="n"/>
      <c r="B90" s="150" t="inlineStr">
        <is>
          <t>M</t>
        </is>
      </c>
      <c r="C90" s="550">
        <f>C89+1</f>
        <v/>
      </c>
      <c r="G90" s="216" t="n"/>
      <c r="H90" s="57" t="n"/>
      <c r="N90" s="38" t="n"/>
      <c r="O90" s="216" t="n"/>
      <c r="X90" s="20" t="n"/>
      <c r="AF90" s="450" t="n"/>
      <c r="AN90" s="45" t="n"/>
      <c r="AP90" s="45" t="n"/>
      <c r="AQ90" s="12" t="n"/>
      <c r="AR90" s="216" t="n">
        <v>40</v>
      </c>
      <c r="AS90" s="216" t="n"/>
      <c r="AT90" s="216" t="n"/>
      <c r="AU90" s="216">
        <f>N90+O90 + 0</f>
        <v/>
      </c>
      <c r="AW90" s="2">
        <f>SUM(AH90:AI90,AJ90/2,AK90:AL90)</f>
        <v/>
      </c>
      <c r="AX90" s="2">
        <f>AM90*0.5+SUM(AN90:AP90)</f>
        <v/>
      </c>
      <c r="AY90" s="39">
        <f>SUM(-AR90+AS90*0.01+AT90*0.5+AU90)</f>
        <v/>
      </c>
      <c r="AZ90" s="39">
        <f>'0分'!AF87</f>
        <v/>
      </c>
      <c r="BA90" s="39">
        <f>SUM(AY90,AX90,AW90)</f>
        <v/>
      </c>
      <c r="BB90" s="250" t="n"/>
      <c r="BC90" s="79">
        <f t="array" ref="BC90">SUMPRODUCT(--(NOT(ISBLANK('0₦'!D90:M90))), '0₦'!D$2:M$2) +  SUMPRODUCT(--(NOT(ISBLANK('0₦'!Q90:T90))), '0₦'!Q$2:T$2)</f>
        <v/>
      </c>
      <c r="BD90" s="250">
        <f t="array" ref="BD90">SUMPRODUCT(--(NOT(ISBLANK('0₦'!N90:P90))),'0₦'!N$2:P$2)+'0₦'!AY90</f>
        <v/>
      </c>
      <c r="BE90" s="79">
        <f t="array" ref="BE90">SUMPRODUCT(--(NOT(ISBLANK('0₦'!AA90:AC90))),'0₦'!AA$2:AC$2) + BF90</f>
        <v/>
      </c>
      <c r="BF90" s="79" t="n"/>
      <c r="BG90" s="79">
        <f t="array" ref="BG90">SUMPRODUCT(--(NOT(ISBLANK('0₦'!U90:Z90))), '0₦'!U$2:Z$2)</f>
        <v/>
      </c>
      <c r="BH90" s="79" t="n"/>
      <c r="BI90" s="79">
        <f>SUM(BG90:BH90)</f>
        <v/>
      </c>
      <c r="BJ90" s="79" t="n"/>
      <c r="BK90" s="79" t="n"/>
      <c r="BL90" s="79" t="n"/>
      <c r="BM90" s="79" t="n"/>
      <c r="BN90" s="79" t="n"/>
      <c r="BO90" s="79" t="n"/>
      <c r="BP90" s="79" t="n"/>
      <c r="BQ90" s="79" t="n"/>
      <c r="BR90" s="79" t="n"/>
      <c r="BS90" s="79" t="n"/>
      <c r="BT90" s="79" t="n"/>
      <c r="BU90" s="79" t="n"/>
      <c r="BV90" s="79" t="n"/>
      <c r="BW90" s="79" t="n"/>
      <c r="BX90" s="79" t="n"/>
      <c r="BY90" s="79" t="n"/>
      <c r="BZ90" s="79" t="n"/>
      <c r="CA90" s="79" t="n"/>
    </row>
    <row r="91" hidden="1" ht="17.1" customHeight="1" s="37">
      <c r="A91" s="551" t="n"/>
      <c r="B91" s="150" t="inlineStr">
        <is>
          <t>T</t>
        </is>
      </c>
      <c r="C91" s="550">
        <f>C90+1</f>
        <v/>
      </c>
      <c r="G91" s="216" t="n"/>
      <c r="H91" s="57" t="n"/>
      <c r="N91" s="38" t="n"/>
      <c r="O91" s="216" t="n"/>
      <c r="X91" s="20" t="n"/>
      <c r="AF91" s="450" t="n"/>
      <c r="AN91" s="45" t="n"/>
      <c r="AP91" s="45" t="n"/>
      <c r="AQ91" s="12" t="n"/>
      <c r="AR91" s="216" t="n">
        <v>40</v>
      </c>
      <c r="AS91" s="216" t="n"/>
      <c r="AT91" s="216" t="n"/>
      <c r="AU91" s="216">
        <f>N91+O91 + 0</f>
        <v/>
      </c>
      <c r="AW91" s="2">
        <f>SUM(AH91:AI91,AJ91/2,AK91:AL91)</f>
        <v/>
      </c>
      <c r="AX91" s="2">
        <f>AM91*0.5+SUM(AN91:AP91)</f>
        <v/>
      </c>
      <c r="AY91" s="39">
        <f>SUM(-AR91+AS91*0.01+AT91*0.5+AU91)</f>
        <v/>
      </c>
      <c r="AZ91" s="39">
        <f>'0分'!AF88</f>
        <v/>
      </c>
      <c r="BA91" s="39">
        <f>SUM(AY91,AX91,AW91)</f>
        <v/>
      </c>
      <c r="BB91" s="250" t="n"/>
      <c r="BC91" s="79">
        <f t="array" ref="BC91">SUMPRODUCT(--(NOT(ISBLANK('0₦'!D91:M91))), '0₦'!D$2:M$2) +  SUMPRODUCT(--(NOT(ISBLANK('0₦'!Q91:T91))), '0₦'!Q$2:T$2)</f>
        <v/>
      </c>
      <c r="BD91" s="250">
        <f t="array" ref="BD91">SUMPRODUCT(--(NOT(ISBLANK('0₦'!N91:P91))),'0₦'!N$2:P$2)+'0₦'!AY91</f>
        <v/>
      </c>
      <c r="BE91" s="79">
        <f t="array" ref="BE91">SUMPRODUCT(--(NOT(ISBLANK('0₦'!AA91:AC91))),'0₦'!AA$2:AC$2) + BF91</f>
        <v/>
      </c>
      <c r="BF91" s="79" t="n"/>
      <c r="BG91" s="79">
        <f t="array" ref="BG91">SUMPRODUCT(--(NOT(ISBLANK('0₦'!U91:Z91))), '0₦'!U$2:Z$2)</f>
        <v/>
      </c>
      <c r="BH91" s="79" t="n"/>
      <c r="BI91" s="79">
        <f>SUM(BG91:BH91)</f>
        <v/>
      </c>
      <c r="BJ91" s="79" t="n"/>
      <c r="BK91" s="79" t="n"/>
      <c r="BL91" s="79" t="n"/>
      <c r="BM91" s="79" t="n"/>
      <c r="BN91" s="79" t="n"/>
      <c r="BO91" s="79" t="n"/>
      <c r="BP91" s="79" t="n"/>
      <c r="BQ91" s="79" t="n"/>
      <c r="BR91" s="79" t="n"/>
      <c r="BS91" s="79" t="n"/>
      <c r="BT91" s="79" t="n"/>
      <c r="BU91" s="79" t="n"/>
      <c r="BV91" s="79" t="n"/>
      <c r="BW91" s="79" t="n"/>
      <c r="BX91" s="79" t="n"/>
      <c r="BY91" s="79" t="n"/>
      <c r="BZ91" s="79" t="n"/>
      <c r="CA91" s="79" t="n"/>
    </row>
    <row r="92" hidden="1" s="37">
      <c r="A92" s="551" t="n"/>
      <c r="B92" s="150" t="inlineStr">
        <is>
          <t>W</t>
        </is>
      </c>
      <c r="C92" s="550">
        <f>C91+1</f>
        <v/>
      </c>
      <c r="G92" s="216" t="n"/>
      <c r="H92" s="57" t="n"/>
      <c r="O92" s="216" t="n"/>
      <c r="X92" s="20" t="n"/>
      <c r="AF92" s="450" t="n"/>
      <c r="AN92" s="45" t="n"/>
      <c r="AP92" s="45" t="n"/>
      <c r="AQ92" s="12" t="n"/>
      <c r="AR92" s="216" t="n">
        <v>40</v>
      </c>
      <c r="AS92" s="216" t="n"/>
      <c r="AT92" s="216" t="n"/>
      <c r="AU92" s="216">
        <f>N92+O92 + 0</f>
        <v/>
      </c>
      <c r="AW92" s="2">
        <f>SUM(AH92:AI92,AJ92/2,AK92:AL92)</f>
        <v/>
      </c>
      <c r="AX92" s="2">
        <f>AM92*0.5+SUM(AN92:AP92)</f>
        <v/>
      </c>
      <c r="AY92" s="39">
        <f>SUM(-AR92+AS92*0.01+AT92*0.5+AU92)</f>
        <v/>
      </c>
      <c r="AZ92" s="39">
        <f>'0分'!AF89</f>
        <v/>
      </c>
      <c r="BA92" s="39">
        <f>SUM(AY92,AX92,AW92)</f>
        <v/>
      </c>
      <c r="BB92" s="250" t="n"/>
      <c r="BC92" s="79">
        <f t="array" ref="BC92">SUMPRODUCT(--(NOT(ISBLANK('0₦'!D92:M92))), '0₦'!D$2:M$2) +  SUMPRODUCT(--(NOT(ISBLANK('0₦'!Q92:T92))), '0₦'!Q$2:T$2)</f>
        <v/>
      </c>
      <c r="BD92" s="250">
        <f t="array" ref="BD92">SUMPRODUCT(--(NOT(ISBLANK('0₦'!N92:P92))),'0₦'!N$2:P$2)+'0₦'!AY92</f>
        <v/>
      </c>
      <c r="BE92" s="79">
        <f t="array" ref="BE92">SUMPRODUCT(--(NOT(ISBLANK('0₦'!AA92:AC92))),'0₦'!AA$2:AC$2) + BF92</f>
        <v/>
      </c>
      <c r="BF92" s="79" t="n"/>
      <c r="BG92" s="79">
        <f t="array" ref="BG92">SUMPRODUCT(--(NOT(ISBLANK('0₦'!U92:Z92))), '0₦'!U$2:Z$2)</f>
        <v/>
      </c>
      <c r="BH92" s="79" t="n"/>
      <c r="BI92" s="79">
        <f>SUM(BG92:BH92)</f>
        <v/>
      </c>
      <c r="BJ92" s="79" t="n"/>
      <c r="BK92" s="79" t="n"/>
      <c r="BL92" s="79" t="n"/>
      <c r="BM92" s="79" t="n"/>
      <c r="BN92" s="79" t="n"/>
      <c r="BO92" s="79" t="n"/>
      <c r="BP92" s="79" t="n"/>
      <c r="BQ92" s="79" t="n"/>
      <c r="BR92" s="79" t="n"/>
      <c r="BS92" s="79" t="n"/>
      <c r="BT92" s="79" t="n"/>
      <c r="BU92" s="79" t="n"/>
      <c r="BV92" s="79" t="n"/>
      <c r="BW92" s="79" t="n"/>
      <c r="BX92" s="79" t="n"/>
      <c r="BY92" s="79" t="n"/>
      <c r="BZ92" s="79" t="n"/>
      <c r="CA92" s="79" t="n"/>
    </row>
    <row r="93" hidden="1" ht="17.1" customHeight="1" s="37">
      <c r="A93" s="551" t="n"/>
      <c r="B93" s="150" t="inlineStr">
        <is>
          <t>Th</t>
        </is>
      </c>
      <c r="C93" s="550">
        <f>C92+1</f>
        <v/>
      </c>
      <c r="G93" s="216" t="n"/>
      <c r="H93" s="57" t="n"/>
      <c r="O93" s="216" t="n"/>
      <c r="X93" s="20" t="n"/>
      <c r="AF93" s="450" t="n"/>
      <c r="AN93" s="45" t="n"/>
      <c r="AP93" s="45" t="n"/>
      <c r="AQ93" s="12" t="n"/>
      <c r="AR93" s="216" t="n">
        <v>40</v>
      </c>
      <c r="AS93" s="216" t="n"/>
      <c r="AT93" s="216" t="n"/>
      <c r="AU93" s="216">
        <f>N93+O93 + 0</f>
        <v/>
      </c>
      <c r="AW93" s="2">
        <f>SUM(AH93:AI93,AJ93/2,AK93:AL93)</f>
        <v/>
      </c>
      <c r="AX93" s="2">
        <f>AM93*0.5+SUM(AN93:AP93)</f>
        <v/>
      </c>
      <c r="AY93" s="39">
        <f>SUM(-AR93+AS93*0.01+AT93*0.5+AU93)</f>
        <v/>
      </c>
      <c r="AZ93" s="39">
        <f>'0分'!AF90</f>
        <v/>
      </c>
      <c r="BA93" s="39">
        <f>SUM(AY93,AX93,AW93)</f>
        <v/>
      </c>
      <c r="BB93" s="250" t="n"/>
      <c r="BC93" s="79">
        <f t="array" ref="BC93">SUMPRODUCT(--(NOT(ISBLANK('0₦'!D93:M93))), '0₦'!D$2:M$2) +  SUMPRODUCT(--(NOT(ISBLANK('0₦'!Q93:T93))), '0₦'!Q$2:T$2)</f>
        <v/>
      </c>
      <c r="BD93" s="250">
        <f t="array" ref="BD93">SUMPRODUCT(--(NOT(ISBLANK('0₦'!N93:P93))),'0₦'!N$2:P$2)+'0₦'!AY93</f>
        <v/>
      </c>
      <c r="BE93" s="79">
        <f t="array" ref="BE93">SUMPRODUCT(--(NOT(ISBLANK('0₦'!AA93:AC93))),'0₦'!AA$2:AC$2) + BF93</f>
        <v/>
      </c>
      <c r="BF93" s="79" t="n"/>
      <c r="BG93" s="79">
        <f t="array" ref="BG93">SUMPRODUCT(--(NOT(ISBLANK('0₦'!U93:Z93))), '0₦'!U$2:Z$2)</f>
        <v/>
      </c>
      <c r="BH93" s="79" t="n"/>
      <c r="BI93" s="79">
        <f>SUM(BG93:BH93)</f>
        <v/>
      </c>
      <c r="BJ93" s="79" t="n"/>
      <c r="BK93" s="79" t="n"/>
      <c r="BL93" s="79" t="n"/>
      <c r="BM93" s="79" t="n"/>
      <c r="BN93" s="79" t="n"/>
      <c r="BO93" s="79" t="n"/>
      <c r="BP93" s="79" t="n"/>
      <c r="BQ93" s="79" t="n"/>
      <c r="BR93" s="79" t="n"/>
      <c r="BS93" s="79" t="n"/>
      <c r="BT93" s="79" t="n"/>
      <c r="BU93" s="79" t="n"/>
      <c r="BV93" s="79" t="n"/>
      <c r="BW93" s="79" t="n"/>
      <c r="BX93" s="79" t="n"/>
      <c r="BY93" s="79" t="n"/>
      <c r="BZ93" s="79" t="n"/>
      <c r="CA93" s="79" t="n"/>
    </row>
    <row r="94" hidden="1" ht="17.1" customHeight="1" s="37">
      <c r="A94" s="551" t="n"/>
      <c r="B94" s="150" t="inlineStr">
        <is>
          <t>F</t>
        </is>
      </c>
      <c r="C94" s="550">
        <f>C93+1</f>
        <v/>
      </c>
      <c r="E94" s="38" t="n"/>
      <c r="G94" s="216" t="n"/>
      <c r="H94" s="287" t="n"/>
      <c r="I94" s="38" t="n"/>
      <c r="J94" s="38" t="n"/>
      <c r="K94" s="38" t="n"/>
      <c r="O94" s="216" t="n"/>
      <c r="S94" s="38" t="n"/>
      <c r="X94" s="20" t="n"/>
      <c r="AF94" s="450" t="n"/>
      <c r="AN94" s="45" t="n"/>
      <c r="AP94" s="45" t="n"/>
      <c r="AQ94" s="12" t="n"/>
      <c r="AR94" s="216" t="n">
        <v>40</v>
      </c>
      <c r="AS94" s="216" t="n"/>
      <c r="AT94" s="216" t="n"/>
      <c r="AU94" s="216">
        <f>N94+O94 + 0</f>
        <v/>
      </c>
      <c r="AW94" s="2">
        <f>SUM(AH94:AI94,AJ94/2,AK94:AL94)</f>
        <v/>
      </c>
      <c r="AX94" s="2">
        <f>AM94*0.5+SUM(AN94:AP94)</f>
        <v/>
      </c>
      <c r="AY94" s="39">
        <f>SUM(-AR94+AS94*0.01+AT94*0.5+AU94)</f>
        <v/>
      </c>
      <c r="AZ94" s="39">
        <f>'0分'!AF91</f>
        <v/>
      </c>
      <c r="BA94" s="39">
        <f>SUM(AY94,AX94,AW94)</f>
        <v/>
      </c>
      <c r="BB94" s="250" t="n"/>
      <c r="BC94" s="79">
        <f t="array" ref="BC94">SUMPRODUCT(--(NOT(ISBLANK('0₦'!D94:M94))), '0₦'!D$2:M$2) +  SUMPRODUCT(--(NOT(ISBLANK('0₦'!Q94:T94))), '0₦'!Q$2:T$2)</f>
        <v/>
      </c>
      <c r="BD94" s="250">
        <f t="array" ref="BD94">SUMPRODUCT(--(NOT(ISBLANK('0₦'!N94:P94))),'0₦'!N$2:P$2)+'0₦'!AY94</f>
        <v/>
      </c>
      <c r="BE94" s="79">
        <f t="array" ref="BE94">SUMPRODUCT(--(NOT(ISBLANK('0₦'!AA94:AC94))),'0₦'!AA$2:AC$2) + BF94</f>
        <v/>
      </c>
      <c r="BF94" s="79" t="n"/>
      <c r="BG94" s="79">
        <f t="array" ref="BG94">SUMPRODUCT(--(NOT(ISBLANK('0₦'!U94:Z94))), '0₦'!U$2:Z$2)</f>
        <v/>
      </c>
      <c r="BH94" s="79" t="n"/>
      <c r="BI94" s="79">
        <f>SUM(BG94:BH94)</f>
        <v/>
      </c>
      <c r="BJ94" s="79" t="n"/>
      <c r="BK94" s="79" t="n"/>
      <c r="BL94" s="79" t="n"/>
      <c r="BM94" s="79" t="n"/>
      <c r="BN94" s="79" t="n"/>
      <c r="BO94" s="79" t="n"/>
      <c r="BP94" s="79" t="n"/>
      <c r="BQ94" s="79" t="n"/>
      <c r="BR94" s="79" t="n"/>
      <c r="BS94" s="79" t="n"/>
      <c r="BT94" s="79" t="n"/>
      <c r="BU94" s="79" t="n"/>
      <c r="BV94" s="79" t="n"/>
      <c r="BW94" s="79" t="n"/>
      <c r="BX94" s="79" t="n"/>
      <c r="BY94" s="79" t="n"/>
      <c r="BZ94" s="79" t="n"/>
      <c r="CA94" s="79" t="n"/>
    </row>
    <row r="95" hidden="1" ht="17.1" customHeight="1" s="37">
      <c r="A95" s="552" t="n"/>
      <c r="B95" s="150" t="inlineStr">
        <is>
          <t>S</t>
        </is>
      </c>
      <c r="C95" s="550">
        <f>C94+1</f>
        <v/>
      </c>
      <c r="G95" s="216" t="n"/>
      <c r="H95" s="287" t="n"/>
      <c r="I95" s="38" t="n"/>
      <c r="J95" s="38" t="n"/>
      <c r="O95" s="214" t="n"/>
      <c r="Q95" s="38" t="n"/>
      <c r="X95" s="20" t="n"/>
      <c r="AF95" s="450" t="n"/>
      <c r="AN95" s="45" t="n"/>
      <c r="AP95" s="45" t="n"/>
      <c r="AQ95" s="12" t="n"/>
      <c r="AR95" s="216" t="n">
        <v>40</v>
      </c>
      <c r="AS95" s="216" t="n"/>
      <c r="AT95" s="216" t="n"/>
      <c r="AU95" s="216">
        <f>N95+O95 + 0</f>
        <v/>
      </c>
      <c r="AW95" s="2">
        <f>SUM(AH95:AI95,AJ95/2,AK95:AL95)</f>
        <v/>
      </c>
      <c r="AX95" s="2">
        <f>AM95*0.5+SUM(AN95:AP95)</f>
        <v/>
      </c>
      <c r="AY95" s="39">
        <f>SUM(-AR95+AS95*0.01+AT95*0.5+AU95)</f>
        <v/>
      </c>
      <c r="AZ95" s="39">
        <f>'0分'!AF92</f>
        <v/>
      </c>
      <c r="BA95" s="39">
        <f>SUM(AY95,AX95,AW95)</f>
        <v/>
      </c>
      <c r="BB95" s="250" t="n"/>
      <c r="BC95" s="79">
        <f t="array" ref="BC95">SUMPRODUCT(--(NOT(ISBLANK('0₦'!D95:M95))), '0₦'!D$2:M$2) +  SUMPRODUCT(--(NOT(ISBLANK('0₦'!Q95:T95))), '0₦'!Q$2:T$2)</f>
        <v/>
      </c>
      <c r="BD95" s="250">
        <f t="array" ref="BD95">SUMPRODUCT(--(NOT(ISBLANK('0₦'!N95:P95))),'0₦'!N$2:P$2)+'0₦'!AY95</f>
        <v/>
      </c>
      <c r="BE95" s="79">
        <f t="array" ref="BE95">SUMPRODUCT(--(NOT(ISBLANK('0₦'!AA95:AC95))),'0₦'!AA$2:AC$2) + BF95</f>
        <v/>
      </c>
      <c r="BF95" s="79" t="n"/>
      <c r="BG95" s="79">
        <f t="array" ref="BG95">SUMPRODUCT(--(NOT(ISBLANK('0₦'!U95:Z95))), '0₦'!U$2:Z$2)</f>
        <v/>
      </c>
      <c r="BH95" s="79" t="n"/>
      <c r="BI95" s="79">
        <f>SUM(BG95:BH95)</f>
        <v/>
      </c>
      <c r="BJ95" s="79" t="n"/>
      <c r="BK95" s="79" t="n"/>
      <c r="BL95" s="79" t="n"/>
      <c r="BM95" s="79" t="n"/>
      <c r="BN95" s="79" t="n"/>
      <c r="BO95" s="79" t="n"/>
      <c r="BP95" s="79" t="n"/>
      <c r="BQ95" s="79" t="n"/>
      <c r="BR95" s="79" t="n"/>
      <c r="BS95" s="79" t="n"/>
      <c r="BT95" s="79" t="n"/>
      <c r="BU95" s="79" t="n"/>
      <c r="BV95" s="79" t="n"/>
      <c r="BW95" s="79" t="n"/>
      <c r="BX95" s="79" t="n"/>
      <c r="BY95" s="79" t="n"/>
      <c r="BZ95" s="79" t="n"/>
      <c r="CA95" s="79" t="n"/>
    </row>
    <row r="96" hidden="1" s="37">
      <c r="A96" s="462">
        <f>A61+1</f>
        <v/>
      </c>
      <c r="B96" s="150" t="inlineStr">
        <is>
          <t>S</t>
        </is>
      </c>
      <c r="C96" s="550">
        <f>C95+1</f>
        <v/>
      </c>
      <c r="G96" s="216" t="n"/>
      <c r="H96" s="57" t="n"/>
      <c r="O96" s="214" t="n"/>
      <c r="X96" s="20" t="n"/>
      <c r="AF96" s="450" t="n"/>
      <c r="AN96" s="45" t="n"/>
      <c r="AP96" s="45" t="n"/>
      <c r="AQ96" s="12" t="n"/>
      <c r="AR96" s="216" t="n">
        <v>40</v>
      </c>
      <c r="AS96" s="216" t="n"/>
      <c r="AT96" s="216" t="n"/>
      <c r="AU96" s="216">
        <f>N96+O96 + 0</f>
        <v/>
      </c>
      <c r="AW96" s="2">
        <f>SUM(AH96:AI96,AJ96/2,AK96:AL96)</f>
        <v/>
      </c>
      <c r="AX96" s="2">
        <f>AM96*0.5+SUM(AN96:AP96)</f>
        <v/>
      </c>
      <c r="AY96" s="39">
        <f>SUM(-AR96+AS96*0.01+AT96*0.5+AU96)</f>
        <v/>
      </c>
      <c r="AZ96" s="39">
        <f>'0分'!AF93</f>
        <v/>
      </c>
      <c r="BA96" s="39">
        <f>SUM(AY96,AX96,AW96)</f>
        <v/>
      </c>
      <c r="BB96" s="250" t="n"/>
      <c r="BC96" s="79">
        <f t="array" ref="BC96">SUMPRODUCT(--(NOT(ISBLANK('0₦'!D96:M96))), '0₦'!D$2:M$2) +  SUMPRODUCT(--(NOT(ISBLANK('0₦'!Q96:T96))), '0₦'!Q$2:T$2)</f>
        <v/>
      </c>
      <c r="BD96" s="250">
        <f t="array" ref="BD96">SUMPRODUCT(--(NOT(ISBLANK('0₦'!N96:P96))),'0₦'!N$2:P$2)+'0₦'!AY96</f>
        <v/>
      </c>
      <c r="BE96" s="79">
        <f t="array" ref="BE96">SUMPRODUCT(--(NOT(ISBLANK('0₦'!AA96:AC96))),'0₦'!AA$2:AC$2) + BF96</f>
        <v/>
      </c>
      <c r="BF96" s="79" t="n"/>
      <c r="BG96" s="79">
        <f t="array" ref="BG96">SUMPRODUCT(--(NOT(ISBLANK('0₦'!U96:Z96))), '0₦'!U$2:Z$2)</f>
        <v/>
      </c>
      <c r="BH96" s="79" t="n"/>
      <c r="BI96" s="79">
        <f>SUM(BG96:BH96)</f>
        <v/>
      </c>
      <c r="BJ96" s="79" t="n"/>
      <c r="BK96" s="79" t="n"/>
      <c r="BL96" s="79" t="n"/>
      <c r="BM96" s="79" t="n"/>
      <c r="BN96" s="79" t="n"/>
      <c r="BO96" s="79" t="n"/>
      <c r="BP96" s="79" t="n"/>
      <c r="BQ96" s="79" t="n"/>
      <c r="BR96" s="79" t="n"/>
      <c r="BS96" s="79" t="n"/>
      <c r="BT96" s="79" t="n"/>
      <c r="BU96" s="79" t="n"/>
      <c r="BV96" s="79" t="n"/>
      <c r="BW96" s="79" t="n"/>
      <c r="BX96" s="79" t="n"/>
      <c r="BY96" s="79" t="n"/>
      <c r="BZ96" s="79" t="n"/>
      <c r="CA96" s="79" t="n"/>
    </row>
    <row r="97" hidden="1" ht="17.1" customHeight="1" s="37">
      <c r="A97" s="551" t="n"/>
      <c r="B97" s="150" t="inlineStr">
        <is>
          <t>M</t>
        </is>
      </c>
      <c r="C97" s="550">
        <f>C96+1</f>
        <v/>
      </c>
      <c r="G97" s="216" t="n"/>
      <c r="H97" s="57" t="n"/>
      <c r="O97" s="216" t="n"/>
      <c r="X97" s="20" t="n"/>
      <c r="AF97" s="450" t="n"/>
      <c r="AN97" s="45" t="n"/>
      <c r="AP97" s="45" t="n"/>
      <c r="AQ97" s="12" t="n"/>
      <c r="AR97" s="216" t="n">
        <v>40</v>
      </c>
      <c r="AS97" s="216" t="n"/>
      <c r="AT97" s="216" t="n"/>
      <c r="AU97" s="216">
        <f>N97+O97 + 0</f>
        <v/>
      </c>
      <c r="AW97" s="2">
        <f>SUM(AH97:AI97,AJ97/2,AK97:AL97)</f>
        <v/>
      </c>
      <c r="AX97" s="2">
        <f>AM97*0.5+SUM(AN97:AP97)</f>
        <v/>
      </c>
      <c r="AY97" s="39">
        <f>SUM(-AR97+AS97*0.01+AT97*0.5+AU97)</f>
        <v/>
      </c>
      <c r="AZ97" s="39">
        <f>'0分'!AF94</f>
        <v/>
      </c>
      <c r="BA97" s="39">
        <f>SUM(AY97,AX97,AW97)</f>
        <v/>
      </c>
      <c r="BB97" s="250" t="n"/>
      <c r="BC97" s="79">
        <f t="array" ref="BC97">SUMPRODUCT(--(NOT(ISBLANK('0₦'!D97:M97))), '0₦'!D$2:M$2) +  SUMPRODUCT(--(NOT(ISBLANK('0₦'!Q97:T97))), '0₦'!Q$2:T$2)</f>
        <v/>
      </c>
      <c r="BD97" s="250">
        <f t="array" ref="BD97">SUMPRODUCT(--(NOT(ISBLANK('0₦'!N97:P97))),'0₦'!N$2:P$2)+'0₦'!AY97</f>
        <v/>
      </c>
      <c r="BE97" s="79">
        <f t="array" ref="BE97">SUMPRODUCT(--(NOT(ISBLANK('0₦'!AA97:AC97))),'0₦'!AA$2:AC$2) + BF97</f>
        <v/>
      </c>
      <c r="BF97" s="79" t="n"/>
      <c r="BG97" s="79">
        <f t="array" ref="BG97">SUMPRODUCT(--(NOT(ISBLANK('0₦'!U97:Z97))), '0₦'!U$2:Z$2)</f>
        <v/>
      </c>
      <c r="BH97" s="79" t="n"/>
      <c r="BI97" s="79">
        <f>SUM(BG97:BH97)</f>
        <v/>
      </c>
      <c r="BJ97" s="79" t="n"/>
      <c r="BK97" s="79" t="n"/>
      <c r="BL97" s="79" t="n"/>
      <c r="BM97" s="79" t="n"/>
      <c r="BN97" s="79" t="n"/>
      <c r="BO97" s="79" t="n"/>
      <c r="BP97" s="79" t="n"/>
      <c r="BQ97" s="79" t="n"/>
      <c r="BR97" s="79" t="n"/>
      <c r="BS97" s="79" t="n"/>
      <c r="BT97" s="79" t="n"/>
      <c r="BU97" s="79" t="n"/>
      <c r="BV97" s="79" t="n"/>
      <c r="BW97" s="79" t="n"/>
      <c r="BX97" s="79" t="n"/>
      <c r="BY97" s="79" t="n"/>
      <c r="BZ97" s="79" t="n"/>
      <c r="CA97" s="79" t="n"/>
    </row>
    <row r="98" hidden="1" ht="17.1" customHeight="1" s="37">
      <c r="A98" s="551" t="n"/>
      <c r="B98" s="150" t="inlineStr">
        <is>
          <t>T</t>
        </is>
      </c>
      <c r="C98" s="550">
        <f>C97+1</f>
        <v/>
      </c>
      <c r="G98" s="216" t="n"/>
      <c r="H98" s="57" t="n"/>
      <c r="O98" s="216" t="n"/>
      <c r="X98" s="20" t="n"/>
      <c r="AF98" s="450" t="n"/>
      <c r="AN98" s="45" t="n"/>
      <c r="AP98" s="45" t="n"/>
      <c r="AQ98" s="12" t="n"/>
      <c r="AR98" s="216" t="n">
        <v>40</v>
      </c>
      <c r="AS98" s="216" t="n"/>
      <c r="AT98" s="216" t="n"/>
      <c r="AU98" s="216">
        <f>N98+O98 + 0</f>
        <v/>
      </c>
      <c r="AW98" s="2">
        <f>SUM(AH98:AI98,AJ98/2,AK98:AL98)</f>
        <v/>
      </c>
      <c r="AX98" s="2">
        <f>AM98*0.5+SUM(AN98:AP98)</f>
        <v/>
      </c>
      <c r="AY98" s="39">
        <f>SUM(-AR98+AS98*0.01+AT98*0.5+AU98)</f>
        <v/>
      </c>
      <c r="AZ98" s="39">
        <f>'0分'!AF95</f>
        <v/>
      </c>
      <c r="BA98" s="39">
        <f>SUM(AY98,AX98,AW98)</f>
        <v/>
      </c>
      <c r="BB98" s="250" t="n"/>
      <c r="BC98" s="79">
        <f t="array" ref="BC98">SUMPRODUCT(--(NOT(ISBLANK('0₦'!D98:M98))), '0₦'!D$2:M$2) +  SUMPRODUCT(--(NOT(ISBLANK('0₦'!Q98:T98))), '0₦'!Q$2:T$2)</f>
        <v/>
      </c>
      <c r="BD98" s="250">
        <f t="array" ref="BD98">SUMPRODUCT(--(NOT(ISBLANK('0₦'!N98:P98))),'0₦'!N$2:P$2)+'0₦'!AY98</f>
        <v/>
      </c>
      <c r="BE98" s="79">
        <f t="array" ref="BE98">SUMPRODUCT(--(NOT(ISBLANK('0₦'!AA98:AC98))),'0₦'!AA$2:AC$2) + BF98</f>
        <v/>
      </c>
      <c r="BF98" s="79" t="n"/>
      <c r="BG98" s="79">
        <f t="array" ref="BG98">SUMPRODUCT(--(NOT(ISBLANK('0₦'!U98:Z98))), '0₦'!U$2:Z$2)</f>
        <v/>
      </c>
      <c r="BH98" s="79" t="n"/>
      <c r="BI98" s="79">
        <f>SUM(BG98:BH98)</f>
        <v/>
      </c>
      <c r="BJ98" s="79" t="n"/>
      <c r="BK98" s="79" t="n"/>
      <c r="BL98" s="79" t="n"/>
      <c r="BM98" s="79" t="n"/>
      <c r="BN98" s="79" t="n"/>
      <c r="BO98" s="79" t="n"/>
      <c r="BP98" s="79" t="n"/>
      <c r="BQ98" s="79" t="n"/>
      <c r="BR98" s="79" t="n"/>
      <c r="BS98" s="79" t="n"/>
      <c r="BT98" s="79" t="n"/>
      <c r="BU98" s="79" t="n"/>
      <c r="BV98" s="79" t="n"/>
      <c r="BW98" s="79" t="n"/>
      <c r="BX98" s="79" t="n"/>
      <c r="BY98" s="79" t="n"/>
      <c r="BZ98" s="79" t="n"/>
      <c r="CA98" s="79" t="n"/>
    </row>
    <row r="99" hidden="1" ht="18" customHeight="1" s="37">
      <c r="A99" s="551" t="n"/>
      <c r="B99" s="150" t="inlineStr">
        <is>
          <t>W</t>
        </is>
      </c>
      <c r="C99" s="550">
        <f>C98+1</f>
        <v/>
      </c>
      <c r="G99" s="216" t="n"/>
      <c r="H99" s="57" t="n"/>
      <c r="O99" s="216" t="n"/>
      <c r="X99" s="20" t="n"/>
      <c r="AF99" s="450" t="n"/>
      <c r="AN99" s="45" t="n"/>
      <c r="AP99" s="45" t="n"/>
      <c r="AQ99" s="12" t="n"/>
      <c r="AR99" s="216" t="n">
        <v>40</v>
      </c>
      <c r="AS99" s="216" t="n"/>
      <c r="AT99" s="216" t="n"/>
      <c r="AU99" s="216">
        <f>N99+O99 + 0</f>
        <v/>
      </c>
      <c r="AW99" s="2">
        <f>SUM(AH99:AI99,AJ99/2,AK99:AL99)</f>
        <v/>
      </c>
      <c r="AX99" s="2">
        <f>AM99*0.5+SUM(AN99:AP99)</f>
        <v/>
      </c>
      <c r="AY99" s="39">
        <f>SUM(-AR99+AS99*0.01+AT99*0.5+AU99)</f>
        <v/>
      </c>
      <c r="AZ99" s="39">
        <f>'0分'!AF96</f>
        <v/>
      </c>
      <c r="BA99" s="39">
        <f>SUM(AY99,AX99,AW99)</f>
        <v/>
      </c>
      <c r="BB99" s="250" t="n"/>
      <c r="BC99" s="79">
        <f t="array" ref="BC99">SUMPRODUCT(--(NOT(ISBLANK('0₦'!D99:M99))), '0₦'!D$2:M$2) +  SUMPRODUCT(--(NOT(ISBLANK('0₦'!Q99:T99))), '0₦'!Q$2:T$2)</f>
        <v/>
      </c>
      <c r="BD99" s="250">
        <f t="array" ref="BD99">SUMPRODUCT(--(NOT(ISBLANK('0₦'!N99:P99))),'0₦'!N$2:P$2)+'0₦'!AY99</f>
        <v/>
      </c>
      <c r="BE99" s="79">
        <f t="array" ref="BE99">SUMPRODUCT(--(NOT(ISBLANK('0₦'!AA99:AC99))),'0₦'!AA$2:AC$2) + BF99</f>
        <v/>
      </c>
      <c r="BF99" s="79" t="n"/>
      <c r="BG99" s="79">
        <f t="array" ref="BG99">SUMPRODUCT(--(NOT(ISBLANK('0₦'!U99:Z99))), '0₦'!U$2:Z$2)</f>
        <v/>
      </c>
      <c r="BH99" s="79" t="n"/>
      <c r="BI99" s="79">
        <f>SUM(BG99:BH99)</f>
        <v/>
      </c>
      <c r="BJ99" s="79" t="n"/>
      <c r="BK99" s="79" t="n"/>
      <c r="BL99" s="79" t="n"/>
      <c r="BM99" s="79" t="n"/>
      <c r="BN99" s="79" t="n"/>
      <c r="BO99" s="79" t="n"/>
      <c r="BP99" s="79" t="n"/>
      <c r="BQ99" s="79" t="n"/>
      <c r="BR99" s="79" t="n"/>
      <c r="BS99" s="79" t="n"/>
      <c r="BT99" s="79" t="n"/>
      <c r="BU99" s="79" t="n"/>
      <c r="BV99" s="79" t="n"/>
      <c r="BW99" s="79" t="n"/>
      <c r="BX99" s="79" t="n"/>
      <c r="BY99" s="79" t="n"/>
      <c r="BZ99" s="79" t="n"/>
      <c r="CA99" s="79" t="n"/>
    </row>
    <row r="100" hidden="1" s="37">
      <c r="A100" s="551" t="n"/>
      <c r="B100" s="150" t="inlineStr">
        <is>
          <t>Th</t>
        </is>
      </c>
      <c r="C100" s="550">
        <f>C99+1</f>
        <v/>
      </c>
      <c r="G100" s="216" t="n"/>
      <c r="H100" s="57" t="n"/>
      <c r="O100" s="216" t="n"/>
      <c r="T100" s="38" t="n"/>
      <c r="X100" s="20" t="n"/>
      <c r="AF100" s="450" t="n"/>
      <c r="AN100" s="45" t="n"/>
      <c r="AP100" s="45" t="n"/>
      <c r="AQ100" s="12" t="n"/>
      <c r="AR100" s="216" t="n">
        <v>40</v>
      </c>
      <c r="AS100" s="216" t="n"/>
      <c r="AT100" s="216" t="n"/>
      <c r="AU100" s="216">
        <f>N100+O100 + 0</f>
        <v/>
      </c>
      <c r="AW100" s="2">
        <f>SUM(AH100:AI100,AJ100/2,AK100:AL100)</f>
        <v/>
      </c>
      <c r="AX100" s="2">
        <f>AM100*0.5+SUM(AN100:AP100)</f>
        <v/>
      </c>
      <c r="AY100" s="39">
        <f>SUM(-AR100+AS100*0.01+AT100*0.5+AU100)</f>
        <v/>
      </c>
      <c r="AZ100" s="39">
        <f>'0分'!AF97</f>
        <v/>
      </c>
      <c r="BA100" s="39">
        <f>SUM(AY100,AX100,AW100)</f>
        <v/>
      </c>
      <c r="BB100" s="250" t="n"/>
      <c r="BC100" s="79">
        <f t="array" ref="BC100">SUMPRODUCT(--(NOT(ISBLANK('0₦'!D100:M100))), '0₦'!D$2:M$2) +  SUMPRODUCT(--(NOT(ISBLANK('0₦'!Q100:T100))), '0₦'!Q$2:T$2)</f>
        <v/>
      </c>
      <c r="BD100" s="250">
        <f t="array" ref="BD100">SUMPRODUCT(--(NOT(ISBLANK('0₦'!N100:P100))),'0₦'!N$2:P$2)+'0₦'!AY100</f>
        <v/>
      </c>
      <c r="BE100" s="79">
        <f t="array" ref="BE100">SUMPRODUCT(--(NOT(ISBLANK('0₦'!AA100:AC100))),'0₦'!AA$2:AC$2) + BF100</f>
        <v/>
      </c>
      <c r="BF100" s="79" t="n"/>
      <c r="BG100" s="79">
        <f t="array" ref="BG100">SUMPRODUCT(--(NOT(ISBLANK('0₦'!U100:Z100))), '0₦'!U$2:Z$2)</f>
        <v/>
      </c>
      <c r="BH100" s="79" t="n"/>
      <c r="BI100" s="79">
        <f>SUM(BG100:BH100)</f>
        <v/>
      </c>
      <c r="BJ100" s="79" t="n"/>
      <c r="BK100" s="79" t="n"/>
      <c r="BL100" s="79" t="n"/>
      <c r="BM100" s="79" t="n"/>
      <c r="BN100" s="79" t="n"/>
      <c r="BO100" s="79" t="n"/>
      <c r="BP100" s="79" t="n"/>
      <c r="BQ100" s="79" t="n"/>
      <c r="BR100" s="79" t="n"/>
      <c r="BS100" s="79" t="n"/>
      <c r="BT100" s="79" t="n"/>
      <c r="BU100" s="79" t="n"/>
      <c r="BV100" s="79" t="n"/>
      <c r="BW100" s="79" t="n"/>
      <c r="BX100" s="79" t="n"/>
      <c r="BY100" s="79" t="n"/>
      <c r="BZ100" s="79" t="n"/>
      <c r="CA100" s="79" t="n"/>
    </row>
    <row r="101" hidden="1" ht="17.1" customHeight="1" s="37">
      <c r="A101" s="551" t="n"/>
      <c r="B101" s="150" t="inlineStr">
        <is>
          <t>F</t>
        </is>
      </c>
      <c r="C101" s="550">
        <f>C100+1</f>
        <v/>
      </c>
      <c r="G101" s="216" t="n"/>
      <c r="H101" s="57" t="n"/>
      <c r="L101" s="38" t="n"/>
      <c r="O101" s="216" t="n"/>
      <c r="X101" s="20" t="n"/>
      <c r="AF101" s="450" t="n"/>
      <c r="AN101" s="45" t="n"/>
      <c r="AP101" s="45" t="n"/>
      <c r="AQ101" s="12" t="n"/>
      <c r="AR101" s="216" t="n">
        <v>40</v>
      </c>
      <c r="AS101" s="216" t="n"/>
      <c r="AT101" s="216" t="n"/>
      <c r="AU101" s="216">
        <f>N101+O101 + 0</f>
        <v/>
      </c>
      <c r="AW101" s="2">
        <f>SUM(AH101:AI101,AJ101/2,AK101:AL101)</f>
        <v/>
      </c>
      <c r="AX101" s="2">
        <f>AM101*0.5+SUM(AN101:AP101)</f>
        <v/>
      </c>
      <c r="AY101" s="39">
        <f>SUM(-AR101+AS101*0.01+AT101*0.5+AU101)</f>
        <v/>
      </c>
      <c r="AZ101" s="39">
        <f>'0分'!AF98</f>
        <v/>
      </c>
      <c r="BA101" s="39">
        <f>SUM(AY101,AX101,AW101)</f>
        <v/>
      </c>
      <c r="BB101" s="250" t="n"/>
      <c r="BC101" s="79">
        <f t="array" ref="BC101">SUMPRODUCT(--(NOT(ISBLANK('0₦'!D101:M101))), '0₦'!D$2:M$2) +  SUMPRODUCT(--(NOT(ISBLANK('0₦'!Q101:T101))), '0₦'!Q$2:T$2)</f>
        <v/>
      </c>
      <c r="BD101" s="250">
        <f t="array" ref="BD101">SUMPRODUCT(--(NOT(ISBLANK('0₦'!N101:P101))),'0₦'!N$2:P$2)+'0₦'!AY101</f>
        <v/>
      </c>
      <c r="BE101" s="79">
        <f t="array" ref="BE101">SUMPRODUCT(--(NOT(ISBLANK('0₦'!AA101:AC101))),'0₦'!AA$2:AC$2) + BF101</f>
        <v/>
      </c>
      <c r="BF101" s="79" t="n"/>
      <c r="BG101" s="79">
        <f t="array" ref="BG101">SUMPRODUCT(--(NOT(ISBLANK('0₦'!U101:Z101))), '0₦'!U$2:Z$2)</f>
        <v/>
      </c>
      <c r="BH101" s="79" t="n"/>
      <c r="BI101" s="79">
        <f>SUM(BG101:BH101)</f>
        <v/>
      </c>
      <c r="BJ101" s="79" t="n"/>
      <c r="BK101" s="79" t="n"/>
      <c r="BL101" s="79" t="n"/>
      <c r="BM101" s="79" t="n"/>
      <c r="BN101" s="79" t="n"/>
      <c r="BO101" s="79" t="n"/>
      <c r="BP101" s="79" t="n"/>
      <c r="BQ101" s="79" t="n"/>
      <c r="BR101" s="79" t="n"/>
      <c r="BS101" s="79" t="n"/>
      <c r="BT101" s="79" t="n"/>
      <c r="BU101" s="79" t="n"/>
      <c r="BV101" s="79" t="n"/>
      <c r="BW101" s="79" t="n"/>
      <c r="BX101" s="79" t="n"/>
      <c r="BY101" s="79" t="n"/>
      <c r="BZ101" s="79" t="n"/>
      <c r="CA101" s="79" t="n"/>
    </row>
    <row r="102" hidden="1" ht="17.1" customHeight="1" s="37">
      <c r="A102" s="552" t="n"/>
      <c r="B102" s="150" t="inlineStr">
        <is>
          <t>S</t>
        </is>
      </c>
      <c r="C102" s="550">
        <f>C101+1</f>
        <v/>
      </c>
      <c r="G102" s="216" t="n"/>
      <c r="H102" s="57" t="n"/>
      <c r="O102" s="216" t="n"/>
      <c r="S102" s="38" t="n"/>
      <c r="T102" s="38" t="n"/>
      <c r="X102" s="20" t="n"/>
      <c r="AF102" s="450" t="n"/>
      <c r="AN102" s="45" t="n"/>
      <c r="AP102" s="45" t="n"/>
      <c r="AQ102" s="12" t="n"/>
      <c r="AR102" s="216" t="n">
        <v>40</v>
      </c>
      <c r="AS102" s="216" t="n"/>
      <c r="AT102" s="216" t="n"/>
      <c r="AU102" s="216">
        <f>N102+O102 + 0</f>
        <v/>
      </c>
      <c r="AW102" s="2">
        <f>SUM(AH102:AI102,AJ102/2,AK102:AL102)</f>
        <v/>
      </c>
      <c r="AX102" s="2">
        <f>AM102*0.5+SUM(AN102:AP102)</f>
        <v/>
      </c>
      <c r="AY102" s="39">
        <f>SUM(-AR102+AS102*0.01+AT102*0.5+AU102)</f>
        <v/>
      </c>
      <c r="AZ102" s="39">
        <f>'0分'!AF99</f>
        <v/>
      </c>
      <c r="BA102" s="39">
        <f>SUM(AY102,AX102,AW102)</f>
        <v/>
      </c>
      <c r="BB102" s="250" t="n"/>
      <c r="BC102" s="79">
        <f t="array" ref="BC102">SUMPRODUCT(--(NOT(ISBLANK('0₦'!D102:M102))), '0₦'!D$2:M$2) +  SUMPRODUCT(--(NOT(ISBLANK('0₦'!Q102:T102))), '0₦'!Q$2:T$2)</f>
        <v/>
      </c>
      <c r="BD102" s="250">
        <f t="array" ref="BD102">SUMPRODUCT(--(NOT(ISBLANK('0₦'!N102:P102))),'0₦'!N$2:P$2)+'0₦'!AY102</f>
        <v/>
      </c>
      <c r="BE102" s="79">
        <f t="array" ref="BE102">SUMPRODUCT(--(NOT(ISBLANK('0₦'!AA102:AC102))),'0₦'!AA$2:AC$2) + BF102</f>
        <v/>
      </c>
      <c r="BF102" s="79" t="n"/>
      <c r="BG102" s="79">
        <f t="array" ref="BG102">SUMPRODUCT(--(NOT(ISBLANK('0₦'!U102:Z102))), '0₦'!U$2:Z$2)</f>
        <v/>
      </c>
      <c r="BH102" s="79" t="n"/>
      <c r="BI102" s="79">
        <f>SUM(BG102:BH102)</f>
        <v/>
      </c>
      <c r="BJ102" s="79" t="n"/>
      <c r="BK102" s="79" t="n"/>
      <c r="BL102" s="79" t="n"/>
      <c r="BM102" s="79" t="n"/>
      <c r="BN102" s="79" t="n"/>
      <c r="BO102" s="79" t="n"/>
      <c r="BP102" s="79" t="n"/>
      <c r="BQ102" s="79" t="n"/>
      <c r="BR102" s="79" t="n"/>
      <c r="BS102" s="79" t="n"/>
      <c r="BT102" s="79" t="n"/>
      <c r="BU102" s="79" t="n"/>
      <c r="BV102" s="79" t="n"/>
      <c r="BW102" s="79" t="n"/>
      <c r="BX102" s="79" t="n"/>
      <c r="BY102" s="79" t="n"/>
      <c r="BZ102" s="79" t="n"/>
      <c r="CA102" s="79" t="n"/>
    </row>
    <row r="103" hidden="1" ht="18" customHeight="1" s="37">
      <c r="A103" s="462">
        <f>A96+0.1</f>
        <v/>
      </c>
      <c r="B103" s="150" t="inlineStr">
        <is>
          <t>S</t>
        </is>
      </c>
      <c r="C103" s="550">
        <f>C102+1</f>
        <v/>
      </c>
      <c r="G103" s="216" t="n"/>
      <c r="H103" s="57" t="n"/>
      <c r="O103" s="216" t="n"/>
      <c r="U103" s="38" t="n"/>
      <c r="X103" s="20" t="n"/>
      <c r="AF103" s="450" t="n"/>
      <c r="AN103" s="45" t="n"/>
      <c r="AP103" s="45" t="n"/>
      <c r="AQ103" s="12" t="n"/>
      <c r="AR103" s="216" t="n">
        <v>40</v>
      </c>
      <c r="AS103" s="216" t="n"/>
      <c r="AT103" s="216" t="n"/>
      <c r="AU103" s="216">
        <f>N103+O103 + 0</f>
        <v/>
      </c>
      <c r="AW103" s="2">
        <f>SUM(AH103:AI103,AJ103/2,AK103:AL103)</f>
        <v/>
      </c>
      <c r="AX103" s="2">
        <f>AM103*0.5+SUM(AN103:AP103)</f>
        <v/>
      </c>
      <c r="AY103" s="39">
        <f>SUM(-AR103+AS103*0.01+AT103*0.5+AU103)</f>
        <v/>
      </c>
      <c r="AZ103" s="39">
        <f>'0分'!AF100</f>
        <v/>
      </c>
      <c r="BA103" s="39">
        <f>SUM(AY103,AX103,AW103)</f>
        <v/>
      </c>
      <c r="BB103" s="250" t="n"/>
      <c r="BC103" s="79">
        <f t="array" ref="BC103">SUMPRODUCT(--(NOT(ISBLANK('0₦'!D103:M103))), '0₦'!D$2:M$2) +  SUMPRODUCT(--(NOT(ISBLANK('0₦'!Q103:T103))), '0₦'!Q$2:T$2)</f>
        <v/>
      </c>
      <c r="BD103" s="250">
        <f t="array" ref="BD103">SUMPRODUCT(--(NOT(ISBLANK('0₦'!N103:P103))),'0₦'!N$2:P$2)+'0₦'!AY103</f>
        <v/>
      </c>
      <c r="BE103" s="79">
        <f t="array" ref="BE103">SUMPRODUCT(--(NOT(ISBLANK('0₦'!AA103:AC103))),'0₦'!AA$2:AC$2) + BF103</f>
        <v/>
      </c>
      <c r="BF103" s="79" t="n"/>
      <c r="BG103" s="79">
        <f t="array" ref="BG103">SUMPRODUCT(--(NOT(ISBLANK('0₦'!U103:Z103))), '0₦'!U$2:Z$2)</f>
        <v/>
      </c>
      <c r="BH103" s="79" t="n"/>
      <c r="BI103" s="79">
        <f>SUM(BG103:BH103)</f>
        <v/>
      </c>
      <c r="BJ103" s="79" t="n"/>
      <c r="BK103" s="79" t="n"/>
      <c r="BL103" s="79" t="n"/>
      <c r="BM103" s="79" t="n"/>
      <c r="BN103" s="79" t="n"/>
      <c r="BO103" s="79" t="n"/>
      <c r="BP103" s="79" t="n"/>
      <c r="BQ103" s="79" t="n"/>
      <c r="BR103" s="79" t="n"/>
      <c r="BS103" s="79" t="n"/>
      <c r="BT103" s="79" t="n"/>
      <c r="BU103" s="79" t="n"/>
      <c r="BV103" s="79" t="n"/>
      <c r="BW103" s="79" t="n"/>
      <c r="BX103" s="79" t="n"/>
      <c r="BY103" s="79" t="n"/>
      <c r="BZ103" s="79" t="n"/>
      <c r="CA103" s="79" t="n"/>
    </row>
    <row r="104" hidden="1" ht="17.1" customHeight="1" s="37">
      <c r="A104" s="551" t="n"/>
      <c r="B104" s="150" t="inlineStr">
        <is>
          <t>M</t>
        </is>
      </c>
      <c r="C104" s="550">
        <f>C103+1</f>
        <v/>
      </c>
      <c r="G104" s="216" t="n"/>
      <c r="H104" s="57" t="n"/>
      <c r="O104" s="216" t="n"/>
      <c r="X104" s="20" t="n"/>
      <c r="AF104" s="450" t="n"/>
      <c r="AN104" s="45" t="n"/>
      <c r="AP104" s="45" t="n"/>
      <c r="AQ104" s="12" t="n"/>
      <c r="AR104" s="216" t="n">
        <v>40</v>
      </c>
      <c r="AS104" s="216" t="n"/>
      <c r="AT104" s="216" t="n"/>
      <c r="AU104" s="216">
        <f>N104+O104 + 0</f>
        <v/>
      </c>
      <c r="AW104" s="2">
        <f>SUM(AH104:AI104,AJ104/2,AK104:AL104)</f>
        <v/>
      </c>
      <c r="AX104" s="2">
        <f>AM104*0.5+SUM(AN104:AP104)</f>
        <v/>
      </c>
      <c r="AY104" s="39">
        <f>SUM(-AR104+AS104*0.01+AT104*0.5+AU104)</f>
        <v/>
      </c>
      <c r="AZ104" s="39">
        <f>'0分'!AF101</f>
        <v/>
      </c>
      <c r="BA104" s="39">
        <f>SUM(AY104,AX104,AW104)</f>
        <v/>
      </c>
      <c r="BB104" s="250" t="n"/>
      <c r="BC104" s="79">
        <f t="array" ref="BC104">SUMPRODUCT(--(NOT(ISBLANK('0₦'!D104:M104))), '0₦'!D$2:M$2) +  SUMPRODUCT(--(NOT(ISBLANK('0₦'!Q104:T104))), '0₦'!Q$2:T$2)</f>
        <v/>
      </c>
      <c r="BD104" s="250">
        <f t="array" ref="BD104">SUMPRODUCT(--(NOT(ISBLANK('0₦'!N104:P104))),'0₦'!N$2:P$2)+'0₦'!AY104</f>
        <v/>
      </c>
      <c r="BE104" s="79">
        <f t="array" ref="BE104">SUMPRODUCT(--(NOT(ISBLANK('0₦'!AA104:AC104))),'0₦'!AA$2:AC$2) + BF104</f>
        <v/>
      </c>
      <c r="BF104" s="79" t="n"/>
      <c r="BG104" s="79">
        <f t="array" ref="BG104">SUMPRODUCT(--(NOT(ISBLANK('0₦'!U104:Z104))), '0₦'!U$2:Z$2)</f>
        <v/>
      </c>
      <c r="BH104" s="79" t="n"/>
      <c r="BI104" s="79">
        <f>SUM(BG104:BH104)</f>
        <v/>
      </c>
      <c r="BJ104" s="79" t="n"/>
      <c r="BK104" s="79" t="n"/>
      <c r="BL104" s="79" t="n"/>
      <c r="BM104" s="79" t="n"/>
      <c r="BN104" s="79" t="n"/>
      <c r="BO104" s="79" t="n"/>
      <c r="BP104" s="79" t="n"/>
      <c r="BQ104" s="79" t="n"/>
      <c r="BR104" s="79" t="n"/>
      <c r="BS104" s="79" t="n"/>
      <c r="BT104" s="79" t="n"/>
      <c r="BU104" s="79" t="n"/>
      <c r="BV104" s="79" t="n"/>
      <c r="BW104" s="79" t="n"/>
      <c r="BX104" s="79" t="n"/>
      <c r="BY104" s="79" t="n"/>
      <c r="BZ104" s="79" t="n"/>
      <c r="CA104" s="79" t="n"/>
    </row>
    <row r="105" hidden="1" s="37">
      <c r="A105" s="551" t="n"/>
      <c r="B105" s="150" t="inlineStr">
        <is>
          <t>T</t>
        </is>
      </c>
      <c r="C105" s="550">
        <f>C104+1</f>
        <v/>
      </c>
      <c r="G105" s="216" t="n"/>
      <c r="H105" s="57" t="n"/>
      <c r="O105" s="216" t="n"/>
      <c r="X105" s="20" t="n"/>
      <c r="AF105" s="450" t="n"/>
      <c r="AN105" s="45" t="n"/>
      <c r="AP105" s="45" t="n"/>
      <c r="AQ105" s="12" t="n"/>
      <c r="AR105" s="216" t="n">
        <v>40</v>
      </c>
      <c r="AS105" s="216" t="n"/>
      <c r="AT105" s="216" t="n"/>
      <c r="AU105" s="216">
        <f>N105+O105 + 0</f>
        <v/>
      </c>
      <c r="AW105" s="2">
        <f>SUM(AH105:AI105,AJ105/2,AK105:AL105)</f>
        <v/>
      </c>
      <c r="AX105" s="2">
        <f>AM105*0.5+SUM(AN105:AP105)</f>
        <v/>
      </c>
      <c r="AY105" s="39">
        <f>SUM(-AR105+AS105*0.01+AT105*0.5+AU105)</f>
        <v/>
      </c>
      <c r="AZ105" s="39">
        <f>'0分'!AF102</f>
        <v/>
      </c>
      <c r="BA105" s="39">
        <f>SUM(AY105,AX105,AW105)</f>
        <v/>
      </c>
      <c r="BB105" s="250" t="n"/>
      <c r="BC105" s="79">
        <f t="array" ref="BC105">SUMPRODUCT(--(NOT(ISBLANK('0₦'!D105:M105))), '0₦'!D$2:M$2) +  SUMPRODUCT(--(NOT(ISBLANK('0₦'!Q105:T105))), '0₦'!Q$2:T$2)</f>
        <v/>
      </c>
      <c r="BD105" s="250">
        <f t="array" ref="BD105">SUMPRODUCT(--(NOT(ISBLANK('0₦'!N105:P105))),'0₦'!N$2:P$2)+'0₦'!AY105</f>
        <v/>
      </c>
      <c r="BE105" s="79">
        <f t="array" ref="BE105">SUMPRODUCT(--(NOT(ISBLANK('0₦'!AA105:AC105))),'0₦'!AA$2:AC$2) + BF105</f>
        <v/>
      </c>
      <c r="BF105" s="79" t="n"/>
      <c r="BG105" s="79">
        <f t="array" ref="BG105">SUMPRODUCT(--(NOT(ISBLANK('0₦'!U105:Z105))), '0₦'!U$2:Z$2)</f>
        <v/>
      </c>
      <c r="BH105" s="79" t="n"/>
      <c r="BI105" s="79">
        <f>SUM(BG105:BH105)</f>
        <v/>
      </c>
      <c r="BJ105" s="79" t="n"/>
      <c r="BK105" s="79" t="n"/>
      <c r="BL105" s="79" t="n"/>
      <c r="BM105" s="79" t="n"/>
      <c r="BN105" s="79" t="n"/>
      <c r="BO105" s="79" t="n"/>
      <c r="BP105" s="79" t="n"/>
      <c r="BQ105" s="79" t="n"/>
      <c r="BR105" s="79" t="n"/>
      <c r="BS105" s="79" t="n"/>
      <c r="BT105" s="79" t="n"/>
      <c r="BU105" s="79" t="n"/>
      <c r="BV105" s="79" t="n"/>
      <c r="BW105" s="79" t="n"/>
      <c r="BX105" s="79" t="n"/>
      <c r="BY105" s="79" t="n"/>
      <c r="BZ105" s="79" t="n"/>
      <c r="CA105" s="79" t="n"/>
    </row>
    <row r="106" hidden="1" s="37">
      <c r="A106" s="551" t="n"/>
      <c r="B106" s="150" t="inlineStr">
        <is>
          <t>W</t>
        </is>
      </c>
      <c r="C106" s="550">
        <f>C105+1</f>
        <v/>
      </c>
      <c r="G106" s="216" t="n"/>
      <c r="H106" s="57" t="n"/>
      <c r="N106" s="38" t="n"/>
      <c r="O106" s="216" t="n"/>
      <c r="X106" s="20" t="n"/>
      <c r="AF106" s="450" t="n"/>
      <c r="AN106" s="45" t="n"/>
      <c r="AP106" s="45" t="n"/>
      <c r="AQ106" s="12" t="n"/>
      <c r="AR106" s="216" t="n">
        <v>40</v>
      </c>
      <c r="AS106" s="216" t="n"/>
      <c r="AT106" s="216" t="n"/>
      <c r="AU106" s="216">
        <f>N106+O106 + 0</f>
        <v/>
      </c>
      <c r="AW106" s="2">
        <f>SUM(AH106:AI106,AJ106/2,AK106:AL106)</f>
        <v/>
      </c>
      <c r="AX106" s="2">
        <f>AM106*0.5+SUM(AN106:AP106)</f>
        <v/>
      </c>
      <c r="AY106" s="39">
        <f>SUM(-AR106+AS106*0.01+AT106*0.5+AU106)</f>
        <v/>
      </c>
      <c r="AZ106" s="39">
        <f>'0分'!AF103</f>
        <v/>
      </c>
      <c r="BA106" s="39">
        <f>SUM(AY106,AX106,AW106)</f>
        <v/>
      </c>
      <c r="BB106" s="250" t="n"/>
      <c r="BC106" s="79">
        <f t="array" ref="BC106">SUMPRODUCT(--(NOT(ISBLANK('0₦'!D106:M106))), '0₦'!D$2:M$2) +  SUMPRODUCT(--(NOT(ISBLANK('0₦'!Q106:T106))), '0₦'!Q$2:T$2)</f>
        <v/>
      </c>
      <c r="BD106" s="250">
        <f t="array" ref="BD106">SUMPRODUCT(--(NOT(ISBLANK('0₦'!N106:P106))),'0₦'!N$2:P$2)+'0₦'!AY106</f>
        <v/>
      </c>
      <c r="BE106" s="79">
        <f t="array" ref="BE106">SUMPRODUCT(--(NOT(ISBLANK('0₦'!AA106:AC106))),'0₦'!AA$2:AC$2) + BF106</f>
        <v/>
      </c>
      <c r="BF106" s="79" t="n"/>
      <c r="BG106" s="79">
        <f t="array" ref="BG106">SUMPRODUCT(--(NOT(ISBLANK('0₦'!U106:Z106))), '0₦'!U$2:Z$2)</f>
        <v/>
      </c>
      <c r="BH106" s="79" t="n"/>
      <c r="BI106" s="79">
        <f>SUM(BG106:BH106)</f>
        <v/>
      </c>
      <c r="BJ106" s="79" t="n"/>
      <c r="BK106" s="79" t="n"/>
      <c r="BL106" s="79" t="n"/>
      <c r="BM106" s="79" t="n"/>
      <c r="BN106" s="79" t="n"/>
      <c r="BO106" s="79" t="n"/>
      <c r="BP106" s="79" t="n"/>
      <c r="BQ106" s="79" t="n"/>
      <c r="BR106" s="79" t="n"/>
      <c r="BS106" s="79" t="n"/>
      <c r="BT106" s="79" t="n"/>
      <c r="BU106" s="79" t="n"/>
      <c r="BV106" s="79" t="n"/>
      <c r="BW106" s="79" t="n"/>
      <c r="BX106" s="79" t="n"/>
      <c r="BY106" s="79" t="n"/>
      <c r="BZ106" s="79" t="n"/>
      <c r="CA106" s="79" t="n"/>
    </row>
    <row r="107" hidden="1" s="37">
      <c r="A107" s="551" t="n"/>
      <c r="B107" s="150" t="inlineStr">
        <is>
          <t>Th</t>
        </is>
      </c>
      <c r="C107" s="550">
        <f>C106+1</f>
        <v/>
      </c>
      <c r="G107" s="216" t="n"/>
      <c r="H107" s="57" t="n"/>
      <c r="N107" s="38" t="n"/>
      <c r="O107" s="216" t="n"/>
      <c r="X107" s="20" t="n"/>
      <c r="AF107" s="450" t="n"/>
      <c r="AN107" s="45" t="n"/>
      <c r="AP107" s="45" t="n"/>
      <c r="AQ107" s="12" t="n"/>
      <c r="AR107" s="216" t="n">
        <v>40</v>
      </c>
      <c r="AS107" s="216" t="n"/>
      <c r="AT107" s="216" t="n"/>
      <c r="AU107" s="216">
        <f>N107+O107 + 0</f>
        <v/>
      </c>
      <c r="AW107" s="2">
        <f>SUM(AH107:AI107,AJ107/2,AK107:AL107)</f>
        <v/>
      </c>
      <c r="AX107" s="2">
        <f>AM107*0.5+SUM(AN107:AP107)</f>
        <v/>
      </c>
      <c r="AY107" s="39">
        <f>SUM(-AR107+AS107*0.01+AT107*0.5+AU107)</f>
        <v/>
      </c>
      <c r="AZ107" s="39">
        <f>'0分'!AF104</f>
        <v/>
      </c>
      <c r="BA107" s="39">
        <f>SUM(AY107,AX107,AW107)</f>
        <v/>
      </c>
      <c r="BB107" s="250" t="n"/>
      <c r="BC107" s="79">
        <f t="array" ref="BC107">SUMPRODUCT(--(NOT(ISBLANK('0₦'!D107:M107))), '0₦'!D$2:M$2) +  SUMPRODUCT(--(NOT(ISBLANK('0₦'!Q107:T107))), '0₦'!Q$2:T$2)</f>
        <v/>
      </c>
      <c r="BD107" s="250">
        <f t="array" ref="BD107">SUMPRODUCT(--(NOT(ISBLANK('0₦'!N107:P107))),'0₦'!N$2:P$2)+'0₦'!AY107</f>
        <v/>
      </c>
      <c r="BE107" s="79">
        <f t="array" ref="BE107">SUMPRODUCT(--(NOT(ISBLANK('0₦'!AA107:AC107))),'0₦'!AA$2:AC$2) + BF107</f>
        <v/>
      </c>
      <c r="BF107" s="79" t="n"/>
      <c r="BG107" s="79">
        <f t="array" ref="BG107">SUMPRODUCT(--(NOT(ISBLANK('0₦'!U107:Z107))), '0₦'!U$2:Z$2)</f>
        <v/>
      </c>
      <c r="BH107" s="79" t="n"/>
      <c r="BI107" s="79">
        <f>SUM(BG107:BH107)</f>
        <v/>
      </c>
      <c r="BJ107" s="79" t="n"/>
      <c r="BK107" s="79" t="n"/>
      <c r="BL107" s="79" t="n"/>
      <c r="BM107" s="79" t="n"/>
      <c r="BN107" s="79" t="n"/>
      <c r="BO107" s="79" t="n"/>
      <c r="BP107" s="79" t="n"/>
      <c r="BQ107" s="79" t="n"/>
      <c r="BR107" s="79" t="n"/>
      <c r="BS107" s="79" t="n"/>
      <c r="BT107" s="79" t="n"/>
      <c r="BU107" s="79" t="n"/>
      <c r="BV107" s="79" t="n"/>
      <c r="BW107" s="79" t="n"/>
      <c r="BX107" s="79" t="n"/>
      <c r="BY107" s="79" t="n"/>
      <c r="BZ107" s="79" t="n"/>
      <c r="CA107" s="79" t="n"/>
    </row>
    <row r="108" hidden="1" s="37">
      <c r="A108" s="551" t="n"/>
      <c r="B108" s="150" t="inlineStr">
        <is>
          <t>F</t>
        </is>
      </c>
      <c r="C108" s="550">
        <f>C107+1</f>
        <v/>
      </c>
      <c r="G108" s="216" t="n"/>
      <c r="H108" s="57" t="n"/>
      <c r="N108" s="38" t="n"/>
      <c r="O108" s="216" t="n"/>
      <c r="Q108" s="38" t="n"/>
      <c r="X108" s="20" t="n"/>
      <c r="AF108" s="450" t="n"/>
      <c r="AN108" s="45" t="n"/>
      <c r="AP108" s="45" t="n"/>
      <c r="AQ108" s="12" t="n"/>
      <c r="AR108" s="216" t="n">
        <v>40</v>
      </c>
      <c r="AS108" s="216" t="n"/>
      <c r="AT108" s="216" t="n"/>
      <c r="AU108" s="216">
        <f>N108+O108 + 0</f>
        <v/>
      </c>
      <c r="AW108" s="2">
        <f>SUM(AH108:AI108,AJ108/2,AK108:AL108)</f>
        <v/>
      </c>
      <c r="AX108" s="2">
        <f>AM108*0.5+SUM(AN108:AP108)</f>
        <v/>
      </c>
      <c r="AY108" s="39">
        <f>SUM(-AR108+AS108*0.01+AT108*0.5+AU108)</f>
        <v/>
      </c>
      <c r="AZ108" s="39">
        <f>'0分'!AF105</f>
        <v/>
      </c>
      <c r="BA108" s="39">
        <f>SUM(AY108,AX108,AW108)</f>
        <v/>
      </c>
      <c r="BB108" s="250" t="n"/>
      <c r="BC108" s="79">
        <f t="array" ref="BC108">SUMPRODUCT(--(NOT(ISBLANK('0₦'!D108:M108))), '0₦'!D$2:M$2) +  SUMPRODUCT(--(NOT(ISBLANK('0₦'!Q108:T108))), '0₦'!Q$2:T$2)</f>
        <v/>
      </c>
      <c r="BD108" s="250">
        <f t="array" ref="BD108">SUMPRODUCT(--(NOT(ISBLANK('0₦'!N108:P108))),'0₦'!N$2:P$2)+'0₦'!AY108</f>
        <v/>
      </c>
      <c r="BE108" s="79">
        <f t="array" ref="BE108">SUMPRODUCT(--(NOT(ISBLANK('0₦'!AA108:AC108))),'0₦'!AA$2:AC$2) + BF108</f>
        <v/>
      </c>
      <c r="BF108" s="79" t="n"/>
      <c r="BG108" s="79">
        <f t="array" ref="BG108">SUMPRODUCT(--(NOT(ISBLANK('0₦'!U108:Z108))), '0₦'!U$2:Z$2)</f>
        <v/>
      </c>
      <c r="BH108" s="79" t="n"/>
      <c r="BI108" s="79">
        <f>SUM(BG108:BH108)</f>
        <v/>
      </c>
      <c r="BJ108" s="79" t="n"/>
      <c r="BK108" s="79" t="n"/>
      <c r="BL108" s="79" t="n"/>
      <c r="BM108" s="79" t="n"/>
      <c r="BN108" s="79" t="n"/>
      <c r="BO108" s="79" t="n"/>
      <c r="BP108" s="79" t="n"/>
      <c r="BQ108" s="79" t="n"/>
      <c r="BR108" s="79" t="n"/>
      <c r="BS108" s="79" t="n"/>
      <c r="BT108" s="79" t="n"/>
      <c r="BU108" s="79" t="n"/>
      <c r="BV108" s="79" t="n"/>
      <c r="BW108" s="79" t="n"/>
      <c r="BX108" s="79" t="n"/>
      <c r="BY108" s="79" t="n"/>
      <c r="BZ108" s="79" t="n"/>
      <c r="CA108" s="79" t="n"/>
    </row>
    <row r="109" hidden="1" s="37">
      <c r="A109" s="552" t="n"/>
      <c r="B109" s="150" t="inlineStr">
        <is>
          <t>S</t>
        </is>
      </c>
      <c r="C109" s="550">
        <f>C108+1</f>
        <v/>
      </c>
      <c r="E109" s="38" t="n"/>
      <c r="G109" s="216" t="n"/>
      <c r="H109" s="57" t="n"/>
      <c r="O109" s="216" t="n"/>
      <c r="U109" s="38" t="n"/>
      <c r="X109" s="20" t="n"/>
      <c r="AF109" s="450" t="n"/>
      <c r="AN109" s="45" t="n"/>
      <c r="AP109" s="45" t="n"/>
      <c r="AQ109" s="12" t="n"/>
      <c r="AR109" s="216" t="n">
        <v>40</v>
      </c>
      <c r="AS109" s="216" t="n"/>
      <c r="AT109" s="216" t="n"/>
      <c r="AU109" s="216">
        <f>N109+O109 + 0</f>
        <v/>
      </c>
      <c r="AW109" s="2">
        <f>SUM(AH109:AI109,AJ109/2,AK109:AL109)</f>
        <v/>
      </c>
      <c r="AX109" s="2">
        <f>AM109*0.5+SUM(AN109:AP109)</f>
        <v/>
      </c>
      <c r="AY109" s="39">
        <f>SUM(-AR109+AS109*0.01+AT109*0.5+AU109)</f>
        <v/>
      </c>
      <c r="AZ109" s="39">
        <f>'0分'!AF106</f>
        <v/>
      </c>
      <c r="BA109" s="39">
        <f>SUM(AY109,AX109,AW109)</f>
        <v/>
      </c>
      <c r="BB109" s="250" t="n"/>
      <c r="BC109" s="79">
        <f t="array" ref="BC109">SUMPRODUCT(--(NOT(ISBLANK('0₦'!D109:M109))), '0₦'!D$2:M$2) +  SUMPRODUCT(--(NOT(ISBLANK('0₦'!Q109:T109))), '0₦'!Q$2:T$2)</f>
        <v/>
      </c>
      <c r="BD109" s="250">
        <f t="array" ref="BD109">SUMPRODUCT(--(NOT(ISBLANK('0₦'!N109:P109))),'0₦'!N$2:P$2)+'0₦'!AY109</f>
        <v/>
      </c>
      <c r="BE109" s="79">
        <f t="array" ref="BE109">SUMPRODUCT(--(NOT(ISBLANK('0₦'!AA109:AC109))),'0₦'!AA$2:AC$2) + BF109</f>
        <v/>
      </c>
      <c r="BF109" s="79" t="n"/>
      <c r="BG109" s="79">
        <f t="array" ref="BG109">SUMPRODUCT(--(NOT(ISBLANK('0₦'!U109:Z109))), '0₦'!U$2:Z$2)</f>
        <v/>
      </c>
      <c r="BH109" s="79" t="n"/>
      <c r="BI109" s="79">
        <f>SUM(BG109:BH109)</f>
        <v/>
      </c>
      <c r="BJ109" s="79" t="n"/>
      <c r="BK109" s="79" t="n"/>
      <c r="BL109" s="79" t="n"/>
      <c r="BM109" s="79" t="n"/>
      <c r="BN109" s="79" t="n"/>
      <c r="BO109" s="79" t="n"/>
      <c r="BP109" s="79" t="n"/>
      <c r="BQ109" s="79" t="n"/>
      <c r="BR109" s="79" t="n"/>
      <c r="BS109" s="79" t="n"/>
      <c r="BT109" s="79" t="n"/>
      <c r="BU109" s="79" t="n"/>
      <c r="BV109" s="79" t="n"/>
      <c r="BW109" s="79" t="n"/>
      <c r="BX109" s="79" t="n"/>
      <c r="BY109" s="79" t="n"/>
      <c r="BZ109" s="79" t="n"/>
      <c r="CA109" s="79" t="n"/>
    </row>
    <row r="110" hidden="1" ht="18" customHeight="1" s="37">
      <c r="A110" s="462">
        <f>A103+0.1</f>
        <v/>
      </c>
      <c r="B110" s="150" t="inlineStr">
        <is>
          <t>S</t>
        </is>
      </c>
      <c r="C110" s="550">
        <f>C109+1</f>
        <v/>
      </c>
      <c r="G110" s="216" t="n"/>
      <c r="H110" s="57" t="n"/>
      <c r="O110" s="216" t="n"/>
      <c r="Q110" s="38" t="n"/>
      <c r="X110" s="20" t="n"/>
      <c r="AF110" s="450" t="n"/>
      <c r="AN110" s="45" t="n"/>
      <c r="AP110" s="45" t="n"/>
      <c r="AQ110" s="12" t="n"/>
      <c r="AR110" s="216" t="n">
        <v>40</v>
      </c>
      <c r="AS110" s="216" t="n"/>
      <c r="AT110" s="216" t="n"/>
      <c r="AU110" s="216">
        <f>N110+O110 + 0</f>
        <v/>
      </c>
      <c r="AW110" s="2">
        <f>SUM(AH110:AI110,AJ110/2,AK110:AL110)</f>
        <v/>
      </c>
      <c r="AX110" s="2">
        <f>AM110*0.5+SUM(AN110:AP110)</f>
        <v/>
      </c>
      <c r="AY110" s="39">
        <f>SUM(-AR110+AS110*0.01+AT110*0.5+AU110)</f>
        <v/>
      </c>
      <c r="AZ110" s="39">
        <f>'0分'!AF107</f>
        <v/>
      </c>
      <c r="BA110" s="39">
        <f>SUM(AY110,AX110,AW110)</f>
        <v/>
      </c>
      <c r="BB110" s="250" t="n"/>
      <c r="BC110" s="79">
        <f t="array" ref="BC110">SUMPRODUCT(--(NOT(ISBLANK('0₦'!D110:M110))), '0₦'!D$2:M$2) +  SUMPRODUCT(--(NOT(ISBLANK('0₦'!Q110:T110))), '0₦'!Q$2:T$2)</f>
        <v/>
      </c>
      <c r="BD110" s="250">
        <f t="array" ref="BD110">SUMPRODUCT(--(NOT(ISBLANK('0₦'!N110:P110))),'0₦'!N$2:P$2)+'0₦'!AY110</f>
        <v/>
      </c>
      <c r="BE110" s="79">
        <f t="array" ref="BE110">SUMPRODUCT(--(NOT(ISBLANK('0₦'!AA110:AC110))),'0₦'!AA$2:AC$2) + BF110</f>
        <v/>
      </c>
      <c r="BF110" s="79" t="n"/>
      <c r="BG110" s="79">
        <f t="array" ref="BG110">SUMPRODUCT(--(NOT(ISBLANK('0₦'!U110:Z110))), '0₦'!U$2:Z$2)</f>
        <v/>
      </c>
      <c r="BH110" s="79" t="n"/>
      <c r="BI110" s="79">
        <f>SUM(BG110:BH110)</f>
        <v/>
      </c>
      <c r="BJ110" s="79" t="n"/>
      <c r="BK110" s="79" t="n"/>
      <c r="BL110" s="79" t="n"/>
      <c r="BM110" s="79" t="n"/>
      <c r="BN110" s="79" t="n"/>
      <c r="BO110" s="79" t="n"/>
      <c r="BP110" s="79" t="n"/>
      <c r="BQ110" s="79" t="n"/>
      <c r="BR110" s="79" t="n"/>
      <c r="BS110" s="79" t="n"/>
      <c r="BT110" s="79" t="n"/>
      <c r="BU110" s="79" t="n"/>
      <c r="BV110" s="79" t="n"/>
      <c r="BW110" s="79" t="n"/>
      <c r="BX110" s="79" t="n"/>
      <c r="BY110" s="79" t="n"/>
      <c r="BZ110" s="79" t="n"/>
      <c r="CA110" s="79" t="n"/>
    </row>
    <row r="111" hidden="1" ht="17.1" customHeight="1" s="37">
      <c r="A111" s="551" t="n"/>
      <c r="B111" s="150" t="inlineStr">
        <is>
          <t>M</t>
        </is>
      </c>
      <c r="C111" s="550">
        <f>C110+1</f>
        <v/>
      </c>
      <c r="G111" s="216" t="n"/>
      <c r="H111" s="57" t="n"/>
      <c r="O111" s="216" t="n"/>
      <c r="X111" s="20" t="n"/>
      <c r="AF111" s="450" t="n"/>
      <c r="AN111" s="45" t="n"/>
      <c r="AP111" s="45" t="n"/>
      <c r="AQ111" s="12" t="n"/>
      <c r="AR111" s="216" t="n">
        <v>40</v>
      </c>
      <c r="AS111" s="216" t="n"/>
      <c r="AT111" s="216" t="n"/>
      <c r="AU111" s="216">
        <f>N111+O111 + 0</f>
        <v/>
      </c>
      <c r="AW111" s="2">
        <f>SUM(AH111:AI111,AJ111/2,AK111:AL111)</f>
        <v/>
      </c>
      <c r="AX111" s="2">
        <f>AM111*0.5+SUM(AN111:AP111)</f>
        <v/>
      </c>
      <c r="AY111" s="39">
        <f>SUM(-AR111+AS111*0.01+AT111*0.5+AU111)</f>
        <v/>
      </c>
      <c r="AZ111" s="39">
        <f>'0分'!AF108</f>
        <v/>
      </c>
      <c r="BA111" s="39">
        <f>SUM(AY111,AX111,AW111)</f>
        <v/>
      </c>
      <c r="BB111" s="250" t="n"/>
      <c r="BC111" s="79">
        <f t="array" ref="BC111">SUMPRODUCT(--(NOT(ISBLANK('0₦'!D111:M111))), '0₦'!D$2:M$2) +  SUMPRODUCT(--(NOT(ISBLANK('0₦'!Q111:T111))), '0₦'!Q$2:T$2)</f>
        <v/>
      </c>
      <c r="BD111" s="250">
        <f t="array" ref="BD111">SUMPRODUCT(--(NOT(ISBLANK('0₦'!N111:P111))),'0₦'!N$2:P$2)+'0₦'!AY111</f>
        <v/>
      </c>
      <c r="BE111" s="79">
        <f t="array" ref="BE111">SUMPRODUCT(--(NOT(ISBLANK('0₦'!AA111:AC111))),'0₦'!AA$2:AC$2) + BF111</f>
        <v/>
      </c>
      <c r="BF111" s="79" t="n"/>
      <c r="BG111" s="79">
        <f t="array" ref="BG111">SUMPRODUCT(--(NOT(ISBLANK('0₦'!U111:Z111))), '0₦'!U$2:Z$2)</f>
        <v/>
      </c>
      <c r="BH111" s="79" t="n"/>
      <c r="BI111" s="79">
        <f>SUM(BG111:BH111)</f>
        <v/>
      </c>
      <c r="BJ111" s="79" t="n"/>
      <c r="BK111" s="79" t="n"/>
      <c r="BL111" s="79" t="n"/>
      <c r="BM111" s="79" t="n"/>
      <c r="BN111" s="79" t="n"/>
      <c r="BO111" s="79" t="n"/>
      <c r="BP111" s="79" t="n"/>
      <c r="BQ111" s="79" t="n"/>
      <c r="BR111" s="79" t="n"/>
      <c r="BS111" s="79" t="n"/>
      <c r="BT111" s="79" t="n"/>
      <c r="BU111" s="79" t="n"/>
      <c r="BV111" s="79" t="n"/>
      <c r="BW111" s="79" t="n"/>
      <c r="BX111" s="79" t="n"/>
      <c r="BY111" s="79" t="n"/>
      <c r="BZ111" s="79" t="n"/>
      <c r="CA111" s="79" t="n"/>
    </row>
    <row r="112" hidden="1" ht="17.1" customHeight="1" s="37">
      <c r="A112" s="551" t="n"/>
      <c r="B112" s="150" t="inlineStr">
        <is>
          <t>T</t>
        </is>
      </c>
      <c r="C112" s="550">
        <f>C111+1</f>
        <v/>
      </c>
      <c r="G112" s="216" t="n"/>
      <c r="H112" s="57" t="n"/>
      <c r="O112" s="216" t="n"/>
      <c r="X112" s="20" t="n"/>
      <c r="AF112" s="450" t="n"/>
      <c r="AN112" s="45" t="n"/>
      <c r="AP112" s="45" t="n"/>
      <c r="AQ112" s="12" t="n"/>
      <c r="AR112" s="216" t="n">
        <v>40</v>
      </c>
      <c r="AS112" s="216" t="n"/>
      <c r="AT112" s="216" t="n"/>
      <c r="AU112" s="216">
        <f>N112+O112 + 0</f>
        <v/>
      </c>
      <c r="AW112" s="2">
        <f>SUM(AH112:AI112,AJ112/2,AK112:AL112)</f>
        <v/>
      </c>
      <c r="AX112" s="2">
        <f>AM112*0.5+SUM(AN112:AP112)</f>
        <v/>
      </c>
      <c r="AY112" s="39">
        <f>SUM(-AR112+AS112*0.01+AT112*0.5+AU112)</f>
        <v/>
      </c>
      <c r="AZ112" s="39">
        <f>'0分'!AF109</f>
        <v/>
      </c>
      <c r="BA112" s="39">
        <f>SUM(AY112,AX112,AW112)</f>
        <v/>
      </c>
      <c r="BB112" s="250" t="n"/>
      <c r="BC112" s="79">
        <f t="array" ref="BC112">SUMPRODUCT(--(NOT(ISBLANK('0₦'!D112:M112))), '0₦'!D$2:M$2) +  SUMPRODUCT(--(NOT(ISBLANK('0₦'!Q112:T112))), '0₦'!Q$2:T$2)</f>
        <v/>
      </c>
      <c r="BD112" s="250">
        <f t="array" ref="BD112">SUMPRODUCT(--(NOT(ISBLANK('0₦'!N112:P112))),'0₦'!N$2:P$2)+'0₦'!AY112</f>
        <v/>
      </c>
      <c r="BE112" s="79">
        <f t="array" ref="BE112">SUMPRODUCT(--(NOT(ISBLANK('0₦'!AA112:AC112))),'0₦'!AA$2:AC$2) + BF112</f>
        <v/>
      </c>
      <c r="BF112" s="79" t="n"/>
      <c r="BG112" s="79">
        <f t="array" ref="BG112">SUMPRODUCT(--(NOT(ISBLANK('0₦'!U112:Z112))), '0₦'!U$2:Z$2)</f>
        <v/>
      </c>
      <c r="BH112" s="79" t="n"/>
      <c r="BI112" s="79">
        <f>SUM(BG112:BH112)</f>
        <v/>
      </c>
      <c r="BJ112" s="79" t="n"/>
      <c r="BK112" s="79" t="n"/>
      <c r="BL112" s="79" t="n"/>
      <c r="BM112" s="79" t="n"/>
      <c r="BN112" s="79" t="n"/>
      <c r="BO112" s="79" t="n"/>
      <c r="BP112" s="79" t="n"/>
      <c r="BQ112" s="79" t="n"/>
      <c r="BR112" s="79" t="n"/>
      <c r="BS112" s="79" t="n"/>
      <c r="BT112" s="79" t="n"/>
      <c r="BU112" s="79" t="n"/>
      <c r="BV112" s="79" t="n"/>
      <c r="BW112" s="79" t="n"/>
      <c r="BX112" s="79" t="n"/>
      <c r="BY112" s="79" t="n"/>
      <c r="BZ112" s="79" t="n"/>
      <c r="CA112" s="79" t="n"/>
    </row>
    <row r="113" hidden="1" ht="17.1" customHeight="1" s="37">
      <c r="A113" s="551" t="n"/>
      <c r="B113" s="150" t="inlineStr">
        <is>
          <t>W</t>
        </is>
      </c>
      <c r="C113" s="550">
        <f>C112+1</f>
        <v/>
      </c>
      <c r="G113" s="216" t="n"/>
      <c r="H113" s="57" t="n"/>
      <c r="O113" s="216" t="n"/>
      <c r="U113" s="38" t="n"/>
      <c r="X113" s="20" t="n"/>
      <c r="AF113" s="450" t="n"/>
      <c r="AN113" s="45" t="n"/>
      <c r="AP113" s="45" t="n"/>
      <c r="AQ113" s="12" t="n"/>
      <c r="AR113" s="216" t="n">
        <v>40</v>
      </c>
      <c r="AS113" s="216" t="n"/>
      <c r="AT113" s="216" t="n"/>
      <c r="AU113" s="216">
        <f>N113+O113 + 0</f>
        <v/>
      </c>
      <c r="AW113" s="2">
        <f>SUM(AH113:AI113,AJ113/2,AK113:AL113)</f>
        <v/>
      </c>
      <c r="AX113" s="2">
        <f>AM113*0.5+SUM(AN113:AP113)</f>
        <v/>
      </c>
      <c r="AY113" s="39">
        <f>SUM(-AR113+AS113*0.01+AT113*0.5+AU113)</f>
        <v/>
      </c>
      <c r="AZ113" s="39">
        <f>'0分'!AF110</f>
        <v/>
      </c>
      <c r="BA113" s="39">
        <f>SUM(AY113,AX113,AW113)</f>
        <v/>
      </c>
      <c r="BB113" s="250" t="n"/>
      <c r="BC113" s="79">
        <f t="array" ref="BC113">SUMPRODUCT(--(NOT(ISBLANK('0₦'!D113:M113))), '0₦'!D$2:M$2) +  SUMPRODUCT(--(NOT(ISBLANK('0₦'!Q113:T113))), '0₦'!Q$2:T$2)</f>
        <v/>
      </c>
      <c r="BD113" s="250">
        <f t="array" ref="BD113">SUMPRODUCT(--(NOT(ISBLANK('0₦'!N113:P113))),'0₦'!N$2:P$2)+'0₦'!AY113</f>
        <v/>
      </c>
      <c r="BE113" s="79">
        <f t="array" ref="BE113">SUMPRODUCT(--(NOT(ISBLANK('0₦'!AA113:AC113))),'0₦'!AA$2:AC$2) + BF113</f>
        <v/>
      </c>
      <c r="BF113" s="79" t="n"/>
      <c r="BG113" s="79">
        <f t="array" ref="BG113">SUMPRODUCT(--(NOT(ISBLANK('0₦'!U113:Z113))), '0₦'!U$2:Z$2)</f>
        <v/>
      </c>
      <c r="BH113" s="79" t="n"/>
      <c r="BI113" s="79">
        <f>SUM(BG113:BH113)</f>
        <v/>
      </c>
      <c r="BJ113" s="79" t="n"/>
      <c r="BK113" s="79" t="n"/>
      <c r="BL113" s="79" t="n"/>
      <c r="BM113" s="79" t="n"/>
      <c r="BN113" s="79" t="n"/>
      <c r="BO113" s="79" t="n"/>
      <c r="BP113" s="79" t="n"/>
      <c r="BQ113" s="79" t="n"/>
      <c r="BR113" s="79" t="n"/>
      <c r="BS113" s="79" t="n"/>
      <c r="BT113" s="79" t="n"/>
      <c r="BU113" s="79" t="n"/>
      <c r="BV113" s="79" t="n"/>
      <c r="BW113" s="79" t="n"/>
      <c r="BX113" s="79" t="n"/>
      <c r="BY113" s="79" t="n"/>
      <c r="BZ113" s="79" t="n"/>
      <c r="CA113" s="79" t="n"/>
    </row>
    <row r="114" hidden="1" s="37">
      <c r="A114" s="551" t="n"/>
      <c r="B114" s="150" t="inlineStr">
        <is>
          <t>Th</t>
        </is>
      </c>
      <c r="C114" s="550">
        <f>C113+1</f>
        <v/>
      </c>
      <c r="G114" s="216" t="n"/>
      <c r="H114" s="57" t="n"/>
      <c r="O114" s="216" t="n"/>
      <c r="T114" s="38" t="n"/>
      <c r="X114" s="20" t="n"/>
      <c r="AF114" s="450" t="n"/>
      <c r="AN114" s="45" t="n"/>
      <c r="AP114" s="45" t="n"/>
      <c r="AQ114" s="12" t="n"/>
      <c r="AR114" s="216" t="n">
        <v>40</v>
      </c>
      <c r="AS114" s="216" t="n"/>
      <c r="AT114" s="216" t="n"/>
      <c r="AU114" s="216">
        <f>N114+O114 + 0</f>
        <v/>
      </c>
      <c r="AW114" s="2">
        <f>SUM(AH114:AI114,AJ114/2,AK114:AL114)</f>
        <v/>
      </c>
      <c r="AX114" s="2">
        <f>AM114*0.5+SUM(AN114:AP114)</f>
        <v/>
      </c>
      <c r="AY114" s="39">
        <f>SUM(-AR114+AS114*0.01+AT114*0.5+AU114)</f>
        <v/>
      </c>
      <c r="AZ114" s="39">
        <f>'0分'!AF111</f>
        <v/>
      </c>
      <c r="BA114" s="39">
        <f>SUM(AY114,AX114,AW114)</f>
        <v/>
      </c>
      <c r="BB114" s="250" t="n"/>
      <c r="BC114" s="79">
        <f t="array" ref="BC114">SUMPRODUCT(--(NOT(ISBLANK('0₦'!D114:M114))), '0₦'!D$2:M$2) +  SUMPRODUCT(--(NOT(ISBLANK('0₦'!Q114:T114))), '0₦'!Q$2:T$2)</f>
        <v/>
      </c>
      <c r="BD114" s="250">
        <f t="array" ref="BD114">SUMPRODUCT(--(NOT(ISBLANK('0₦'!N114:P114))),'0₦'!N$2:P$2)+'0₦'!AY114</f>
        <v/>
      </c>
      <c r="BE114" s="79">
        <f t="array" ref="BE114">SUMPRODUCT(--(NOT(ISBLANK('0₦'!AA114:AC114))),'0₦'!AA$2:AC$2) + BF114</f>
        <v/>
      </c>
      <c r="BF114" s="79" t="n"/>
      <c r="BG114" s="79">
        <f t="array" ref="BG114">SUMPRODUCT(--(NOT(ISBLANK('0₦'!U114:Z114))), '0₦'!U$2:Z$2)</f>
        <v/>
      </c>
      <c r="BH114" s="79" t="n"/>
      <c r="BI114" s="79">
        <f>SUM(BG114:BH114)</f>
        <v/>
      </c>
      <c r="BJ114" s="79" t="n"/>
      <c r="BK114" s="79" t="n"/>
      <c r="BL114" s="79" t="n"/>
      <c r="BM114" s="79" t="n"/>
      <c r="BN114" s="79" t="n"/>
      <c r="BO114" s="79" t="n"/>
      <c r="BP114" s="79" t="n"/>
      <c r="BQ114" s="79" t="n"/>
      <c r="BR114" s="79" t="n"/>
      <c r="BS114" s="79" t="n"/>
      <c r="BT114" s="79" t="n"/>
      <c r="BU114" s="79" t="n"/>
      <c r="BV114" s="79" t="n"/>
      <c r="BW114" s="79" t="n"/>
      <c r="BX114" s="79" t="n"/>
      <c r="BY114" s="79" t="n"/>
      <c r="BZ114" s="79" t="n"/>
      <c r="CA114" s="79" t="n"/>
    </row>
    <row r="115" hidden="1" ht="18" customHeight="1" s="37">
      <c r="A115" s="551" t="n"/>
      <c r="B115" s="150" t="inlineStr">
        <is>
          <t>F</t>
        </is>
      </c>
      <c r="C115" s="550">
        <f>C114+1</f>
        <v/>
      </c>
      <c r="G115" s="216" t="n"/>
      <c r="H115" s="57" t="n"/>
      <c r="O115" s="216" t="n"/>
      <c r="X115" s="20" t="n"/>
      <c r="AF115" s="450" t="n"/>
      <c r="AN115" s="45" t="n"/>
      <c r="AP115" s="45" t="n"/>
      <c r="AQ115" s="12" t="n"/>
      <c r="AR115" s="216" t="n">
        <v>40</v>
      </c>
      <c r="AS115" s="216" t="n"/>
      <c r="AT115" s="216" t="n"/>
      <c r="AU115" s="216">
        <f>N115+O115 + 0</f>
        <v/>
      </c>
      <c r="AW115" s="2">
        <f>SUM(AH115:AI115,AJ115/2,AK115:AL115)</f>
        <v/>
      </c>
      <c r="AX115" s="2">
        <f>AM115*0.5+SUM(AN115:AP115)</f>
        <v/>
      </c>
      <c r="AY115" s="39">
        <f>SUM(-AR115+AS115*0.01+AT115*0.5+AU115)</f>
        <v/>
      </c>
      <c r="AZ115" s="39">
        <f>'0分'!AF112</f>
        <v/>
      </c>
      <c r="BA115" s="39">
        <f>SUM(AY115,AX115,AW115)</f>
        <v/>
      </c>
      <c r="BB115" s="250" t="n"/>
      <c r="BC115" s="79">
        <f t="array" ref="BC115">SUMPRODUCT(--(NOT(ISBLANK('0₦'!D115:M115))), '0₦'!D$2:M$2) +  SUMPRODUCT(--(NOT(ISBLANK('0₦'!Q115:T115))), '0₦'!Q$2:T$2)</f>
        <v/>
      </c>
      <c r="BD115" s="250">
        <f t="array" ref="BD115">SUMPRODUCT(--(NOT(ISBLANK('0₦'!N115:P115))),'0₦'!N$2:P$2)+'0₦'!AY115</f>
        <v/>
      </c>
      <c r="BE115" s="79">
        <f t="array" ref="BE115">SUMPRODUCT(--(NOT(ISBLANK('0₦'!AA115:AC115))),'0₦'!AA$2:AC$2) + BF115</f>
        <v/>
      </c>
      <c r="BF115" s="79" t="n"/>
      <c r="BG115" s="79">
        <f t="array" ref="BG115">SUMPRODUCT(--(NOT(ISBLANK('0₦'!U115:Z115))), '0₦'!U$2:Z$2)</f>
        <v/>
      </c>
      <c r="BH115" s="79" t="n"/>
      <c r="BI115" s="79">
        <f>SUM(BG115:BH115)</f>
        <v/>
      </c>
      <c r="BJ115" s="79" t="n"/>
      <c r="BK115" s="79" t="n"/>
      <c r="BL115" s="79" t="n"/>
      <c r="BM115" s="79" t="n"/>
      <c r="BN115" s="79" t="n"/>
      <c r="BO115" s="79" t="n"/>
      <c r="BP115" s="79" t="n"/>
      <c r="BQ115" s="79" t="n"/>
      <c r="BR115" s="79" t="n"/>
      <c r="BS115" s="79" t="n"/>
      <c r="BT115" s="79" t="n"/>
      <c r="BU115" s="79" t="n"/>
      <c r="BV115" s="79" t="n"/>
      <c r="BW115" s="79" t="n"/>
      <c r="BX115" s="79" t="n"/>
      <c r="BY115" s="79" t="n"/>
      <c r="BZ115" s="79" t="n"/>
      <c r="CA115" s="79" t="n"/>
    </row>
    <row r="116" hidden="1" ht="18" customHeight="1" s="37">
      <c r="A116" s="552" t="n"/>
      <c r="B116" s="150" t="inlineStr">
        <is>
          <t>S</t>
        </is>
      </c>
      <c r="C116" s="550">
        <f>C115+1</f>
        <v/>
      </c>
      <c r="E116" s="38" t="n"/>
      <c r="G116" s="216" t="n"/>
      <c r="H116" s="287" t="n"/>
      <c r="I116" s="38" t="n"/>
      <c r="J116" s="38" t="n"/>
      <c r="K116" s="38" t="n"/>
      <c r="O116" s="216" t="n"/>
      <c r="P116" s="38" t="n"/>
      <c r="X116" s="20" t="n"/>
      <c r="AF116" s="450" t="n"/>
      <c r="AN116" s="45" t="n"/>
      <c r="AP116" s="45" t="n"/>
      <c r="AQ116" s="12" t="n"/>
      <c r="AR116" s="216" t="n">
        <v>40</v>
      </c>
      <c r="AS116" s="216" t="n"/>
      <c r="AT116" s="216" t="n"/>
      <c r="AU116" s="216">
        <f>N116+O116 + 0</f>
        <v/>
      </c>
      <c r="AW116" s="2">
        <f>SUM(AH116:AI116,AJ116/2,AK116:AL116)</f>
        <v/>
      </c>
      <c r="AX116" s="2">
        <f>AM116*0.5+SUM(AN116:AP116)</f>
        <v/>
      </c>
      <c r="AY116" s="39">
        <f>SUM(-AR116+AS116*0.01+AT116*0.5+AU116)</f>
        <v/>
      </c>
      <c r="AZ116" s="39">
        <f>'0分'!AF113</f>
        <v/>
      </c>
      <c r="BA116" s="39">
        <f>SUM(AY116,AX116,AW116)</f>
        <v/>
      </c>
      <c r="BB116" s="250" t="n"/>
      <c r="BC116" s="79">
        <f t="array" ref="BC116">SUMPRODUCT(--(NOT(ISBLANK('0₦'!D116:M116))), '0₦'!D$2:M$2) +  SUMPRODUCT(--(NOT(ISBLANK('0₦'!Q116:T116))), '0₦'!Q$2:T$2)</f>
        <v/>
      </c>
      <c r="BD116" s="250">
        <f t="array" ref="BD116">SUMPRODUCT(--(NOT(ISBLANK('0₦'!N116:P116))),'0₦'!N$2:P$2)+'0₦'!AY116</f>
        <v/>
      </c>
      <c r="BE116" s="79">
        <f t="array" ref="BE116">SUMPRODUCT(--(NOT(ISBLANK('0₦'!AA116:AC116))),'0₦'!AA$2:AC$2) + BF116</f>
        <v/>
      </c>
      <c r="BF116" s="79" t="n"/>
      <c r="BG116" s="79">
        <f t="array" ref="BG116">SUMPRODUCT(--(NOT(ISBLANK('0₦'!U116:Z116))), '0₦'!U$2:Z$2)</f>
        <v/>
      </c>
      <c r="BH116" s="79" t="n"/>
      <c r="BI116" s="79">
        <f>SUM(BG116:BH116)</f>
        <v/>
      </c>
      <c r="BJ116" s="79" t="n"/>
      <c r="BK116" s="79" t="n"/>
      <c r="BL116" s="79" t="n"/>
      <c r="BM116" s="79" t="n"/>
      <c r="BN116" s="79" t="n"/>
      <c r="BO116" s="79" t="n"/>
      <c r="BP116" s="79" t="n"/>
      <c r="BQ116" s="79" t="n"/>
      <c r="BR116" s="79" t="n"/>
      <c r="BS116" s="79" t="n"/>
      <c r="BT116" s="79" t="n"/>
      <c r="BU116" s="79" t="n"/>
      <c r="BV116" s="79" t="n"/>
      <c r="BW116" s="79" t="n"/>
      <c r="BX116" s="79" t="n"/>
      <c r="BY116" s="79" t="n"/>
      <c r="BZ116" s="79" t="n"/>
      <c r="CA116" s="79" t="n"/>
    </row>
    <row r="117" hidden="1" ht="17.1" customHeight="1" s="37">
      <c r="A117" s="462">
        <f>A110+0.1</f>
        <v/>
      </c>
      <c r="B117" s="150" t="inlineStr">
        <is>
          <t>S</t>
        </is>
      </c>
      <c r="C117" s="550">
        <f>C116+1</f>
        <v/>
      </c>
      <c r="G117" s="216" t="n"/>
      <c r="H117" s="57" t="n"/>
      <c r="O117" s="216" t="n"/>
      <c r="X117" s="20" t="n"/>
      <c r="AF117" s="450" t="n"/>
      <c r="AN117" s="45" t="n"/>
      <c r="AP117" s="45" t="n"/>
      <c r="AQ117" s="12" t="n"/>
      <c r="AR117" s="216" t="n">
        <v>40</v>
      </c>
      <c r="AS117" s="216" t="n"/>
      <c r="AT117" s="216" t="n"/>
      <c r="AU117" s="216">
        <f>N117+O117 + 0</f>
        <v/>
      </c>
      <c r="AW117" s="2">
        <f>SUM(AH117:AI117,AJ117/2,AK117:AL117)</f>
        <v/>
      </c>
      <c r="AX117" s="2">
        <f>AM117*0.5+SUM(AN117:AP117)</f>
        <v/>
      </c>
      <c r="AY117" s="39">
        <f>SUM(-AR117+AS117*0.01+AT117*0.5+AU117)</f>
        <v/>
      </c>
      <c r="AZ117" s="39">
        <f>'0分'!AF114</f>
        <v/>
      </c>
      <c r="BA117" s="39">
        <f>SUM(AY117,AX117,AW117)</f>
        <v/>
      </c>
      <c r="BB117" s="250" t="n"/>
      <c r="BC117" s="79">
        <f t="array" ref="BC117">SUMPRODUCT(--(NOT(ISBLANK('0₦'!D117:M117))), '0₦'!D$2:M$2) +  SUMPRODUCT(--(NOT(ISBLANK('0₦'!Q117:T117))), '0₦'!Q$2:T$2)</f>
        <v/>
      </c>
      <c r="BD117" s="250">
        <f t="array" ref="BD117">SUMPRODUCT(--(NOT(ISBLANK('0₦'!N117:P117))),'0₦'!N$2:P$2)+'0₦'!AY117</f>
        <v/>
      </c>
      <c r="BE117" s="79">
        <f t="array" ref="BE117">SUMPRODUCT(--(NOT(ISBLANK('0₦'!AA117:AC117))),'0₦'!AA$2:AC$2) + BF117</f>
        <v/>
      </c>
      <c r="BF117" s="79" t="n"/>
      <c r="BG117" s="79">
        <f t="array" ref="BG117">SUMPRODUCT(--(NOT(ISBLANK('0₦'!U117:Z117))), '0₦'!U$2:Z$2)</f>
        <v/>
      </c>
      <c r="BH117" s="79" t="n"/>
      <c r="BI117" s="79">
        <f>SUM(BG117:BH117)</f>
        <v/>
      </c>
      <c r="BJ117" s="79" t="n"/>
      <c r="BK117" s="79" t="n"/>
      <c r="BL117" s="79" t="n"/>
      <c r="BM117" s="79" t="n"/>
      <c r="BN117" s="79" t="n"/>
      <c r="BO117" s="79" t="n"/>
      <c r="BP117" s="79" t="n"/>
      <c r="BQ117" s="79" t="n"/>
      <c r="BR117" s="79" t="n"/>
      <c r="BS117" s="79" t="n"/>
      <c r="BT117" s="79" t="n"/>
      <c r="BU117" s="79" t="n"/>
      <c r="BV117" s="79" t="n"/>
      <c r="BW117" s="79" t="n"/>
      <c r="BX117" s="79" t="n"/>
      <c r="BY117" s="79" t="n"/>
      <c r="BZ117" s="79" t="n"/>
      <c r="CA117" s="79" t="n"/>
    </row>
    <row r="118" hidden="1" ht="17.1" customHeight="1" s="37">
      <c r="A118" s="551" t="n"/>
      <c r="B118" s="150" t="inlineStr">
        <is>
          <t>M</t>
        </is>
      </c>
      <c r="C118" s="550">
        <f>C117+1</f>
        <v/>
      </c>
      <c r="G118" s="216" t="n"/>
      <c r="H118" s="57" t="n"/>
      <c r="O118" s="216" t="n"/>
      <c r="T118" s="38" t="n"/>
      <c r="X118" s="20" t="n"/>
      <c r="AF118" s="450" t="n"/>
      <c r="AN118" s="45" t="n"/>
      <c r="AP118" s="45" t="n"/>
      <c r="AQ118" s="12" t="n"/>
      <c r="AR118" s="216" t="n">
        <v>40</v>
      </c>
      <c r="AS118" s="216" t="n"/>
      <c r="AT118" s="216" t="n"/>
      <c r="AU118" s="216">
        <f>N118+O118 + 0</f>
        <v/>
      </c>
      <c r="AW118" s="2">
        <f>SUM(AH118:AI118,AJ118/2,AK118:AL118)</f>
        <v/>
      </c>
      <c r="AX118" s="2">
        <f>AM118*0.5+SUM(AN118:AP118)</f>
        <v/>
      </c>
      <c r="AY118" s="39">
        <f>SUM(-AR118+AS118*0.01+AT118*0.5+AU118)</f>
        <v/>
      </c>
      <c r="AZ118" s="39">
        <f>'0分'!AF115</f>
        <v/>
      </c>
      <c r="BA118" s="39">
        <f>SUM(AY118,AX118,AW118)</f>
        <v/>
      </c>
      <c r="BB118" s="250" t="n"/>
      <c r="BC118" s="79">
        <f t="array" ref="BC118">SUMPRODUCT(--(NOT(ISBLANK('0₦'!D118:M118))), '0₦'!D$2:M$2) +  SUMPRODUCT(--(NOT(ISBLANK('0₦'!Q118:T118))), '0₦'!Q$2:T$2)</f>
        <v/>
      </c>
      <c r="BD118" s="250">
        <f t="array" ref="BD118">SUMPRODUCT(--(NOT(ISBLANK('0₦'!N118:P118))),'0₦'!N$2:P$2)+'0₦'!AY118</f>
        <v/>
      </c>
      <c r="BE118" s="79">
        <f t="array" ref="BE118">SUMPRODUCT(--(NOT(ISBLANK('0₦'!AA118:AC118))),'0₦'!AA$2:AC$2) + BF118</f>
        <v/>
      </c>
      <c r="BF118" s="79" t="n"/>
      <c r="BG118" s="79">
        <f t="array" ref="BG118">SUMPRODUCT(--(NOT(ISBLANK('0₦'!U118:Z118))), '0₦'!U$2:Z$2)</f>
        <v/>
      </c>
      <c r="BH118" s="79" t="n"/>
      <c r="BI118" s="79">
        <f>SUM(BG118:BH118)</f>
        <v/>
      </c>
      <c r="BJ118" s="79" t="n"/>
      <c r="BK118" s="79" t="n"/>
      <c r="BL118" s="79" t="n"/>
      <c r="BM118" s="79" t="n"/>
      <c r="BN118" s="79" t="n"/>
      <c r="BO118" s="79" t="n"/>
      <c r="BP118" s="79" t="n"/>
      <c r="BQ118" s="79" t="n"/>
      <c r="BR118" s="79" t="n"/>
      <c r="BS118" s="79" t="n"/>
      <c r="BT118" s="79" t="n"/>
      <c r="BU118" s="79" t="n"/>
      <c r="BV118" s="79" t="n"/>
      <c r="BW118" s="79" t="n"/>
      <c r="BX118" s="79" t="n"/>
      <c r="BY118" s="79" t="n"/>
      <c r="BZ118" s="79" t="n"/>
      <c r="CA118" s="79" t="n"/>
    </row>
    <row r="119" hidden="1" ht="17.1" customHeight="1" s="37">
      <c r="A119" s="551" t="n"/>
      <c r="B119" s="150" t="inlineStr">
        <is>
          <t>T</t>
        </is>
      </c>
      <c r="C119" s="550">
        <f>C118+1</f>
        <v/>
      </c>
      <c r="G119" s="216" t="n"/>
      <c r="H119" s="57" t="n"/>
      <c r="O119" s="216" t="n"/>
      <c r="X119" s="20" t="n"/>
      <c r="AF119" s="450" t="n"/>
      <c r="AN119" s="45" t="n"/>
      <c r="AP119" s="45" t="n"/>
      <c r="AQ119" s="12" t="n"/>
      <c r="AR119" s="216" t="n">
        <v>40</v>
      </c>
      <c r="AS119" s="216" t="n"/>
      <c r="AT119" s="216" t="n"/>
      <c r="AU119" s="216">
        <f>N119+O119 + 0</f>
        <v/>
      </c>
      <c r="AW119" s="2">
        <f>SUM(AH119:AI119,AJ119/2,AK119:AL119)</f>
        <v/>
      </c>
      <c r="AX119" s="2">
        <f>AM119*0.5+SUM(AN119:AP119)</f>
        <v/>
      </c>
      <c r="AY119" s="39">
        <f>SUM(-AR119+AS119*0.01+AT119*0.5+AU119)</f>
        <v/>
      </c>
      <c r="AZ119" s="39">
        <f>'0分'!AF116</f>
        <v/>
      </c>
      <c r="BA119" s="39">
        <f>SUM(AY119,AX119,AW119)</f>
        <v/>
      </c>
      <c r="BB119" s="250" t="n"/>
      <c r="BC119" s="79">
        <f t="array" ref="BC119">SUMPRODUCT(--(NOT(ISBLANK('0₦'!D119:M119))), '0₦'!D$2:M$2) +  SUMPRODUCT(--(NOT(ISBLANK('0₦'!Q119:T119))), '0₦'!Q$2:T$2)</f>
        <v/>
      </c>
      <c r="BD119" s="250">
        <f t="array" ref="BD119">SUMPRODUCT(--(NOT(ISBLANK('0₦'!N119:P119))),'0₦'!N$2:P$2)+'0₦'!AY119</f>
        <v/>
      </c>
      <c r="BE119" s="79">
        <f t="array" ref="BE119">SUMPRODUCT(--(NOT(ISBLANK('0₦'!AA119:AC119))),'0₦'!AA$2:AC$2) + BF119</f>
        <v/>
      </c>
      <c r="BF119" s="79" t="n"/>
      <c r="BG119" s="79">
        <f t="array" ref="BG119">SUMPRODUCT(--(NOT(ISBLANK('0₦'!U119:Z119))), '0₦'!U$2:Z$2)</f>
        <v/>
      </c>
      <c r="BH119" s="79" t="n"/>
      <c r="BI119" s="79">
        <f>SUM(BG119:BH119)</f>
        <v/>
      </c>
      <c r="BJ119" s="79" t="n"/>
      <c r="BK119" s="79" t="n"/>
      <c r="BL119" s="79" t="n"/>
      <c r="BM119" s="79" t="n"/>
      <c r="BN119" s="79" t="n"/>
      <c r="BO119" s="79" t="n"/>
      <c r="BP119" s="79" t="n"/>
      <c r="BQ119" s="79" t="n"/>
      <c r="BR119" s="79" t="n"/>
      <c r="BS119" s="79" t="n"/>
      <c r="BT119" s="79" t="n"/>
      <c r="BU119" s="79" t="n"/>
      <c r="BV119" s="79" t="n"/>
      <c r="BW119" s="79" t="n"/>
      <c r="BX119" s="79" t="n"/>
      <c r="BY119" s="79" t="n"/>
      <c r="BZ119" s="79" t="n"/>
      <c r="CA119" s="79" t="n"/>
    </row>
    <row r="120" hidden="1" ht="18" customHeight="1" s="37">
      <c r="A120" s="551" t="n"/>
      <c r="B120" s="150" t="inlineStr">
        <is>
          <t>W</t>
        </is>
      </c>
      <c r="C120" s="550">
        <f>C119+1</f>
        <v/>
      </c>
      <c r="G120" s="216" t="n"/>
      <c r="H120" s="57" t="n"/>
      <c r="L120" s="38" t="n"/>
      <c r="O120" s="216" t="n"/>
      <c r="X120" s="20" t="n"/>
      <c r="AF120" s="450" t="n"/>
      <c r="AN120" s="45" t="n"/>
      <c r="AP120" s="45" t="n"/>
      <c r="AQ120" s="12" t="n"/>
      <c r="AR120" s="216" t="n">
        <v>40</v>
      </c>
      <c r="AS120" s="216" t="n"/>
      <c r="AT120" s="216" t="n"/>
      <c r="AU120" s="216">
        <f>N120+O120 + 0</f>
        <v/>
      </c>
      <c r="AW120" s="2">
        <f>SUM(AH120:AI120,AJ120/2,AK120:AL120)</f>
        <v/>
      </c>
      <c r="AX120" s="2">
        <f>AM120*0.5+SUM(AN120:AP120)</f>
        <v/>
      </c>
      <c r="AY120" s="39">
        <f>SUM(-AR120+AS120*0.01+AT120*0.5+AU120)</f>
        <v/>
      </c>
      <c r="AZ120" s="39">
        <f>'0分'!AF117</f>
        <v/>
      </c>
      <c r="BA120" s="39">
        <f>SUM(AY120,AX120,AW120)</f>
        <v/>
      </c>
      <c r="BB120" s="250" t="n"/>
      <c r="BC120" s="79">
        <f t="array" ref="BC120">SUMPRODUCT(--(NOT(ISBLANK('0₦'!D120:M120))), '0₦'!D$2:M$2) +  SUMPRODUCT(--(NOT(ISBLANK('0₦'!Q120:T120))), '0₦'!Q$2:T$2)</f>
        <v/>
      </c>
      <c r="BD120" s="250">
        <f t="array" ref="BD120">SUMPRODUCT(--(NOT(ISBLANK('0₦'!N120:P120))),'0₦'!N$2:P$2)+'0₦'!AY120</f>
        <v/>
      </c>
      <c r="BE120" s="79">
        <f t="array" ref="BE120">SUMPRODUCT(--(NOT(ISBLANK('0₦'!AA120:AC120))),'0₦'!AA$2:AC$2) + BF120</f>
        <v/>
      </c>
      <c r="BF120" s="79" t="n"/>
      <c r="BG120" s="79">
        <f t="array" ref="BG120">SUMPRODUCT(--(NOT(ISBLANK('0₦'!U120:Z120))), '0₦'!U$2:Z$2)</f>
        <v/>
      </c>
      <c r="BH120" s="79" t="n"/>
      <c r="BI120" s="79">
        <f>SUM(BG120:BH120)</f>
        <v/>
      </c>
      <c r="BJ120" s="79" t="n"/>
      <c r="BK120" s="79" t="n"/>
      <c r="BL120" s="79" t="n"/>
      <c r="BM120" s="79" t="n"/>
      <c r="BN120" s="79" t="n"/>
      <c r="BO120" s="79" t="n"/>
      <c r="BP120" s="79" t="n"/>
      <c r="BQ120" s="79" t="n"/>
      <c r="BR120" s="79" t="n"/>
      <c r="BS120" s="79" t="n"/>
      <c r="BT120" s="79" t="n"/>
      <c r="BU120" s="79" t="n"/>
      <c r="BV120" s="79" t="n"/>
      <c r="BW120" s="79" t="n"/>
      <c r="BX120" s="79" t="n"/>
      <c r="BY120" s="79" t="n"/>
      <c r="BZ120" s="79" t="n"/>
      <c r="CA120" s="79" t="n"/>
    </row>
    <row r="121" hidden="1" ht="17.1" customHeight="1" s="37">
      <c r="A121" s="551" t="n"/>
      <c r="B121" s="150" t="inlineStr">
        <is>
          <t>Th</t>
        </is>
      </c>
      <c r="C121" s="550">
        <f>C120+1</f>
        <v/>
      </c>
      <c r="G121" s="216" t="n"/>
      <c r="H121" s="57" t="n"/>
      <c r="O121" s="216" t="n"/>
      <c r="Q121" s="38" t="n"/>
      <c r="X121" s="20" t="n"/>
      <c r="AF121" s="450" t="n"/>
      <c r="AN121" s="45" t="n"/>
      <c r="AP121" s="45" t="n"/>
      <c r="AQ121" s="12" t="n"/>
      <c r="AR121" s="216" t="n">
        <v>40</v>
      </c>
      <c r="AS121" s="216" t="n"/>
      <c r="AT121" s="216" t="n"/>
      <c r="AU121" s="216">
        <f>N121+O121 + 0</f>
        <v/>
      </c>
      <c r="AW121" s="2">
        <f>SUM(AH121:AI121,AJ121/2,AK121:AL121)</f>
        <v/>
      </c>
      <c r="AX121" s="2">
        <f>AM121*0.5+SUM(AN121:AP121)</f>
        <v/>
      </c>
      <c r="AY121" s="39">
        <f>SUM(-AR121+AS121*0.01+AT121*0.5+AU121)</f>
        <v/>
      </c>
      <c r="AZ121" s="39">
        <f>'0分'!AF118</f>
        <v/>
      </c>
      <c r="BA121" s="39">
        <f>SUM(AY121,AX121,AW121)</f>
        <v/>
      </c>
      <c r="BB121" s="250" t="n"/>
      <c r="BC121" s="79">
        <f t="array" ref="BC121">SUMPRODUCT(--(NOT(ISBLANK('0₦'!D121:M121))), '0₦'!D$2:M$2) +  SUMPRODUCT(--(NOT(ISBLANK('0₦'!Q121:T121))), '0₦'!Q$2:T$2)</f>
        <v/>
      </c>
      <c r="BD121" s="250">
        <f t="array" ref="BD121">SUMPRODUCT(--(NOT(ISBLANK('0₦'!N121:P121))),'0₦'!N$2:P$2)+'0₦'!AY121</f>
        <v/>
      </c>
      <c r="BE121" s="79">
        <f t="array" ref="BE121">SUMPRODUCT(--(NOT(ISBLANK('0₦'!AA121:AC121))),'0₦'!AA$2:AC$2) + BF121</f>
        <v/>
      </c>
      <c r="BF121" s="79" t="n"/>
      <c r="BG121" s="79">
        <f t="array" ref="BG121">SUMPRODUCT(--(NOT(ISBLANK('0₦'!U121:Z121))), '0₦'!U$2:Z$2)</f>
        <v/>
      </c>
      <c r="BH121" s="79" t="n"/>
      <c r="BI121" s="79">
        <f>SUM(BG121:BH121)</f>
        <v/>
      </c>
      <c r="BJ121" s="79" t="n"/>
      <c r="BK121" s="79" t="n"/>
      <c r="BL121" s="79" t="n"/>
      <c r="BM121" s="79" t="n"/>
      <c r="BN121" s="79" t="n"/>
      <c r="BO121" s="79" t="n"/>
      <c r="BP121" s="79" t="n"/>
      <c r="BQ121" s="79" t="n"/>
      <c r="BR121" s="79" t="n"/>
      <c r="BS121" s="79" t="n"/>
      <c r="BT121" s="79" t="n"/>
      <c r="BU121" s="79" t="n"/>
      <c r="BV121" s="79" t="n"/>
      <c r="BW121" s="79" t="n"/>
      <c r="BX121" s="79" t="n"/>
      <c r="BY121" s="79" t="n"/>
      <c r="BZ121" s="79" t="n"/>
      <c r="CA121" s="79" t="n"/>
    </row>
    <row r="122" hidden="1" ht="17.1" customHeight="1" s="37">
      <c r="A122" s="551" t="n"/>
      <c r="B122" s="150" t="inlineStr">
        <is>
          <t>F</t>
        </is>
      </c>
      <c r="C122" s="550">
        <f>C121+1</f>
        <v/>
      </c>
      <c r="G122" s="216" t="n"/>
      <c r="H122" s="57" t="n"/>
      <c r="O122" s="216" t="n"/>
      <c r="X122" s="20" t="n"/>
      <c r="AF122" s="450" t="n"/>
      <c r="AN122" s="45" t="n"/>
      <c r="AP122" s="45" t="n"/>
      <c r="AQ122" s="12" t="n"/>
      <c r="AR122" s="216" t="n">
        <v>40</v>
      </c>
      <c r="AS122" s="216" t="n"/>
      <c r="AT122" s="216" t="n"/>
      <c r="AU122" s="216">
        <f>N122+O122 + 0</f>
        <v/>
      </c>
      <c r="AW122" s="2">
        <f>SUM(AH122:AI122,AJ122/2,AK122:AL122)</f>
        <v/>
      </c>
      <c r="AX122" s="2">
        <f>AM122*0.5+SUM(AN122:AP122)</f>
        <v/>
      </c>
      <c r="AY122" s="39">
        <f>SUM(-AR122+AS122*0.01+AT122*0.5+AU122)</f>
        <v/>
      </c>
      <c r="AZ122" s="39">
        <f>'0分'!AF119</f>
        <v/>
      </c>
      <c r="BA122" s="39">
        <f>SUM(AY122,AX122,AW122)</f>
        <v/>
      </c>
      <c r="BB122" s="250" t="n"/>
      <c r="BC122" s="79">
        <f t="array" ref="BC122">SUMPRODUCT(--(NOT(ISBLANK('0₦'!D122:M122))), '0₦'!D$2:M$2) +  SUMPRODUCT(--(NOT(ISBLANK('0₦'!Q122:T122))), '0₦'!Q$2:T$2)</f>
        <v/>
      </c>
      <c r="BD122" s="250">
        <f t="array" ref="BD122">SUMPRODUCT(--(NOT(ISBLANK('0₦'!N122:P122))),'0₦'!N$2:P$2)+'0₦'!AY122</f>
        <v/>
      </c>
      <c r="BE122" s="79">
        <f t="array" ref="BE122">SUMPRODUCT(--(NOT(ISBLANK('0₦'!AA122:AC122))),'0₦'!AA$2:AC$2) + BF122</f>
        <v/>
      </c>
      <c r="BF122" s="79" t="n"/>
      <c r="BG122" s="79">
        <f t="array" ref="BG122">SUMPRODUCT(--(NOT(ISBLANK('0₦'!U122:Z122))), '0₦'!U$2:Z$2)</f>
        <v/>
      </c>
      <c r="BH122" s="79" t="n"/>
      <c r="BI122" s="79">
        <f>SUM(BG122:BH122)</f>
        <v/>
      </c>
      <c r="BJ122" s="79" t="n"/>
      <c r="BK122" s="79" t="n"/>
      <c r="BL122" s="79" t="n"/>
      <c r="BM122" s="79" t="n"/>
      <c r="BN122" s="79" t="n"/>
      <c r="BO122" s="79" t="n"/>
      <c r="BP122" s="79" t="n"/>
      <c r="BQ122" s="79" t="n"/>
      <c r="BR122" s="79" t="n"/>
      <c r="BS122" s="79" t="n"/>
      <c r="BT122" s="79" t="n"/>
      <c r="BU122" s="79" t="n"/>
      <c r="BV122" s="79" t="n"/>
      <c r="BW122" s="79" t="n"/>
      <c r="BX122" s="79" t="n"/>
      <c r="BY122" s="79" t="n"/>
      <c r="BZ122" s="79" t="n"/>
      <c r="CA122" s="79" t="n"/>
    </row>
    <row r="123" hidden="1" ht="17.1" customHeight="1" s="37">
      <c r="A123" s="552" t="n"/>
      <c r="B123" s="150" t="inlineStr">
        <is>
          <t>S</t>
        </is>
      </c>
      <c r="C123" s="550">
        <f>C122+1</f>
        <v/>
      </c>
      <c r="G123" s="216" t="n"/>
      <c r="H123" s="57" t="n"/>
      <c r="O123" s="216" t="n"/>
      <c r="X123" s="20" t="n"/>
      <c r="AF123" s="450" t="n"/>
      <c r="AN123" s="45" t="n"/>
      <c r="AP123" s="45" t="n"/>
      <c r="AQ123" s="12" t="n"/>
      <c r="AR123" s="216" t="n">
        <v>40</v>
      </c>
      <c r="AS123" s="216" t="n"/>
      <c r="AT123" s="216" t="n"/>
      <c r="AU123" s="216">
        <f>N123+O123 + 0</f>
        <v/>
      </c>
      <c r="AW123" s="2">
        <f>SUM(AH123:AI123,AJ123/2,AK123:AL123)</f>
        <v/>
      </c>
      <c r="AX123" s="2">
        <f>AM123*0.5+SUM(AN123:AP123)</f>
        <v/>
      </c>
      <c r="AY123" s="39">
        <f>SUM(-AR123+AS123*0.01+AT123*0.5+AU123)</f>
        <v/>
      </c>
      <c r="AZ123" s="39">
        <f>'0分'!AF120</f>
        <v/>
      </c>
      <c r="BA123" s="39">
        <f>SUM(AY123,AX123,AW123)</f>
        <v/>
      </c>
      <c r="BB123" s="250" t="n"/>
      <c r="BC123" s="79">
        <f t="array" ref="BC123">SUMPRODUCT(--(NOT(ISBLANK('0₦'!D123:M123))), '0₦'!D$2:M$2) +  SUMPRODUCT(--(NOT(ISBLANK('0₦'!Q123:T123))), '0₦'!Q$2:T$2)</f>
        <v/>
      </c>
      <c r="BD123" s="250">
        <f t="array" ref="BD123">SUMPRODUCT(--(NOT(ISBLANK('0₦'!N123:P123))),'0₦'!N$2:P$2)+'0₦'!AY123</f>
        <v/>
      </c>
      <c r="BE123" s="79">
        <f t="array" ref="BE123">SUMPRODUCT(--(NOT(ISBLANK('0₦'!AA123:AC123))),'0₦'!AA$2:AC$2) + BF123</f>
        <v/>
      </c>
      <c r="BF123" s="79" t="n"/>
      <c r="BG123" s="79">
        <f t="array" ref="BG123">SUMPRODUCT(--(NOT(ISBLANK('0₦'!U123:Z123))), '0₦'!U$2:Z$2)</f>
        <v/>
      </c>
      <c r="BH123" s="79" t="n"/>
      <c r="BI123" s="79">
        <f>SUM(BG123:BH123)</f>
        <v/>
      </c>
      <c r="BJ123" s="79" t="n"/>
      <c r="BK123" s="79" t="n"/>
      <c r="BL123" s="79" t="n"/>
      <c r="BM123" s="79" t="n"/>
      <c r="BN123" s="79" t="n"/>
      <c r="BO123" s="79" t="n"/>
      <c r="BP123" s="79" t="n"/>
      <c r="BQ123" s="79" t="n"/>
      <c r="BR123" s="79" t="n"/>
      <c r="BS123" s="79" t="n"/>
      <c r="BT123" s="79" t="n"/>
      <c r="BU123" s="79" t="n"/>
      <c r="BV123" s="79" t="n"/>
      <c r="BW123" s="79" t="n"/>
      <c r="BX123" s="79" t="n"/>
      <c r="BY123" s="79" t="n"/>
      <c r="BZ123" s="79" t="n"/>
      <c r="CA123" s="79" t="n"/>
    </row>
    <row r="124" hidden="1" s="37">
      <c r="A124" s="462">
        <f>A96+1</f>
        <v/>
      </c>
      <c r="B124" s="150" t="inlineStr">
        <is>
          <t>S</t>
        </is>
      </c>
      <c r="C124" s="550">
        <f>C123+1</f>
        <v/>
      </c>
      <c r="G124" s="216" t="n"/>
      <c r="H124" s="57" t="n"/>
      <c r="O124" s="216" t="n"/>
      <c r="X124" s="20" t="n"/>
      <c r="AF124" s="450" t="n"/>
      <c r="AN124" s="45" t="n"/>
      <c r="AP124" s="45" t="n"/>
      <c r="AQ124" s="12" t="n"/>
      <c r="AR124" s="216" t="n">
        <v>40</v>
      </c>
      <c r="AS124" s="216" t="n"/>
      <c r="AT124" s="216" t="n"/>
      <c r="AU124" s="216">
        <f>N124+O124 + 0</f>
        <v/>
      </c>
      <c r="AW124" s="2">
        <f>SUM(AH124:AI124,AJ124/2,AK124:AL124)</f>
        <v/>
      </c>
      <c r="AX124" s="2">
        <f>AM124*0.5+SUM(AN124:AP124)</f>
        <v/>
      </c>
      <c r="AY124" s="39">
        <f>SUM(-AR124+AS124*0.01+AT124*0.5+AU124)</f>
        <v/>
      </c>
      <c r="AZ124" s="39">
        <f>'0分'!AF121</f>
        <v/>
      </c>
      <c r="BA124" s="39">
        <f>SUM(AY124,AX124,AW124)</f>
        <v/>
      </c>
      <c r="BB124" s="250" t="n"/>
      <c r="BC124" s="79">
        <f t="array" ref="BC124">SUMPRODUCT(--(NOT(ISBLANK('0₦'!D124:M124))), '0₦'!D$2:M$2) +  SUMPRODUCT(--(NOT(ISBLANK('0₦'!Q124:T124))), '0₦'!Q$2:T$2)</f>
        <v/>
      </c>
      <c r="BD124" s="250">
        <f t="array" ref="BD124">SUMPRODUCT(--(NOT(ISBLANK('0₦'!N124:P124))),'0₦'!N$2:P$2)+'0₦'!AY124</f>
        <v/>
      </c>
      <c r="BE124" s="79">
        <f t="array" ref="BE124">SUMPRODUCT(--(NOT(ISBLANK('0₦'!AA124:AC124))),'0₦'!AA$2:AC$2) + BF124</f>
        <v/>
      </c>
      <c r="BF124" s="79" t="n"/>
      <c r="BG124" s="79">
        <f t="array" ref="BG124">SUMPRODUCT(--(NOT(ISBLANK('0₦'!U124:Z124))), '0₦'!U$2:Z$2)</f>
        <v/>
      </c>
      <c r="BH124" s="79" t="n"/>
      <c r="BI124" s="79">
        <f>SUM(BG124:BH124)</f>
        <v/>
      </c>
      <c r="BJ124" s="79" t="n"/>
      <c r="BK124" s="79" t="n"/>
      <c r="BL124" s="79" t="n"/>
      <c r="BM124" s="79" t="n"/>
      <c r="BN124" s="79" t="n"/>
      <c r="BO124" s="79" t="n"/>
      <c r="BP124" s="79" t="n"/>
      <c r="BQ124" s="79" t="n"/>
      <c r="BR124" s="79" t="n"/>
      <c r="BS124" s="79" t="n"/>
      <c r="BT124" s="79" t="n"/>
      <c r="BU124" s="79" t="n"/>
      <c r="BV124" s="79" t="n"/>
      <c r="BW124" s="79" t="n"/>
      <c r="BX124" s="79" t="n"/>
      <c r="BY124" s="79" t="n"/>
      <c r="BZ124" s="79" t="n"/>
      <c r="CA124" s="79" t="n"/>
    </row>
    <row r="125" hidden="1" ht="15.95" customHeight="1" s="37">
      <c r="A125" s="551" t="n"/>
      <c r="B125" s="150" t="inlineStr">
        <is>
          <t>M</t>
        </is>
      </c>
      <c r="C125" s="550">
        <f>C124+1</f>
        <v/>
      </c>
      <c r="G125" s="216" t="n"/>
      <c r="H125" s="57" t="n"/>
      <c r="O125" s="216" t="n"/>
      <c r="X125" s="20" t="n"/>
      <c r="AF125" s="450" t="n"/>
      <c r="AN125" s="45" t="n"/>
      <c r="AP125" s="45" t="n"/>
      <c r="AQ125" s="12" t="n"/>
      <c r="AR125" s="216" t="n">
        <v>40</v>
      </c>
      <c r="AS125" s="216" t="n"/>
      <c r="AT125" s="216" t="n"/>
      <c r="AU125" s="216">
        <f>N125+O125 + 0</f>
        <v/>
      </c>
      <c r="AW125" s="2">
        <f>SUM(AH125:AI125,AJ125/2,AK125:AL125)</f>
        <v/>
      </c>
      <c r="AX125" s="2">
        <f>AM125*0.5+SUM(AN125:AP125)</f>
        <v/>
      </c>
      <c r="AY125" s="39">
        <f>SUM(-AR125+AS125*0.01+AT125*0.5+AU125)</f>
        <v/>
      </c>
      <c r="AZ125" s="39">
        <f>'0分'!AF122</f>
        <v/>
      </c>
      <c r="BA125" s="39">
        <f>SUM(AY125,AX125,AW125)</f>
        <v/>
      </c>
      <c r="BB125" s="250" t="n"/>
      <c r="BC125" s="79">
        <f t="array" ref="BC125">SUMPRODUCT(--(NOT(ISBLANK('0₦'!D125:M125))), '0₦'!D$2:M$2) +  SUMPRODUCT(--(NOT(ISBLANK('0₦'!Q125:T125))), '0₦'!Q$2:T$2)</f>
        <v/>
      </c>
      <c r="BD125" s="250">
        <f t="array" ref="BD125">SUMPRODUCT(--(NOT(ISBLANK('0₦'!N125:P125))),'0₦'!N$2:P$2)+'0₦'!AY125</f>
        <v/>
      </c>
      <c r="BE125" s="79">
        <f t="array" ref="BE125">SUMPRODUCT(--(NOT(ISBLANK('0₦'!AA125:AC125))),'0₦'!AA$2:AC$2) + BF125</f>
        <v/>
      </c>
      <c r="BF125" s="79" t="n"/>
      <c r="BG125" s="79">
        <f t="array" ref="BG125">SUMPRODUCT(--(NOT(ISBLANK('0₦'!U125:Z125))), '0₦'!U$2:Z$2)</f>
        <v/>
      </c>
      <c r="BH125" s="79" t="n"/>
      <c r="BI125" s="79">
        <f>SUM(BG125:BH125)</f>
        <v/>
      </c>
      <c r="BJ125" s="79" t="n"/>
      <c r="BK125" s="79" t="n"/>
      <c r="BL125" s="79" t="n"/>
      <c r="BM125" s="79" t="n"/>
      <c r="BN125" s="79" t="n"/>
      <c r="BO125" s="79" t="n"/>
      <c r="BP125" s="79" t="n"/>
      <c r="BQ125" s="79" t="n"/>
      <c r="BR125" s="79" t="n"/>
      <c r="BS125" s="79" t="n"/>
      <c r="BT125" s="79" t="n"/>
      <c r="BU125" s="79" t="n"/>
      <c r="BV125" s="79" t="n"/>
      <c r="BW125" s="79" t="n"/>
      <c r="BX125" s="79" t="n"/>
      <c r="BY125" s="79" t="n"/>
      <c r="BZ125" s="79" t="n"/>
      <c r="CA125" s="79" t="n"/>
    </row>
    <row r="126" hidden="1" ht="17.1" customHeight="1" s="37">
      <c r="A126" s="551" t="n"/>
      <c r="B126" s="150" t="inlineStr">
        <is>
          <t>T</t>
        </is>
      </c>
      <c r="C126" s="550">
        <f>C125+1</f>
        <v/>
      </c>
      <c r="G126" s="216" t="n"/>
      <c r="H126" s="57" t="n"/>
      <c r="O126" s="216" t="n"/>
      <c r="X126" s="20" t="n"/>
      <c r="AF126" s="450" t="n"/>
      <c r="AN126" s="45" t="n"/>
      <c r="AP126" s="45" t="n"/>
      <c r="AQ126" s="12" t="n"/>
      <c r="AR126" s="216" t="n">
        <v>40</v>
      </c>
      <c r="AS126" s="216" t="n"/>
      <c r="AT126" s="216" t="n"/>
      <c r="AU126" s="216">
        <f>N126+O126 + 0</f>
        <v/>
      </c>
      <c r="AW126" s="2">
        <f>SUM(AH126:AI126,AJ126/2,AK126:AL126)</f>
        <v/>
      </c>
      <c r="AX126" s="2">
        <f>AM126*0.5+SUM(AN126:AP126)</f>
        <v/>
      </c>
      <c r="AY126" s="39">
        <f>SUM(-AR126+AS126*0.01+AT126*0.5+AU126)</f>
        <v/>
      </c>
      <c r="AZ126" s="39">
        <f>'0分'!AF123</f>
        <v/>
      </c>
      <c r="BA126" s="39">
        <f>SUM(AY126,AX126,AW126)</f>
        <v/>
      </c>
      <c r="BB126" s="250" t="n"/>
      <c r="BC126" s="79">
        <f t="array" ref="BC126">SUMPRODUCT(--(NOT(ISBLANK('0₦'!D126:M126))), '0₦'!D$2:M$2) +  SUMPRODUCT(--(NOT(ISBLANK('0₦'!Q126:T126))), '0₦'!Q$2:T$2)</f>
        <v/>
      </c>
      <c r="BD126" s="250">
        <f t="array" ref="BD126">SUMPRODUCT(--(NOT(ISBLANK('0₦'!N126:P126))),'0₦'!N$2:P$2)+'0₦'!AY126</f>
        <v/>
      </c>
      <c r="BE126" s="79">
        <f t="array" ref="BE126">SUMPRODUCT(--(NOT(ISBLANK('0₦'!AA126:AC126))),'0₦'!AA$2:AC$2) + BF126</f>
        <v/>
      </c>
      <c r="BF126" s="79" t="n"/>
      <c r="BG126" s="79">
        <f t="array" ref="BG126">SUMPRODUCT(--(NOT(ISBLANK('0₦'!U126:Z126))), '0₦'!U$2:Z$2)</f>
        <v/>
      </c>
      <c r="BH126" s="79" t="n"/>
      <c r="BI126" s="79">
        <f>SUM(BG126:BH126)</f>
        <v/>
      </c>
      <c r="BJ126" s="79" t="n"/>
      <c r="BK126" s="79" t="n"/>
      <c r="BL126" s="79" t="n"/>
      <c r="BM126" s="79" t="n"/>
      <c r="BN126" s="79" t="n"/>
      <c r="BO126" s="79" t="n"/>
      <c r="BP126" s="79" t="n"/>
      <c r="BQ126" s="79" t="n"/>
      <c r="BR126" s="79" t="n"/>
      <c r="BS126" s="79" t="n"/>
      <c r="BT126" s="79" t="n"/>
      <c r="BU126" s="79" t="n"/>
      <c r="BV126" s="79" t="n"/>
      <c r="BW126" s="79" t="n"/>
      <c r="BX126" s="79" t="n"/>
      <c r="BY126" s="79" t="n"/>
      <c r="BZ126" s="79" t="n"/>
      <c r="CA126" s="79" t="n"/>
    </row>
    <row r="127" hidden="1" s="37">
      <c r="A127" s="551" t="n"/>
      <c r="B127" s="150" t="inlineStr">
        <is>
          <t>W</t>
        </is>
      </c>
      <c r="C127" s="550">
        <f>C126+1</f>
        <v/>
      </c>
      <c r="G127" s="216" t="n"/>
      <c r="H127" s="57" t="n"/>
      <c r="O127" s="216" t="n"/>
      <c r="X127" s="20" t="n"/>
      <c r="AF127" s="450" t="n"/>
      <c r="AN127" s="45" t="n"/>
      <c r="AP127" s="45" t="n"/>
      <c r="AQ127" s="12" t="n"/>
      <c r="AR127" s="216" t="n">
        <v>40</v>
      </c>
      <c r="AS127" s="216" t="n"/>
      <c r="AT127" s="216" t="n"/>
      <c r="AU127" s="216">
        <f>N127+O127 + 0</f>
        <v/>
      </c>
      <c r="AW127" s="2">
        <f>SUM(AH127:AI127,AJ127/2,AK127:AL127)</f>
        <v/>
      </c>
      <c r="AX127" s="2">
        <f>AM127*0.5+SUM(AN127:AP127)</f>
        <v/>
      </c>
      <c r="AY127" s="39">
        <f>SUM(-AR127+AS127*0.01+AT127*0.5+AU127)</f>
        <v/>
      </c>
      <c r="AZ127" s="39">
        <f>'0分'!AF124</f>
        <v/>
      </c>
      <c r="BA127" s="39">
        <f>SUM(AY127,AX127,AW127)</f>
        <v/>
      </c>
      <c r="BB127" s="250" t="n"/>
      <c r="BC127" s="79">
        <f t="array" ref="BC127">SUMPRODUCT(--(NOT(ISBLANK('0₦'!D127:M127))), '0₦'!D$2:M$2) +  SUMPRODUCT(--(NOT(ISBLANK('0₦'!Q127:T127))), '0₦'!Q$2:T$2)</f>
        <v/>
      </c>
      <c r="BD127" s="250">
        <f t="array" ref="BD127">SUMPRODUCT(--(NOT(ISBLANK('0₦'!N127:P127))),'0₦'!N$2:P$2)+'0₦'!AY127</f>
        <v/>
      </c>
      <c r="BE127" s="79">
        <f t="array" ref="BE127">SUMPRODUCT(--(NOT(ISBLANK('0₦'!AA127:AC127))),'0₦'!AA$2:AC$2) + BF127</f>
        <v/>
      </c>
      <c r="BF127" s="79" t="n"/>
      <c r="BG127" s="79">
        <f t="array" ref="BG127">SUMPRODUCT(--(NOT(ISBLANK('0₦'!U127:Z127))), '0₦'!U$2:Z$2)</f>
        <v/>
      </c>
      <c r="BH127" s="79" t="n"/>
      <c r="BI127" s="79">
        <f>SUM(BG127:BH127)</f>
        <v/>
      </c>
      <c r="BJ127" s="79" t="n"/>
      <c r="BK127" s="79" t="n"/>
      <c r="BL127" s="79" t="n"/>
      <c r="BM127" s="79" t="n"/>
      <c r="BN127" s="79" t="n"/>
      <c r="BO127" s="79" t="n"/>
      <c r="BP127" s="79" t="n"/>
      <c r="BQ127" s="79" t="n"/>
      <c r="BR127" s="79" t="n"/>
      <c r="BS127" s="79" t="n"/>
      <c r="BT127" s="79" t="n"/>
      <c r="BU127" s="79" t="n"/>
      <c r="BV127" s="79" t="n"/>
      <c r="BW127" s="79" t="n"/>
      <c r="BX127" s="79" t="n"/>
      <c r="BY127" s="79" t="n"/>
      <c r="BZ127" s="79" t="n"/>
      <c r="CA127" s="79" t="n"/>
    </row>
    <row r="128" hidden="1" s="37">
      <c r="A128" s="551" t="n"/>
      <c r="B128" s="150" t="inlineStr">
        <is>
          <t>Th</t>
        </is>
      </c>
      <c r="C128" s="550">
        <f>C127+1</f>
        <v/>
      </c>
      <c r="G128" s="216" t="n"/>
      <c r="H128" s="57" t="n"/>
      <c r="O128" s="216" t="n"/>
      <c r="T128" s="38" t="n"/>
      <c r="X128" s="20" t="n"/>
      <c r="AF128" s="450" t="n"/>
      <c r="AN128" s="45" t="n"/>
      <c r="AP128" s="45" t="n"/>
      <c r="AQ128" s="12" t="n"/>
      <c r="AR128" s="216" t="n">
        <v>40</v>
      </c>
      <c r="AS128" s="216" t="n"/>
      <c r="AT128" s="216" t="n"/>
      <c r="AU128" s="216">
        <f>N128+O128 + 0</f>
        <v/>
      </c>
      <c r="AW128" s="2">
        <f>SUM(AH128:AI128,AJ128/2,AK128:AL128)</f>
        <v/>
      </c>
      <c r="AX128" s="2">
        <f>AM128*0.5+SUM(AN128:AP128)</f>
        <v/>
      </c>
      <c r="AY128" s="39">
        <f>SUM(-AR128+AS128*0.01+AT128*0.5+AU128)</f>
        <v/>
      </c>
      <c r="AZ128" s="39">
        <f>'0分'!AF125</f>
        <v/>
      </c>
      <c r="BA128" s="39">
        <f>SUM(AY128,AX128,AW128)</f>
        <v/>
      </c>
      <c r="BB128" s="250" t="n"/>
      <c r="BC128" s="79">
        <f t="array" ref="BC128">SUMPRODUCT(--(NOT(ISBLANK('0₦'!D128:M128))), '0₦'!D$2:M$2) +  SUMPRODUCT(--(NOT(ISBLANK('0₦'!Q128:T128))), '0₦'!Q$2:T$2)</f>
        <v/>
      </c>
      <c r="BD128" s="250">
        <f t="array" ref="BD128">SUMPRODUCT(--(NOT(ISBLANK('0₦'!N128:P128))),'0₦'!N$2:P$2)+'0₦'!AY128</f>
        <v/>
      </c>
      <c r="BE128" s="79">
        <f t="array" ref="BE128">SUMPRODUCT(--(NOT(ISBLANK('0₦'!AA128:AC128))),'0₦'!AA$2:AC$2) + BF128</f>
        <v/>
      </c>
      <c r="BF128" s="79" t="n"/>
      <c r="BG128" s="79">
        <f t="array" ref="BG128">SUMPRODUCT(--(NOT(ISBLANK('0₦'!U128:Z128))), '0₦'!U$2:Z$2)</f>
        <v/>
      </c>
      <c r="BH128" s="79" t="n"/>
      <c r="BI128" s="79">
        <f>SUM(BG128:BH128)</f>
        <v/>
      </c>
      <c r="BJ128" s="79" t="n"/>
      <c r="BK128" s="79" t="n"/>
      <c r="BL128" s="79" t="n"/>
      <c r="BM128" s="79" t="n"/>
      <c r="BN128" s="79" t="n"/>
      <c r="BO128" s="79" t="n"/>
      <c r="BP128" s="79" t="n"/>
      <c r="BQ128" s="79" t="n"/>
      <c r="BR128" s="79" t="n"/>
      <c r="BS128" s="79" t="n"/>
      <c r="BT128" s="79" t="n"/>
      <c r="BU128" s="79" t="n"/>
      <c r="BV128" s="79" t="n"/>
      <c r="BW128" s="79" t="n"/>
      <c r="BX128" s="79" t="n"/>
      <c r="BY128" s="79" t="n"/>
      <c r="BZ128" s="79" t="n"/>
      <c r="CA128" s="79" t="n"/>
    </row>
    <row r="129" hidden="1" ht="17.1" customHeight="1" s="37">
      <c r="A129" s="551" t="n"/>
      <c r="B129" s="150" t="inlineStr">
        <is>
          <t>F</t>
        </is>
      </c>
      <c r="C129" s="550">
        <f>C128+1</f>
        <v/>
      </c>
      <c r="G129" s="216" t="n"/>
      <c r="H129" s="57" t="n"/>
      <c r="N129" s="38" t="n"/>
      <c r="O129" s="216" t="n"/>
      <c r="X129" s="20" t="n"/>
      <c r="AF129" s="450" t="n"/>
      <c r="AN129" s="45" t="n"/>
      <c r="AP129" s="45" t="n"/>
      <c r="AQ129" s="12" t="n"/>
      <c r="AR129" s="216" t="n">
        <v>40</v>
      </c>
      <c r="AS129" s="216" t="n"/>
      <c r="AT129" s="216" t="n"/>
      <c r="AU129" s="216">
        <f>N129+O129 + 0</f>
        <v/>
      </c>
      <c r="AW129" s="2">
        <f>SUM(AH129:AI129,AJ129/2,AK129:AL129)</f>
        <v/>
      </c>
      <c r="AX129" s="2">
        <f>AM129*0.5+SUM(AN129:AP129)</f>
        <v/>
      </c>
      <c r="AY129" s="39">
        <f>SUM(-AR129+AS129*0.01+AT129*0.5+AU129)</f>
        <v/>
      </c>
      <c r="AZ129" s="39">
        <f>'0分'!AF126</f>
        <v/>
      </c>
      <c r="BA129" s="39">
        <f>SUM(AY129,AX129,AW129)</f>
        <v/>
      </c>
      <c r="BB129" s="250" t="n"/>
      <c r="BC129" s="79">
        <f t="array" ref="BC129">SUMPRODUCT(--(NOT(ISBLANK('0₦'!D129:M129))), '0₦'!D$2:M$2) +  SUMPRODUCT(--(NOT(ISBLANK('0₦'!Q129:T129))), '0₦'!Q$2:T$2)</f>
        <v/>
      </c>
      <c r="BD129" s="250">
        <f t="array" ref="BD129">SUMPRODUCT(--(NOT(ISBLANK('0₦'!N129:P129))),'0₦'!N$2:P$2)+'0₦'!AY129</f>
        <v/>
      </c>
      <c r="BE129" s="79">
        <f t="array" ref="BE129">SUMPRODUCT(--(NOT(ISBLANK('0₦'!AA129:AC129))),'0₦'!AA$2:AC$2) + BF129</f>
        <v/>
      </c>
      <c r="BF129" s="79" t="n"/>
      <c r="BG129" s="79">
        <f t="array" ref="BG129">SUMPRODUCT(--(NOT(ISBLANK('0₦'!U129:Z129))), '0₦'!U$2:Z$2)</f>
        <v/>
      </c>
      <c r="BH129" s="79" t="n"/>
      <c r="BI129" s="79">
        <f>SUM(BG129:BH129)</f>
        <v/>
      </c>
      <c r="BJ129" s="79" t="n"/>
      <c r="BK129" s="79" t="n"/>
      <c r="BL129" s="79" t="n"/>
      <c r="BM129" s="79" t="n"/>
      <c r="BN129" s="79" t="n"/>
      <c r="BO129" s="79" t="n"/>
      <c r="BP129" s="79" t="n"/>
      <c r="BQ129" s="79" t="n"/>
      <c r="BR129" s="79" t="n"/>
      <c r="BS129" s="79" t="n"/>
      <c r="BT129" s="79" t="n"/>
      <c r="BU129" s="79" t="n"/>
      <c r="BV129" s="79" t="n"/>
      <c r="BW129" s="79" t="n"/>
      <c r="BX129" s="79" t="n"/>
      <c r="BY129" s="79" t="n"/>
      <c r="BZ129" s="79" t="n"/>
      <c r="CA129" s="79" t="n"/>
    </row>
    <row r="130" hidden="1" s="37">
      <c r="A130" s="552" t="n"/>
      <c r="B130" s="150" t="inlineStr">
        <is>
          <t>S</t>
        </is>
      </c>
      <c r="C130" s="550">
        <f>C129+1</f>
        <v/>
      </c>
      <c r="G130" s="216" t="n"/>
      <c r="H130" s="57" t="n"/>
      <c r="O130" s="216" t="n"/>
      <c r="X130" s="20" t="n"/>
      <c r="AF130" s="450" t="n"/>
      <c r="AN130" s="45" t="n"/>
      <c r="AP130" s="45" t="n"/>
      <c r="AQ130" s="12" t="n"/>
      <c r="AR130" s="216" t="n">
        <v>40</v>
      </c>
      <c r="AS130" s="216" t="n"/>
      <c r="AT130" s="216" t="n"/>
      <c r="AU130" s="216">
        <f>N130+O130 + 0</f>
        <v/>
      </c>
      <c r="AW130" s="2">
        <f>SUM(AH130:AI130,AJ130/2,AK130:AL130)</f>
        <v/>
      </c>
      <c r="AX130" s="2">
        <f>AM130*0.5+SUM(AN130:AP130)</f>
        <v/>
      </c>
      <c r="AY130" s="39">
        <f>SUM(-AR130+AS130*0.01+AT130*0.5+AU130)</f>
        <v/>
      </c>
      <c r="AZ130" s="39">
        <f>'0分'!AF127</f>
        <v/>
      </c>
      <c r="BA130" s="39">
        <f>SUM(AY130,AX130,AW130)</f>
        <v/>
      </c>
      <c r="BB130" s="250" t="n"/>
      <c r="BC130" s="79">
        <f t="array" ref="BC130">SUMPRODUCT(--(NOT(ISBLANK('0₦'!D130:M130))), '0₦'!D$2:M$2) +  SUMPRODUCT(--(NOT(ISBLANK('0₦'!Q130:T130))), '0₦'!Q$2:T$2)</f>
        <v/>
      </c>
      <c r="BD130" s="250">
        <f t="array" ref="BD130">SUMPRODUCT(--(NOT(ISBLANK('0₦'!N130:P130))),'0₦'!N$2:P$2)+'0₦'!AY130</f>
        <v/>
      </c>
      <c r="BE130" s="79">
        <f t="array" ref="BE130">SUMPRODUCT(--(NOT(ISBLANK('0₦'!AA130:AC130))),'0₦'!AA$2:AC$2) + BF130</f>
        <v/>
      </c>
      <c r="BF130" s="79" t="n"/>
      <c r="BG130" s="79">
        <f t="array" ref="BG130">SUMPRODUCT(--(NOT(ISBLANK('0₦'!U130:Z130))), '0₦'!U$2:Z$2)</f>
        <v/>
      </c>
      <c r="BH130" s="79" t="n"/>
      <c r="BI130" s="79">
        <f>SUM(BG130:BH130)</f>
        <v/>
      </c>
      <c r="BJ130" s="79" t="n"/>
      <c r="BK130" s="79" t="n"/>
      <c r="BL130" s="79" t="n"/>
      <c r="BM130" s="79" t="n"/>
      <c r="BN130" s="79" t="n"/>
      <c r="BO130" s="79" t="n"/>
      <c r="BP130" s="79" t="n"/>
      <c r="BQ130" s="79" t="n"/>
      <c r="BR130" s="79" t="n"/>
      <c r="BS130" s="79" t="n"/>
      <c r="BT130" s="79" t="n"/>
      <c r="BU130" s="79" t="n"/>
      <c r="BV130" s="79" t="n"/>
      <c r="BW130" s="79" t="n"/>
      <c r="BX130" s="79" t="n"/>
      <c r="BY130" s="79" t="n"/>
      <c r="BZ130" s="79" t="n"/>
      <c r="CA130" s="79" t="n"/>
    </row>
    <row r="131" hidden="1" ht="18.95" customHeight="1" s="37">
      <c r="A131" s="462">
        <f>A124+0.1</f>
        <v/>
      </c>
      <c r="B131" s="150" t="inlineStr">
        <is>
          <t>S</t>
        </is>
      </c>
      <c r="C131" s="550">
        <f>C130+1</f>
        <v/>
      </c>
      <c r="G131" s="216" t="n"/>
      <c r="H131" s="57" t="n"/>
      <c r="O131" s="216" t="n"/>
      <c r="X131" s="20" t="n"/>
      <c r="AF131" s="450" t="n"/>
      <c r="AN131" s="45" t="n"/>
      <c r="AP131" s="45" t="n"/>
      <c r="AQ131" s="12" t="n"/>
      <c r="AR131" s="216" t="n">
        <v>40</v>
      </c>
      <c r="AS131" s="216" t="n"/>
      <c r="AT131" s="216" t="n"/>
      <c r="AU131" s="216">
        <f>N131+O131 + 0</f>
        <v/>
      </c>
      <c r="AW131" s="2">
        <f>SUM(AH131:AI131,AJ131/2,AK131:AL131)</f>
        <v/>
      </c>
      <c r="AX131" s="2">
        <f>AM131*0.5+SUM(AN131:AP131)</f>
        <v/>
      </c>
      <c r="AY131" s="39">
        <f>SUM(-AR131+AS131*0.01+AT131*0.5+AU131)</f>
        <v/>
      </c>
      <c r="AZ131" s="39">
        <f>'0分'!AF128</f>
        <v/>
      </c>
      <c r="BA131" s="39">
        <f>SUM(AY131,AX131,AW131)</f>
        <v/>
      </c>
      <c r="BB131" s="250" t="n"/>
      <c r="BC131" s="79">
        <f t="array" ref="BC131">SUMPRODUCT(--(NOT(ISBLANK('0₦'!D131:M131))), '0₦'!D$2:M$2) +  SUMPRODUCT(--(NOT(ISBLANK('0₦'!Q131:T131))), '0₦'!Q$2:T$2)</f>
        <v/>
      </c>
      <c r="BD131" s="250">
        <f t="array" ref="BD131">SUMPRODUCT(--(NOT(ISBLANK('0₦'!N131:P131))),'0₦'!N$2:P$2)+'0₦'!AY131</f>
        <v/>
      </c>
      <c r="BE131" s="79">
        <f t="array" ref="BE131">SUMPRODUCT(--(NOT(ISBLANK('0₦'!AA131:AC131))),'0₦'!AA$2:AC$2) + BF131</f>
        <v/>
      </c>
      <c r="BF131" s="79" t="n"/>
      <c r="BG131" s="79">
        <f t="array" ref="BG131">SUMPRODUCT(--(NOT(ISBLANK('0₦'!U131:Z131))), '0₦'!U$2:Z$2)</f>
        <v/>
      </c>
      <c r="BH131" s="79" t="n"/>
      <c r="BI131" s="79">
        <f>SUM(BG131:BH131)</f>
        <v/>
      </c>
      <c r="BJ131" s="79" t="n"/>
      <c r="BK131" s="79" t="n"/>
      <c r="BL131" s="79" t="n"/>
      <c r="BM131" s="79" t="n"/>
      <c r="BN131" s="79" t="n"/>
      <c r="BO131" s="79" t="n"/>
      <c r="BP131" s="79" t="n"/>
      <c r="BQ131" s="79" t="n"/>
      <c r="BR131" s="79" t="n"/>
      <c r="BS131" s="79" t="n"/>
      <c r="BT131" s="79" t="n"/>
      <c r="BU131" s="79" t="n"/>
      <c r="BV131" s="79" t="n"/>
      <c r="BW131" s="79" t="n"/>
      <c r="BX131" s="79" t="n"/>
      <c r="BY131" s="79" t="n"/>
      <c r="BZ131" s="79" t="n"/>
      <c r="CA131" s="79" t="n"/>
    </row>
    <row r="132" hidden="1" s="37">
      <c r="A132" s="551" t="n"/>
      <c r="B132" s="150" t="inlineStr">
        <is>
          <t>M</t>
        </is>
      </c>
      <c r="C132" s="550">
        <f>C131+1</f>
        <v/>
      </c>
      <c r="G132" s="216" t="n"/>
      <c r="H132" s="57" t="n"/>
      <c r="O132" s="216" t="n"/>
      <c r="Q132" s="38" t="n"/>
      <c r="X132" s="20" t="n"/>
      <c r="AF132" s="450" t="n"/>
      <c r="AN132" s="45" t="n"/>
      <c r="AP132" s="45" t="n"/>
      <c r="AQ132" s="12" t="n"/>
      <c r="AR132" s="216" t="n">
        <v>40</v>
      </c>
      <c r="AS132" s="216" t="n"/>
      <c r="AT132" s="216" t="n"/>
      <c r="AU132" s="216">
        <f>N132+O132 + 0</f>
        <v/>
      </c>
      <c r="AW132" s="2">
        <f>SUM(AH132:AI132,AJ132/2,AK132:AL132)</f>
        <v/>
      </c>
      <c r="AX132" s="2">
        <f>AM132*0.5+SUM(AN132:AP132)</f>
        <v/>
      </c>
      <c r="AY132" s="39">
        <f>SUM(-AR132+AS132*0.01+AT132*0.5+AU132)</f>
        <v/>
      </c>
      <c r="AZ132" s="39">
        <f>'0分'!AF129</f>
        <v/>
      </c>
      <c r="BA132" s="39">
        <f>SUM(AY132,AX132,AW132)</f>
        <v/>
      </c>
      <c r="BB132" s="250" t="n"/>
      <c r="BC132" s="79">
        <f t="array" ref="BC132">SUMPRODUCT(--(NOT(ISBLANK('0₦'!D132:M132))), '0₦'!D$2:M$2) +  SUMPRODUCT(--(NOT(ISBLANK('0₦'!Q132:T132))), '0₦'!Q$2:T$2)</f>
        <v/>
      </c>
      <c r="BD132" s="250">
        <f t="array" ref="BD132">SUMPRODUCT(--(NOT(ISBLANK('0₦'!N132:P132))),'0₦'!N$2:P$2)+'0₦'!AY132</f>
        <v/>
      </c>
      <c r="BE132" s="79">
        <f t="array" ref="BE132">SUMPRODUCT(--(NOT(ISBLANK('0₦'!AA132:AC132))),'0₦'!AA$2:AC$2) + BF132</f>
        <v/>
      </c>
      <c r="BF132" s="79" t="n"/>
      <c r="BG132" s="79">
        <f t="array" ref="BG132">SUMPRODUCT(--(NOT(ISBLANK('0₦'!U132:Z132))), '0₦'!U$2:Z$2)</f>
        <v/>
      </c>
      <c r="BH132" s="79" t="n"/>
      <c r="BI132" s="79">
        <f>SUM(BG132:BH132)</f>
        <v/>
      </c>
      <c r="BJ132" s="79" t="n"/>
      <c r="BK132" s="79" t="n"/>
      <c r="BL132" s="79" t="n"/>
      <c r="BM132" s="79" t="n"/>
      <c r="BN132" s="79" t="n"/>
      <c r="BO132" s="79" t="n"/>
      <c r="BP132" s="79" t="n"/>
      <c r="BQ132" s="79" t="n"/>
      <c r="BR132" s="79" t="n"/>
      <c r="BS132" s="79" t="n"/>
      <c r="BT132" s="79" t="n"/>
      <c r="BU132" s="79" t="n"/>
      <c r="BV132" s="79" t="n"/>
      <c r="BW132" s="79" t="n"/>
      <c r="BX132" s="79" t="n"/>
      <c r="BY132" s="79" t="n"/>
      <c r="BZ132" s="79" t="n"/>
      <c r="CA132" s="79" t="n"/>
    </row>
    <row r="133" hidden="1" ht="18" customHeight="1" s="37">
      <c r="A133" s="551" t="n"/>
      <c r="B133" s="150" t="inlineStr">
        <is>
          <t>T</t>
        </is>
      </c>
      <c r="C133" s="550">
        <f>C132+1</f>
        <v/>
      </c>
      <c r="G133" s="216" t="n"/>
      <c r="H133" s="57" t="n"/>
      <c r="O133" s="216" t="n"/>
      <c r="X133" s="20" t="n"/>
      <c r="AF133" s="450" t="n"/>
      <c r="AN133" s="45" t="n"/>
      <c r="AP133" s="45" t="n"/>
      <c r="AQ133" s="12" t="n"/>
      <c r="AR133" s="216" t="n">
        <v>40</v>
      </c>
      <c r="AS133" s="216" t="n"/>
      <c r="AT133" s="216" t="n"/>
      <c r="AU133" s="216">
        <f>N133+O133 + 0</f>
        <v/>
      </c>
      <c r="AW133" s="2">
        <f>SUM(AH133:AI133,AJ133/2,AK133:AL133)</f>
        <v/>
      </c>
      <c r="AX133" s="2">
        <f>AM133*0.5+SUM(AN133:AP133)</f>
        <v/>
      </c>
      <c r="AY133" s="39">
        <f>SUM(-AR133+AS133*0.01+AT133*0.5+AU133)</f>
        <v/>
      </c>
      <c r="AZ133" s="39">
        <f>'0分'!AF130</f>
        <v/>
      </c>
      <c r="BA133" s="39">
        <f>SUM(AY133,AX133,AW133)</f>
        <v/>
      </c>
      <c r="BB133" s="250" t="n"/>
      <c r="BC133" s="79">
        <f t="array" ref="BC133">SUMPRODUCT(--(NOT(ISBLANK('0₦'!D133:M133))), '0₦'!D$2:M$2) +  SUMPRODUCT(--(NOT(ISBLANK('0₦'!Q133:T133))), '0₦'!Q$2:T$2)</f>
        <v/>
      </c>
      <c r="BD133" s="250">
        <f t="array" ref="BD133">SUMPRODUCT(--(NOT(ISBLANK('0₦'!N133:P133))),'0₦'!N$2:P$2)+'0₦'!AY133</f>
        <v/>
      </c>
      <c r="BE133" s="79">
        <f t="array" ref="BE133">SUMPRODUCT(--(NOT(ISBLANK('0₦'!AA133:AC133))),'0₦'!AA$2:AC$2) + BF133</f>
        <v/>
      </c>
      <c r="BF133" s="79" t="n"/>
      <c r="BG133" s="79">
        <f t="array" ref="BG133">SUMPRODUCT(--(NOT(ISBLANK('0₦'!U133:Z133))), '0₦'!U$2:Z$2)</f>
        <v/>
      </c>
      <c r="BH133" s="79" t="n"/>
      <c r="BI133" s="79">
        <f>SUM(BG133:BH133)</f>
        <v/>
      </c>
      <c r="BJ133" s="79" t="n"/>
      <c r="BK133" s="79" t="n"/>
      <c r="BL133" s="79" t="n"/>
      <c r="BM133" s="79" t="n"/>
      <c r="BN133" s="79" t="n"/>
      <c r="BO133" s="79" t="n"/>
      <c r="BP133" s="79" t="n"/>
      <c r="BQ133" s="79" t="n"/>
      <c r="BR133" s="79" t="n"/>
      <c r="BS133" s="79" t="n"/>
      <c r="BT133" s="79" t="n"/>
      <c r="BU133" s="79" t="n"/>
      <c r="BV133" s="79" t="n"/>
      <c r="BW133" s="79" t="n"/>
      <c r="BX133" s="79" t="n"/>
      <c r="BY133" s="79" t="n"/>
      <c r="BZ133" s="79" t="n"/>
      <c r="CA133" s="79" t="n"/>
    </row>
    <row r="134" hidden="1" s="37">
      <c r="A134" s="551" t="n"/>
      <c r="B134" s="150" t="inlineStr">
        <is>
          <t>W</t>
        </is>
      </c>
      <c r="C134" s="550">
        <f>C133+1</f>
        <v/>
      </c>
      <c r="G134" s="216" t="n"/>
      <c r="H134" s="57" t="n"/>
      <c r="O134" s="216" t="n"/>
      <c r="X134" s="20" t="n"/>
      <c r="AF134" s="450" t="n"/>
      <c r="AN134" s="45" t="n"/>
      <c r="AP134" s="45" t="n"/>
      <c r="AQ134" s="12" t="n"/>
      <c r="AR134" s="216" t="n">
        <v>40</v>
      </c>
      <c r="AS134" s="216" t="n"/>
      <c r="AT134" s="216" t="n"/>
      <c r="AU134" s="216">
        <f>N134+O134 + 0</f>
        <v/>
      </c>
      <c r="AW134" s="2">
        <f>SUM(AH134:AI134,AJ134/2,AK134:AL134)</f>
        <v/>
      </c>
      <c r="AX134" s="2">
        <f>AM134*0.5+SUM(AN134:AP134)</f>
        <v/>
      </c>
      <c r="AY134" s="39">
        <f>SUM(-AR134+AS134*0.01+AT134*0.5+AU134)</f>
        <v/>
      </c>
      <c r="AZ134" s="39">
        <f>'0分'!AF131</f>
        <v/>
      </c>
      <c r="BA134" s="39">
        <f>SUM(AY134,AX134,AW134)</f>
        <v/>
      </c>
      <c r="BB134" s="250" t="n"/>
      <c r="BC134" s="79">
        <f t="array" ref="BC134">SUMPRODUCT(--(NOT(ISBLANK('0₦'!D134:M134))), '0₦'!D$2:M$2) +  SUMPRODUCT(--(NOT(ISBLANK('0₦'!Q134:T134))), '0₦'!Q$2:T$2)</f>
        <v/>
      </c>
      <c r="BD134" s="250">
        <f t="array" ref="BD134">SUMPRODUCT(--(NOT(ISBLANK('0₦'!N134:P134))),'0₦'!N$2:P$2)+'0₦'!AY134</f>
        <v/>
      </c>
      <c r="BE134" s="79">
        <f t="array" ref="BE134">SUMPRODUCT(--(NOT(ISBLANK('0₦'!AA134:AC134))),'0₦'!AA$2:AC$2) + BF134</f>
        <v/>
      </c>
      <c r="BF134" s="79" t="n"/>
      <c r="BG134" s="79">
        <f t="array" ref="BG134">SUMPRODUCT(--(NOT(ISBLANK('0₦'!U134:Z134))), '0₦'!U$2:Z$2)</f>
        <v/>
      </c>
      <c r="BH134" s="79" t="n"/>
      <c r="BI134" s="79">
        <f>SUM(BG134:BH134)</f>
        <v/>
      </c>
      <c r="BJ134" s="79" t="n"/>
      <c r="BK134" s="79" t="n"/>
      <c r="BL134" s="79" t="n"/>
      <c r="BM134" s="79" t="n"/>
      <c r="BN134" s="79" t="n"/>
      <c r="BO134" s="79" t="n"/>
      <c r="BP134" s="79" t="n"/>
      <c r="BQ134" s="79" t="n"/>
      <c r="BR134" s="79" t="n"/>
      <c r="BS134" s="79" t="n"/>
      <c r="BT134" s="79" t="n"/>
      <c r="BU134" s="79" t="n"/>
      <c r="BV134" s="79" t="n"/>
      <c r="BW134" s="79" t="n"/>
      <c r="BX134" s="79" t="n"/>
      <c r="BY134" s="79" t="n"/>
      <c r="BZ134" s="79" t="n"/>
      <c r="CA134" s="79" t="n"/>
    </row>
    <row r="135" hidden="1" s="37">
      <c r="A135" s="551" t="n"/>
      <c r="B135" s="150" t="inlineStr">
        <is>
          <t>Th</t>
        </is>
      </c>
      <c r="C135" s="550">
        <f>C134+1</f>
        <v/>
      </c>
      <c r="G135" s="216" t="n"/>
      <c r="H135" s="57" t="n"/>
      <c r="O135" s="216" t="n"/>
      <c r="X135" s="20" t="n"/>
      <c r="AF135" s="450" t="n"/>
      <c r="AN135" s="45" t="n"/>
      <c r="AP135" s="45" t="n"/>
      <c r="AQ135" s="12" t="n"/>
      <c r="AR135" s="216" t="n">
        <v>40</v>
      </c>
      <c r="AS135" s="216" t="n"/>
      <c r="AT135" s="216" t="n"/>
      <c r="AU135" s="216">
        <f>N135+O135 + 0</f>
        <v/>
      </c>
      <c r="AW135" s="2">
        <f>SUM(AH135:AI135,AJ135/2,AK135:AL135)</f>
        <v/>
      </c>
      <c r="AX135" s="2">
        <f>AM135*0.5+SUM(AN135:AP135)</f>
        <v/>
      </c>
      <c r="AY135" s="39">
        <f>SUM(-AR135+AS135*0.01+AT135*0.5+AU135)</f>
        <v/>
      </c>
      <c r="AZ135" s="39">
        <f>'0分'!AF132</f>
        <v/>
      </c>
      <c r="BA135" s="39">
        <f>SUM(AY135,AX135,AW135)</f>
        <v/>
      </c>
      <c r="BB135" s="250" t="n"/>
      <c r="BC135" s="79">
        <f t="array" ref="BC135">SUMPRODUCT(--(NOT(ISBLANK('0₦'!D135:M135))), '0₦'!D$2:M$2) +  SUMPRODUCT(--(NOT(ISBLANK('0₦'!Q135:T135))), '0₦'!Q$2:T$2)</f>
        <v/>
      </c>
      <c r="BD135" s="250">
        <f t="array" ref="BD135">SUMPRODUCT(--(NOT(ISBLANK('0₦'!N135:P135))),'0₦'!N$2:P$2)+'0₦'!AY135</f>
        <v/>
      </c>
      <c r="BE135" s="79">
        <f t="array" ref="BE135">SUMPRODUCT(--(NOT(ISBLANK('0₦'!AA135:AC135))),'0₦'!AA$2:AC$2) + BF135</f>
        <v/>
      </c>
      <c r="BF135" s="79" t="n"/>
      <c r="BG135" s="79">
        <f t="array" ref="BG135">SUMPRODUCT(--(NOT(ISBLANK('0₦'!U135:Z135))), '0₦'!U$2:Z$2)</f>
        <v/>
      </c>
      <c r="BH135" s="79" t="n"/>
      <c r="BI135" s="79">
        <f>SUM(BG135:BH135)</f>
        <v/>
      </c>
      <c r="BJ135" s="79" t="n"/>
      <c r="BK135" s="79" t="n"/>
      <c r="BL135" s="79" t="n"/>
      <c r="BM135" s="79" t="n"/>
      <c r="BN135" s="79" t="n"/>
      <c r="BO135" s="79" t="n"/>
      <c r="BP135" s="79" t="n"/>
      <c r="BQ135" s="79" t="n"/>
      <c r="BR135" s="79" t="n"/>
      <c r="BS135" s="79" t="n"/>
      <c r="BT135" s="79" t="n"/>
      <c r="BU135" s="79" t="n"/>
      <c r="BV135" s="79" t="n"/>
      <c r="BW135" s="79" t="n"/>
      <c r="BX135" s="79" t="n"/>
      <c r="BY135" s="79" t="n"/>
      <c r="BZ135" s="79" t="n"/>
      <c r="CA135" s="79" t="n"/>
    </row>
    <row r="136" hidden="1" ht="17.1" customHeight="1" s="37">
      <c r="A136" s="551" t="n"/>
      <c r="B136" s="150" t="inlineStr">
        <is>
          <t>F</t>
        </is>
      </c>
      <c r="C136" s="550">
        <f>C135+1</f>
        <v/>
      </c>
      <c r="G136" s="216" t="n"/>
      <c r="H136" s="57" t="n"/>
      <c r="M136" s="38" t="n"/>
      <c r="O136" s="216" t="n"/>
      <c r="X136" s="20" t="n"/>
      <c r="AF136" s="450" t="n"/>
      <c r="AN136" s="45" t="n"/>
      <c r="AP136" s="45" t="n"/>
      <c r="AQ136" s="12" t="n"/>
      <c r="AR136" s="216" t="n">
        <v>40</v>
      </c>
      <c r="AS136" s="216" t="n"/>
      <c r="AT136" s="216" t="n"/>
      <c r="AU136" s="216">
        <f>N136+O136 + 0</f>
        <v/>
      </c>
      <c r="AW136" s="2">
        <f>SUM(AH136:AI136,AJ136/2,AK136:AL136)</f>
        <v/>
      </c>
      <c r="AX136" s="2">
        <f>AM136*0.5+SUM(AN136:AP136)</f>
        <v/>
      </c>
      <c r="AY136" s="39">
        <f>SUM(-AR136+AS136*0.01+AT136*0.5+AU136)</f>
        <v/>
      </c>
      <c r="AZ136" s="39">
        <f>'0分'!AF133</f>
        <v/>
      </c>
      <c r="BA136" s="39">
        <f>SUM(AY136,AX136,AW136)</f>
        <v/>
      </c>
      <c r="BB136" s="250" t="n"/>
      <c r="BC136" s="79">
        <f t="array" ref="BC136">SUMPRODUCT(--(NOT(ISBLANK('0₦'!D136:M136))), '0₦'!D$2:M$2) +  SUMPRODUCT(--(NOT(ISBLANK('0₦'!Q136:T136))), '0₦'!Q$2:T$2)</f>
        <v/>
      </c>
      <c r="BD136" s="250">
        <f t="array" ref="BD136">SUMPRODUCT(--(NOT(ISBLANK('0₦'!N136:P136))),'0₦'!N$2:P$2)+'0₦'!AY136</f>
        <v/>
      </c>
      <c r="BE136" s="79">
        <f t="array" ref="BE136">SUMPRODUCT(--(NOT(ISBLANK('0₦'!AA136:AC136))),'0₦'!AA$2:AC$2) + BF136</f>
        <v/>
      </c>
      <c r="BF136" s="79" t="n"/>
      <c r="BG136" s="79">
        <f t="array" ref="BG136">SUMPRODUCT(--(NOT(ISBLANK('0₦'!U136:Z136))), '0₦'!U$2:Z$2)</f>
        <v/>
      </c>
      <c r="BH136" s="79" t="n"/>
      <c r="BI136" s="79">
        <f>SUM(BG136:BH136)</f>
        <v/>
      </c>
      <c r="BJ136" s="79" t="n"/>
      <c r="BK136" s="79" t="n"/>
      <c r="BL136" s="79" t="n"/>
      <c r="BM136" s="79" t="n"/>
      <c r="BN136" s="79" t="n"/>
      <c r="BO136" s="79" t="n"/>
      <c r="BP136" s="79" t="n"/>
      <c r="BQ136" s="79" t="n"/>
      <c r="BR136" s="79" t="n"/>
      <c r="BS136" s="79" t="n"/>
      <c r="BT136" s="79" t="n"/>
      <c r="BU136" s="79" t="n"/>
      <c r="BV136" s="79" t="n"/>
      <c r="BW136" s="79" t="n"/>
      <c r="BX136" s="79" t="n"/>
      <c r="BY136" s="79" t="n"/>
      <c r="BZ136" s="79" t="n"/>
      <c r="CA136" s="79" t="n"/>
    </row>
    <row r="137" hidden="1" ht="17.1" customHeight="1" s="37">
      <c r="A137" s="552" t="n"/>
      <c r="B137" s="150" t="inlineStr">
        <is>
          <t>S</t>
        </is>
      </c>
      <c r="C137" s="550">
        <f>C136+1</f>
        <v/>
      </c>
      <c r="G137" s="216" t="n"/>
      <c r="H137" s="57" t="n"/>
      <c r="O137" s="216" t="n"/>
      <c r="X137" s="20" t="n"/>
      <c r="AF137" s="450" t="n"/>
      <c r="AN137" s="45" t="n"/>
      <c r="AP137" s="45" t="n"/>
      <c r="AQ137" s="12" t="n"/>
      <c r="AR137" s="216" t="n">
        <v>40</v>
      </c>
      <c r="AS137" s="216" t="n"/>
      <c r="AT137" s="216" t="n"/>
      <c r="AU137" s="216">
        <f>N137+O137 + 0</f>
        <v/>
      </c>
      <c r="AW137" s="2">
        <f>SUM(AH137:AI137,AJ137/2,AK137:AL137)</f>
        <v/>
      </c>
      <c r="AX137" s="2">
        <f>AM137*0.5+SUM(AN137:AP137)</f>
        <v/>
      </c>
      <c r="AY137" s="39">
        <f>SUM(-AR137+AS137*0.01+AT137*0.5+AU137)</f>
        <v/>
      </c>
      <c r="AZ137" s="39">
        <f>'0分'!AF134</f>
        <v/>
      </c>
      <c r="BA137" s="39">
        <f>SUM(AY137,AX137,AW137)</f>
        <v/>
      </c>
      <c r="BB137" s="250" t="n"/>
      <c r="BC137" s="79">
        <f t="array" ref="BC137">SUMPRODUCT(--(NOT(ISBLANK('0₦'!D137:M137))), '0₦'!D$2:M$2) +  SUMPRODUCT(--(NOT(ISBLANK('0₦'!Q137:T137))), '0₦'!Q$2:T$2)</f>
        <v/>
      </c>
      <c r="BD137" s="250">
        <f t="array" ref="BD137">SUMPRODUCT(--(NOT(ISBLANK('0₦'!N137:P137))),'0₦'!N$2:P$2)+'0₦'!AY137</f>
        <v/>
      </c>
      <c r="BE137" s="79">
        <f t="array" ref="BE137">SUMPRODUCT(--(NOT(ISBLANK('0₦'!AA137:AC137))),'0₦'!AA$2:AC$2) + BF137</f>
        <v/>
      </c>
      <c r="BF137" s="79" t="n"/>
      <c r="BG137" s="79">
        <f t="array" ref="BG137">SUMPRODUCT(--(NOT(ISBLANK('0₦'!U137:Z137))), '0₦'!U$2:Z$2)</f>
        <v/>
      </c>
      <c r="BH137" s="79" t="n"/>
      <c r="BI137" s="79">
        <f>SUM(BG137:BH137)</f>
        <v/>
      </c>
      <c r="BJ137" s="79" t="n"/>
      <c r="BK137" s="79" t="n"/>
      <c r="BL137" s="79" t="n"/>
      <c r="BM137" s="79" t="n"/>
      <c r="BN137" s="79" t="n"/>
      <c r="BO137" s="79" t="n"/>
      <c r="BP137" s="79" t="n"/>
      <c r="BQ137" s="79" t="n"/>
      <c r="BR137" s="79" t="n"/>
      <c r="BS137" s="79" t="n"/>
      <c r="BT137" s="79" t="n"/>
      <c r="BU137" s="79" t="n"/>
      <c r="BV137" s="79" t="n"/>
      <c r="BW137" s="79" t="n"/>
      <c r="BX137" s="79" t="n"/>
      <c r="BY137" s="79" t="n"/>
      <c r="BZ137" s="79" t="n"/>
      <c r="CA137" s="79" t="n"/>
    </row>
    <row r="138" hidden="1" ht="18.95" customHeight="1" s="37">
      <c r="A138" s="462">
        <f>A131+0.1</f>
        <v/>
      </c>
      <c r="B138" s="150" t="inlineStr">
        <is>
          <t>S</t>
        </is>
      </c>
      <c r="C138" s="550">
        <f>C137+1</f>
        <v/>
      </c>
      <c r="G138" s="216" t="n"/>
      <c r="H138" s="57" t="n"/>
      <c r="O138" s="216" t="n"/>
      <c r="X138" s="20" t="n"/>
      <c r="AF138" s="450" t="n"/>
      <c r="AN138" s="45" t="n"/>
      <c r="AP138" s="45" t="n"/>
      <c r="AQ138" s="12" t="n"/>
      <c r="AR138" s="216" t="n">
        <v>40</v>
      </c>
      <c r="AS138" s="216" t="n"/>
      <c r="AT138" s="216" t="n"/>
      <c r="AU138" s="216">
        <f>N138+O138 + 0</f>
        <v/>
      </c>
      <c r="AW138" s="2">
        <f>SUM(AH138:AI138,AJ138/2,AK138:AL138)</f>
        <v/>
      </c>
      <c r="AX138" s="2">
        <f>AM138*0.5+SUM(AN138:AP138)</f>
        <v/>
      </c>
      <c r="AY138" s="39">
        <f>SUM(-AR138+AS138*0.01+AT138*0.5+AU138)</f>
        <v/>
      </c>
      <c r="AZ138" s="39">
        <f>'0分'!AF135</f>
        <v/>
      </c>
      <c r="BA138" s="39">
        <f>SUM(AY138,AX138,AW138)</f>
        <v/>
      </c>
      <c r="BB138" s="250" t="n"/>
      <c r="BC138" s="79">
        <f t="array" ref="BC138">SUMPRODUCT(--(NOT(ISBLANK('0₦'!D138:M138))), '0₦'!D$2:M$2) +  SUMPRODUCT(--(NOT(ISBLANK('0₦'!Q138:T138))), '0₦'!Q$2:T$2)</f>
        <v/>
      </c>
      <c r="BD138" s="250">
        <f t="array" ref="BD138">SUMPRODUCT(--(NOT(ISBLANK('0₦'!N138:P138))),'0₦'!N$2:P$2)+'0₦'!AY138</f>
        <v/>
      </c>
      <c r="BE138" s="79">
        <f t="array" ref="BE138">SUMPRODUCT(--(NOT(ISBLANK('0₦'!AA138:AC138))),'0₦'!AA$2:AC$2) + BF138</f>
        <v/>
      </c>
      <c r="BF138" s="79" t="n"/>
      <c r="BG138" s="79">
        <f t="array" ref="BG138">SUMPRODUCT(--(NOT(ISBLANK('0₦'!U138:Z138))), '0₦'!U$2:Z$2)</f>
        <v/>
      </c>
      <c r="BH138" s="79" t="n"/>
      <c r="BI138" s="79">
        <f>SUM(BG138:BH138)</f>
        <v/>
      </c>
      <c r="BJ138" s="79" t="n"/>
      <c r="BK138" s="79" t="n"/>
      <c r="BL138" s="79" t="n"/>
      <c r="BM138" s="79" t="n"/>
      <c r="BN138" s="79" t="n"/>
      <c r="BO138" s="79" t="n"/>
      <c r="BP138" s="79" t="n"/>
      <c r="BQ138" s="79" t="n"/>
      <c r="BR138" s="79" t="n"/>
      <c r="BS138" s="79" t="n"/>
      <c r="BT138" s="79" t="n"/>
      <c r="BU138" s="79" t="n"/>
      <c r="BV138" s="79" t="n"/>
      <c r="BW138" s="79" t="n"/>
      <c r="BX138" s="79" t="n"/>
      <c r="BY138" s="79" t="n"/>
      <c r="BZ138" s="79" t="n"/>
      <c r="CA138" s="79" t="n"/>
    </row>
    <row r="139" hidden="1" ht="18" customHeight="1" s="37">
      <c r="A139" s="551" t="n"/>
      <c r="B139" s="150" t="inlineStr">
        <is>
          <t>M</t>
        </is>
      </c>
      <c r="C139" s="550">
        <f>C138+1</f>
        <v/>
      </c>
      <c r="G139" s="216" t="n"/>
      <c r="H139" s="57" t="n"/>
      <c r="O139" s="216" t="n"/>
      <c r="X139" s="20" t="n"/>
      <c r="AF139" s="450" t="n"/>
      <c r="AN139" s="45" t="n"/>
      <c r="AP139" s="45" t="n"/>
      <c r="AQ139" s="12" t="n"/>
      <c r="AR139" s="216" t="n">
        <v>40</v>
      </c>
      <c r="AS139" s="216" t="n"/>
      <c r="AT139" s="216" t="n"/>
      <c r="AU139" s="216">
        <f>N139+O139 + 0</f>
        <v/>
      </c>
      <c r="AW139" s="2">
        <f>SUM(AH139:AI139,AJ139/2,AK139:AL139)</f>
        <v/>
      </c>
      <c r="AX139" s="2">
        <f>AM139*0.5+SUM(AN139:AP139)</f>
        <v/>
      </c>
      <c r="AY139" s="39">
        <f>SUM(-AR139+AS139*0.01+AT139*0.5+AU139)</f>
        <v/>
      </c>
      <c r="AZ139" s="39">
        <f>'0分'!AF136</f>
        <v/>
      </c>
      <c r="BA139" s="39">
        <f>SUM(AY139,AX139,AW139)</f>
        <v/>
      </c>
      <c r="BB139" s="250" t="n"/>
      <c r="BC139" s="79">
        <f t="array" ref="BC139">SUMPRODUCT(--(NOT(ISBLANK('0₦'!D139:M139))), '0₦'!D$2:M$2) +  SUMPRODUCT(--(NOT(ISBLANK('0₦'!Q139:T139))), '0₦'!Q$2:T$2)</f>
        <v/>
      </c>
      <c r="BD139" s="250">
        <f t="array" ref="BD139">SUMPRODUCT(--(NOT(ISBLANK('0₦'!N139:P139))),'0₦'!N$2:P$2)+'0₦'!AY139</f>
        <v/>
      </c>
      <c r="BE139" s="79">
        <f t="array" ref="BE139">SUMPRODUCT(--(NOT(ISBLANK('0₦'!AA139:AC139))),'0₦'!AA$2:AC$2) + BF139</f>
        <v/>
      </c>
      <c r="BF139" s="79" t="n"/>
      <c r="BG139" s="79">
        <f t="array" ref="BG139">SUMPRODUCT(--(NOT(ISBLANK('0₦'!U139:Z139))), '0₦'!U$2:Z$2)</f>
        <v/>
      </c>
      <c r="BH139" s="79" t="n"/>
      <c r="BI139" s="79">
        <f>SUM(BG139:BH139)</f>
        <v/>
      </c>
      <c r="BJ139" s="79" t="n"/>
      <c r="BK139" s="79" t="n"/>
      <c r="BL139" s="79" t="n"/>
      <c r="BM139" s="79" t="n"/>
      <c r="BN139" s="79" t="n"/>
      <c r="BO139" s="79" t="n"/>
      <c r="BP139" s="79" t="n"/>
      <c r="BQ139" s="79" t="n"/>
      <c r="BR139" s="79" t="n"/>
      <c r="BS139" s="79" t="n"/>
      <c r="BT139" s="79" t="n"/>
      <c r="BU139" s="79" t="n"/>
      <c r="BV139" s="79" t="n"/>
      <c r="BW139" s="79" t="n"/>
      <c r="BX139" s="79" t="n"/>
      <c r="BY139" s="79" t="n"/>
      <c r="BZ139" s="79" t="n"/>
      <c r="CA139" s="79" t="n"/>
    </row>
    <row r="140" hidden="1" s="37">
      <c r="A140" s="551" t="n"/>
      <c r="B140" s="150" t="inlineStr">
        <is>
          <t>T</t>
        </is>
      </c>
      <c r="C140" s="550">
        <f>C139+1</f>
        <v/>
      </c>
      <c r="G140" s="216" t="n"/>
      <c r="H140" s="57" t="n"/>
      <c r="O140" s="216" t="n"/>
      <c r="X140" s="20" t="n"/>
      <c r="AF140" s="450" t="n"/>
      <c r="AN140" s="45" t="n"/>
      <c r="AP140" s="45" t="n"/>
      <c r="AQ140" s="12" t="n"/>
      <c r="AR140" s="216" t="n">
        <v>40</v>
      </c>
      <c r="AS140" s="216" t="n"/>
      <c r="AT140" s="216" t="n"/>
      <c r="AU140" s="216">
        <f>N140+O140 + 0</f>
        <v/>
      </c>
      <c r="AW140" s="2">
        <f>SUM(AH140:AI140,AJ140/2,AK140:AL140)</f>
        <v/>
      </c>
      <c r="AX140" s="2">
        <f>AM140*0.5+SUM(AN140:AP140)</f>
        <v/>
      </c>
      <c r="AY140" s="39">
        <f>SUM(-AR140+AS140*0.01+AT140*0.5+AU140)</f>
        <v/>
      </c>
      <c r="AZ140" s="39">
        <f>'0分'!AF137</f>
        <v/>
      </c>
      <c r="BA140" s="39">
        <f>SUM(AY140,AX140,AW140)</f>
        <v/>
      </c>
      <c r="BB140" s="250" t="n"/>
      <c r="BC140" s="79">
        <f t="array" ref="BC140">SUMPRODUCT(--(NOT(ISBLANK('0₦'!D140:M140))), '0₦'!D$2:M$2) +  SUMPRODUCT(--(NOT(ISBLANK('0₦'!Q140:T140))), '0₦'!Q$2:T$2)</f>
        <v/>
      </c>
      <c r="BD140" s="250">
        <f t="array" ref="BD140">SUMPRODUCT(--(NOT(ISBLANK('0₦'!N140:P140))),'0₦'!N$2:P$2)+'0₦'!AY140</f>
        <v/>
      </c>
      <c r="BE140" s="79">
        <f t="array" ref="BE140">SUMPRODUCT(--(NOT(ISBLANK('0₦'!AA140:AC140))),'0₦'!AA$2:AC$2) + BF140</f>
        <v/>
      </c>
      <c r="BF140" s="79" t="n"/>
      <c r="BG140" s="79">
        <f t="array" ref="BG140">SUMPRODUCT(--(NOT(ISBLANK('0₦'!U140:Z140))), '0₦'!U$2:Z$2)</f>
        <v/>
      </c>
      <c r="BH140" s="79" t="n"/>
      <c r="BI140" s="79">
        <f>SUM(BG140:BH140)</f>
        <v/>
      </c>
      <c r="BJ140" s="79" t="n"/>
      <c r="BK140" s="79" t="n"/>
      <c r="BL140" s="79" t="n"/>
      <c r="BM140" s="79" t="n"/>
      <c r="BN140" s="79" t="n"/>
      <c r="BO140" s="79" t="n"/>
      <c r="BP140" s="79" t="n"/>
      <c r="BQ140" s="79" t="n"/>
      <c r="BR140" s="79" t="n"/>
      <c r="BS140" s="79" t="n"/>
      <c r="BT140" s="79" t="n"/>
      <c r="BU140" s="79" t="n"/>
      <c r="BV140" s="79" t="n"/>
      <c r="BW140" s="79" t="n"/>
      <c r="BX140" s="79" t="n"/>
      <c r="BY140" s="79" t="n"/>
      <c r="BZ140" s="79" t="n"/>
      <c r="CA140" s="79" t="n"/>
    </row>
    <row r="141" hidden="1" s="37">
      <c r="A141" s="551" t="n"/>
      <c r="B141" s="150" t="inlineStr">
        <is>
          <t>W</t>
        </is>
      </c>
      <c r="C141" s="550">
        <f>C140+1</f>
        <v/>
      </c>
      <c r="G141" s="216" t="n"/>
      <c r="H141" s="57" t="n"/>
      <c r="O141" s="216" t="n"/>
      <c r="X141" s="20" t="n"/>
      <c r="AF141" s="450" t="n"/>
      <c r="AN141" s="45" t="n"/>
      <c r="AP141" s="45" t="n"/>
      <c r="AQ141" s="12" t="n"/>
      <c r="AR141" s="216" t="n">
        <v>40</v>
      </c>
      <c r="AS141" s="216" t="n"/>
      <c r="AT141" s="216" t="n"/>
      <c r="AU141" s="216">
        <f>N141+O141 + 0</f>
        <v/>
      </c>
      <c r="AW141" s="2">
        <f>SUM(AH141:AI141,AJ141/2,AK141:AL141)</f>
        <v/>
      </c>
      <c r="AX141" s="2">
        <f>AM141*0.5+SUM(AN141:AP141)</f>
        <v/>
      </c>
      <c r="AY141" s="39">
        <f>SUM(-AR141+AS141*0.01+AT141*0.5+AU141)</f>
        <v/>
      </c>
      <c r="AZ141" s="39">
        <f>'0分'!AF138</f>
        <v/>
      </c>
      <c r="BA141" s="39">
        <f>SUM(AY141,AX141,AW141)</f>
        <v/>
      </c>
      <c r="BB141" s="250" t="n"/>
      <c r="BC141" s="79">
        <f t="array" ref="BC141">SUMPRODUCT(--(NOT(ISBLANK('0₦'!D141:M141))), '0₦'!D$2:M$2) +  SUMPRODUCT(--(NOT(ISBLANK('0₦'!Q141:T141))), '0₦'!Q$2:T$2)</f>
        <v/>
      </c>
      <c r="BD141" s="250">
        <f t="array" ref="BD141">SUMPRODUCT(--(NOT(ISBLANK('0₦'!N141:P141))),'0₦'!N$2:P$2)+'0₦'!AY141</f>
        <v/>
      </c>
      <c r="BE141" s="79">
        <f t="array" ref="BE141">SUMPRODUCT(--(NOT(ISBLANK('0₦'!AA141:AC141))),'0₦'!AA$2:AC$2) + BF141</f>
        <v/>
      </c>
      <c r="BF141" s="79" t="n"/>
      <c r="BG141" s="79">
        <f t="array" ref="BG141">SUMPRODUCT(--(NOT(ISBLANK('0₦'!U141:Z141))), '0₦'!U$2:Z$2)</f>
        <v/>
      </c>
      <c r="BH141" s="79" t="n"/>
      <c r="BI141" s="79">
        <f>SUM(BG141:BH141)</f>
        <v/>
      </c>
      <c r="BJ141" s="79" t="n"/>
      <c r="BK141" s="79" t="n"/>
      <c r="BL141" s="79" t="n"/>
      <c r="BM141" s="79" t="n"/>
      <c r="BN141" s="79" t="n"/>
      <c r="BO141" s="79" t="n"/>
      <c r="BP141" s="79" t="n"/>
      <c r="BQ141" s="79" t="n"/>
      <c r="BR141" s="79" t="n"/>
      <c r="BS141" s="79" t="n"/>
      <c r="BT141" s="79" t="n"/>
      <c r="BU141" s="79" t="n"/>
      <c r="BV141" s="79" t="n"/>
      <c r="BW141" s="79" t="n"/>
      <c r="BX141" s="79" t="n"/>
      <c r="BY141" s="79" t="n"/>
      <c r="BZ141" s="79" t="n"/>
      <c r="CA141" s="79" t="n"/>
    </row>
    <row r="142" hidden="1" ht="17.1" customHeight="1" s="37">
      <c r="A142" s="551" t="n"/>
      <c r="B142" s="150" t="inlineStr">
        <is>
          <t>Th</t>
        </is>
      </c>
      <c r="C142" s="550">
        <f>C141+1</f>
        <v/>
      </c>
      <c r="G142" s="216" t="n"/>
      <c r="H142" s="57" t="n"/>
      <c r="O142" s="216" t="n"/>
      <c r="X142" s="20" t="n"/>
      <c r="AF142" s="450" t="n"/>
      <c r="AN142" s="45" t="n"/>
      <c r="AP142" s="45" t="n"/>
      <c r="AQ142" s="12" t="n"/>
      <c r="AR142" s="216" t="n">
        <v>40</v>
      </c>
      <c r="AS142" s="216" t="n"/>
      <c r="AT142" s="216" t="n"/>
      <c r="AU142" s="216">
        <f>N142+O142 + 0</f>
        <v/>
      </c>
      <c r="AW142" s="2">
        <f>SUM(AH142:AI142,AJ142/2,AK142:AL142)</f>
        <v/>
      </c>
      <c r="AX142" s="2">
        <f>AM142*0.5+SUM(AN142:AP142)</f>
        <v/>
      </c>
      <c r="AY142" s="39">
        <f>SUM(-AR142+AS142*0.01+AT142*0.5+AU142)</f>
        <v/>
      </c>
      <c r="AZ142" s="39">
        <f>'0分'!AF139</f>
        <v/>
      </c>
      <c r="BA142" s="39">
        <f>SUM(AY142,AX142,AW142)</f>
        <v/>
      </c>
      <c r="BB142" s="250" t="n"/>
      <c r="BC142" s="79">
        <f t="array" ref="BC142">SUMPRODUCT(--(NOT(ISBLANK('0₦'!D142:M142))), '0₦'!D$2:M$2) +  SUMPRODUCT(--(NOT(ISBLANK('0₦'!Q142:T142))), '0₦'!Q$2:T$2)</f>
        <v/>
      </c>
      <c r="BD142" s="250">
        <f t="array" ref="BD142">SUMPRODUCT(--(NOT(ISBLANK('0₦'!N142:P142))),'0₦'!N$2:P$2)+'0₦'!AY142</f>
        <v/>
      </c>
      <c r="BE142" s="79">
        <f t="array" ref="BE142">SUMPRODUCT(--(NOT(ISBLANK('0₦'!AA142:AC142))),'0₦'!AA$2:AC$2) + BF142</f>
        <v/>
      </c>
      <c r="BF142" s="79" t="n"/>
      <c r="BG142" s="79">
        <f t="array" ref="BG142">SUMPRODUCT(--(NOT(ISBLANK('0₦'!U142:Z142))), '0₦'!U$2:Z$2)</f>
        <v/>
      </c>
      <c r="BH142" s="79" t="n"/>
      <c r="BI142" s="79">
        <f>SUM(BG142:BH142)</f>
        <v/>
      </c>
      <c r="BJ142" s="79" t="n"/>
      <c r="BK142" s="79" t="n"/>
      <c r="BL142" s="79" t="n"/>
      <c r="BM142" s="79" t="n"/>
      <c r="BN142" s="79" t="n"/>
      <c r="BO142" s="79" t="n"/>
      <c r="BP142" s="79" t="n"/>
      <c r="BQ142" s="79" t="n"/>
      <c r="BR142" s="79" t="n"/>
      <c r="BS142" s="79" t="n"/>
      <c r="BT142" s="79" t="n"/>
      <c r="BU142" s="79" t="n"/>
      <c r="BV142" s="79" t="n"/>
      <c r="BW142" s="79" t="n"/>
      <c r="BX142" s="79" t="n"/>
      <c r="BY142" s="79" t="n"/>
      <c r="BZ142" s="79" t="n"/>
      <c r="CA142" s="79" t="n"/>
    </row>
    <row r="143" hidden="1" s="37">
      <c r="A143" s="551" t="n"/>
      <c r="B143" s="150" t="inlineStr">
        <is>
          <t>F</t>
        </is>
      </c>
      <c r="C143" s="550">
        <f>C142+1</f>
        <v/>
      </c>
      <c r="G143" s="216" t="n"/>
      <c r="H143" s="57" t="n"/>
      <c r="O143" s="216" t="n"/>
      <c r="X143" s="20" t="n"/>
      <c r="AF143" s="450" t="n"/>
      <c r="AN143" s="45" t="n"/>
      <c r="AP143" s="45" t="n"/>
      <c r="AQ143" s="12" t="n"/>
      <c r="AR143" s="216" t="n">
        <v>40</v>
      </c>
      <c r="AS143" s="216" t="n"/>
      <c r="AT143" s="216" t="n"/>
      <c r="AU143" s="216">
        <f>N143+O143 + 0</f>
        <v/>
      </c>
      <c r="AW143" s="2">
        <f>SUM(AH143:AI143,AJ143/2,AK143:AL143)</f>
        <v/>
      </c>
      <c r="AX143" s="2">
        <f>AM143*0.5+SUM(AN143:AP143)</f>
        <v/>
      </c>
      <c r="AY143" s="39">
        <f>SUM(-AR143+AS143*0.01+AT143*0.5+AU143)</f>
        <v/>
      </c>
      <c r="AZ143" s="39">
        <f>'0分'!AF140</f>
        <v/>
      </c>
      <c r="BA143" s="39">
        <f>SUM(AY143,AX143,AW143)</f>
        <v/>
      </c>
      <c r="BB143" s="250" t="n"/>
      <c r="BC143" s="79">
        <f t="array" ref="BC143">SUMPRODUCT(--(NOT(ISBLANK('0₦'!D143:M143))), '0₦'!D$2:M$2) +  SUMPRODUCT(--(NOT(ISBLANK('0₦'!Q143:T143))), '0₦'!Q$2:T$2)</f>
        <v/>
      </c>
      <c r="BD143" s="250">
        <f t="array" ref="BD143">SUMPRODUCT(--(NOT(ISBLANK('0₦'!N143:P143))),'0₦'!N$2:P$2)+'0₦'!AY143</f>
        <v/>
      </c>
      <c r="BE143" s="79">
        <f t="array" ref="BE143">SUMPRODUCT(--(NOT(ISBLANK('0₦'!AA143:AC143))),'0₦'!AA$2:AC$2) + BF143</f>
        <v/>
      </c>
      <c r="BF143" s="79" t="n"/>
      <c r="BG143" s="79">
        <f t="array" ref="BG143">SUMPRODUCT(--(NOT(ISBLANK('0₦'!U143:Z143))), '0₦'!U$2:Z$2)</f>
        <v/>
      </c>
      <c r="BH143" s="79" t="n"/>
      <c r="BI143" s="79">
        <f>SUM(BG143:BH143)</f>
        <v/>
      </c>
      <c r="BJ143" s="79" t="n"/>
      <c r="BK143" s="79" t="n"/>
      <c r="BL143" s="79" t="n"/>
      <c r="BM143" s="79" t="n"/>
      <c r="BN143" s="79" t="n"/>
      <c r="BO143" s="79" t="n"/>
      <c r="BP143" s="79" t="n"/>
      <c r="BQ143" s="79" t="n"/>
      <c r="BR143" s="79" t="n"/>
      <c r="BS143" s="79" t="n"/>
      <c r="BT143" s="79" t="n"/>
      <c r="BU143" s="79" t="n"/>
      <c r="BV143" s="79" t="n"/>
      <c r="BW143" s="79" t="n"/>
      <c r="BX143" s="79" t="n"/>
      <c r="BY143" s="79" t="n"/>
      <c r="BZ143" s="79" t="n"/>
      <c r="CA143" s="79" t="n"/>
    </row>
    <row r="144" hidden="1" ht="18" customHeight="1" s="37">
      <c r="A144" s="552" t="n"/>
      <c r="B144" s="150" t="inlineStr">
        <is>
          <t>S</t>
        </is>
      </c>
      <c r="C144" s="550">
        <f>C143+1</f>
        <v/>
      </c>
      <c r="G144" s="216" t="n"/>
      <c r="H144" s="57" t="n"/>
      <c r="O144" s="216" t="n"/>
      <c r="T144" s="38" t="n"/>
      <c r="U144" s="38" t="n"/>
      <c r="X144" s="20" t="n"/>
      <c r="AF144" s="450" t="n"/>
      <c r="AN144" s="45" t="n"/>
      <c r="AP144" s="45" t="n"/>
      <c r="AQ144" s="12" t="n"/>
      <c r="AR144" s="216" t="n">
        <v>40</v>
      </c>
      <c r="AS144" s="216" t="n"/>
      <c r="AT144" s="216" t="n"/>
      <c r="AU144" s="216">
        <f>N144+O144 + 0</f>
        <v/>
      </c>
      <c r="AW144" s="2">
        <f>SUM(AH144:AI144,AJ144/2,AK144:AL144)</f>
        <v/>
      </c>
      <c r="AX144" s="2">
        <f>AM144*0.5+SUM(AN144:AP144)</f>
        <v/>
      </c>
      <c r="AY144" s="39">
        <f>SUM(-AR144+AS144*0.01+AT144*0.5+AU144)</f>
        <v/>
      </c>
      <c r="AZ144" s="39">
        <f>'0分'!AF141</f>
        <v/>
      </c>
      <c r="BA144" s="39">
        <f>SUM(AY144,AX144,AW144)</f>
        <v/>
      </c>
      <c r="BB144" s="250" t="n"/>
      <c r="BC144" s="79">
        <f t="array" ref="BC144">SUMPRODUCT(--(NOT(ISBLANK('0₦'!D144:M144))), '0₦'!D$2:M$2) +  SUMPRODUCT(--(NOT(ISBLANK('0₦'!Q144:T144))), '0₦'!Q$2:T$2)</f>
        <v/>
      </c>
      <c r="BD144" s="250">
        <f t="array" ref="BD144">SUMPRODUCT(--(NOT(ISBLANK('0₦'!N144:P144))),'0₦'!N$2:P$2)+'0₦'!AY144</f>
        <v/>
      </c>
      <c r="BE144" s="79">
        <f t="array" ref="BE144">SUMPRODUCT(--(NOT(ISBLANK('0₦'!AA144:AC144))),'0₦'!AA$2:AC$2) + BF144</f>
        <v/>
      </c>
      <c r="BF144" s="79" t="n"/>
      <c r="BG144" s="79">
        <f t="array" ref="BG144">SUMPRODUCT(--(NOT(ISBLANK('0₦'!U144:Z144))), '0₦'!U$2:Z$2)</f>
        <v/>
      </c>
      <c r="BH144" s="79" t="n"/>
      <c r="BI144" s="79">
        <f>SUM(BG144:BH144)</f>
        <v/>
      </c>
      <c r="BJ144" s="79" t="n"/>
      <c r="BK144" s="79" t="n"/>
      <c r="BL144" s="79" t="n"/>
      <c r="BM144" s="79" t="n"/>
      <c r="BN144" s="79" t="n"/>
      <c r="BO144" s="79" t="n"/>
      <c r="BP144" s="79" t="n"/>
      <c r="BQ144" s="79" t="n"/>
      <c r="BR144" s="79" t="n"/>
      <c r="BS144" s="79" t="n"/>
      <c r="BT144" s="79" t="n"/>
      <c r="BU144" s="79" t="n"/>
      <c r="BV144" s="79" t="n"/>
      <c r="BW144" s="79" t="n"/>
      <c r="BX144" s="79" t="n"/>
      <c r="BY144" s="79" t="n"/>
      <c r="BZ144" s="79" t="n"/>
      <c r="CA144" s="79" t="n"/>
    </row>
    <row r="145" hidden="1" ht="20.1" customHeight="1" s="37">
      <c r="A145" s="462">
        <f>A138+0.1</f>
        <v/>
      </c>
      <c r="B145" s="150" t="inlineStr">
        <is>
          <t>S</t>
        </is>
      </c>
      <c r="C145" s="550">
        <f>C144+1</f>
        <v/>
      </c>
      <c r="G145" s="216" t="n"/>
      <c r="H145" s="57" t="n"/>
      <c r="M145" s="38" t="n"/>
      <c r="N145" s="38" t="n"/>
      <c r="O145" s="216" t="n"/>
      <c r="X145" s="20" t="n"/>
      <c r="AF145" s="450" t="n"/>
      <c r="AN145" s="45" t="n"/>
      <c r="AP145" s="45" t="n"/>
      <c r="AQ145" s="12" t="n"/>
      <c r="AR145" s="216" t="n">
        <v>40</v>
      </c>
      <c r="AS145" s="216" t="n"/>
      <c r="AT145" s="216" t="n"/>
      <c r="AU145" s="216">
        <f>N145+O145 + 0</f>
        <v/>
      </c>
      <c r="AW145" s="2">
        <f>SUM(AH145:AI145,AJ145/2,AK145:AL145)</f>
        <v/>
      </c>
      <c r="AX145" s="2">
        <f>AM145*0.5+SUM(AN145:AP145)</f>
        <v/>
      </c>
      <c r="AY145" s="39">
        <f>SUM(-AR145+AS145*0.01+AT145*0.5+AU145)</f>
        <v/>
      </c>
      <c r="AZ145" s="39">
        <f>'0分'!AF142</f>
        <v/>
      </c>
      <c r="BA145" s="39">
        <f>SUM(AY145,AX145,AW145)</f>
        <v/>
      </c>
      <c r="BB145" s="250" t="n"/>
      <c r="BC145" s="79">
        <f t="array" ref="BC145">SUMPRODUCT(--(NOT(ISBLANK('0₦'!D145:M145))), '0₦'!D$2:M$2) +  SUMPRODUCT(--(NOT(ISBLANK('0₦'!Q145:T145))), '0₦'!Q$2:T$2)</f>
        <v/>
      </c>
      <c r="BD145" s="250">
        <f t="array" ref="BD145">SUMPRODUCT(--(NOT(ISBLANK('0₦'!N145:P145))),'0₦'!N$2:P$2)+'0₦'!AY145</f>
        <v/>
      </c>
      <c r="BE145" s="79">
        <f t="array" ref="BE145">SUMPRODUCT(--(NOT(ISBLANK('0₦'!AA145:AC145))),'0₦'!AA$2:AC$2) + BF145</f>
        <v/>
      </c>
      <c r="BF145" s="79" t="n"/>
      <c r="BG145" s="79">
        <f t="array" ref="BG145">SUMPRODUCT(--(NOT(ISBLANK('0₦'!U145:Z145))), '0₦'!U$2:Z$2)</f>
        <v/>
      </c>
      <c r="BH145" s="79" t="n"/>
      <c r="BI145" s="79">
        <f>SUM(BG145:BH145)</f>
        <v/>
      </c>
      <c r="BJ145" s="79" t="n"/>
      <c r="BK145" s="79" t="n"/>
      <c r="BL145" s="79" t="n"/>
      <c r="BM145" s="79" t="n"/>
      <c r="BN145" s="79" t="n"/>
      <c r="BO145" s="79" t="n"/>
      <c r="BP145" s="79" t="n"/>
      <c r="BQ145" s="79" t="n"/>
      <c r="BR145" s="79" t="n"/>
      <c r="BS145" s="79" t="n"/>
      <c r="BT145" s="79" t="n"/>
      <c r="BU145" s="79" t="n"/>
      <c r="BV145" s="79" t="n"/>
      <c r="BW145" s="79" t="n"/>
      <c r="BX145" s="79" t="n"/>
      <c r="BY145" s="79" t="n"/>
      <c r="BZ145" s="79" t="n"/>
      <c r="CA145" s="79" t="n"/>
    </row>
    <row r="146" hidden="1" ht="17.1" customHeight="1" s="37">
      <c r="A146" s="551" t="n"/>
      <c r="B146" s="150" t="inlineStr">
        <is>
          <t>M</t>
        </is>
      </c>
      <c r="C146" s="550">
        <f>C145+1</f>
        <v/>
      </c>
      <c r="G146" s="216" t="n"/>
      <c r="H146" s="57" t="n"/>
      <c r="O146" s="216" t="n"/>
      <c r="X146" s="20" t="n"/>
      <c r="AF146" s="450" t="n"/>
      <c r="AN146" s="45" t="n"/>
      <c r="AP146" s="45" t="n"/>
      <c r="AQ146" s="12" t="n"/>
      <c r="AR146" s="216" t="n">
        <v>40</v>
      </c>
      <c r="AS146" s="216" t="n"/>
      <c r="AT146" s="216" t="n"/>
      <c r="AU146" s="216">
        <f>N146+O146 + 0</f>
        <v/>
      </c>
      <c r="AW146" s="2">
        <f>SUM(AH146:AI146,AJ146/2,AK146:AL146)</f>
        <v/>
      </c>
      <c r="AX146" s="2">
        <f>AM146*0.5+SUM(AN146:AP146)</f>
        <v/>
      </c>
      <c r="AY146" s="39">
        <f>SUM(-AR146+AS146*0.01+AT146*0.5+AU146)</f>
        <v/>
      </c>
      <c r="AZ146" s="39">
        <f>'0分'!AF143</f>
        <v/>
      </c>
      <c r="BA146" s="39">
        <f>SUM(AY146,AX146,AW146)</f>
        <v/>
      </c>
      <c r="BB146" s="250" t="n"/>
      <c r="BC146" s="79">
        <f t="array" ref="BC146">SUMPRODUCT(--(NOT(ISBLANK('0₦'!D146:M146))), '0₦'!D$2:M$2) +  SUMPRODUCT(--(NOT(ISBLANK('0₦'!Q146:T146))), '0₦'!Q$2:T$2)</f>
        <v/>
      </c>
      <c r="BD146" s="250">
        <f t="array" ref="BD146">SUMPRODUCT(--(NOT(ISBLANK('0₦'!N146:P146))),'0₦'!N$2:P$2)+'0₦'!AY146</f>
        <v/>
      </c>
      <c r="BE146" s="79">
        <f t="array" ref="BE146">SUMPRODUCT(--(NOT(ISBLANK('0₦'!AA146:AC146))),'0₦'!AA$2:AC$2) + BF146</f>
        <v/>
      </c>
      <c r="BF146" s="79" t="n"/>
      <c r="BG146" s="79">
        <f t="array" ref="BG146">SUMPRODUCT(--(NOT(ISBLANK('0₦'!U146:Z146))), '0₦'!U$2:Z$2)</f>
        <v/>
      </c>
      <c r="BH146" s="79" t="n"/>
      <c r="BI146" s="79">
        <f>SUM(BG146:BH146)</f>
        <v/>
      </c>
      <c r="BJ146" s="79" t="n"/>
      <c r="BK146" s="79" t="n"/>
      <c r="BL146" s="79" t="n"/>
      <c r="BM146" s="79" t="n"/>
      <c r="BN146" s="79" t="n"/>
      <c r="BO146" s="79" t="n"/>
      <c r="BP146" s="79" t="n"/>
      <c r="BQ146" s="79" t="n"/>
      <c r="BR146" s="79" t="n"/>
      <c r="BS146" s="79" t="n"/>
      <c r="BT146" s="79" t="n"/>
      <c r="BU146" s="79" t="n"/>
      <c r="BV146" s="79" t="n"/>
      <c r="BW146" s="79" t="n"/>
      <c r="BX146" s="79" t="n"/>
      <c r="BY146" s="79" t="n"/>
      <c r="BZ146" s="79" t="n"/>
      <c r="CA146" s="79" t="n"/>
    </row>
    <row r="147" hidden="1" s="37">
      <c r="A147" s="551" t="n"/>
      <c r="B147" s="150" t="inlineStr">
        <is>
          <t>T</t>
        </is>
      </c>
      <c r="C147" s="550">
        <f>C146+1</f>
        <v/>
      </c>
      <c r="G147" s="216" t="n"/>
      <c r="H147" s="57" t="n"/>
      <c r="O147" s="216" t="n"/>
      <c r="X147" s="20" t="n"/>
      <c r="AF147" s="450" t="n"/>
      <c r="AN147" s="45" t="n"/>
      <c r="AP147" s="45" t="n"/>
      <c r="AQ147" s="12" t="n"/>
      <c r="AR147" s="216" t="n">
        <v>40</v>
      </c>
      <c r="AS147" s="216" t="n"/>
      <c r="AT147" s="216" t="n"/>
      <c r="AU147" s="216">
        <f>N147+O147 + 0</f>
        <v/>
      </c>
      <c r="AW147" s="2">
        <f>SUM(AH147:AI147,AJ147/2,AK147:AL147)</f>
        <v/>
      </c>
      <c r="AX147" s="2">
        <f>AM147*0.5+SUM(AN147:AP147)</f>
        <v/>
      </c>
      <c r="AY147" s="39">
        <f>SUM(-AR147+AS147*0.01+AT147*0.5+AU147)</f>
        <v/>
      </c>
      <c r="AZ147" s="39">
        <f>'0分'!AF144</f>
        <v/>
      </c>
      <c r="BA147" s="39">
        <f>SUM(AY147,AX147,AW147)</f>
        <v/>
      </c>
      <c r="BB147" s="250" t="n"/>
      <c r="BC147" s="79">
        <f t="array" ref="BC147">SUMPRODUCT(--(NOT(ISBLANK('0₦'!D147:M147))), '0₦'!D$2:M$2) +  SUMPRODUCT(--(NOT(ISBLANK('0₦'!Q147:T147))), '0₦'!Q$2:T$2)</f>
        <v/>
      </c>
      <c r="BD147" s="250">
        <f t="array" ref="BD147">SUMPRODUCT(--(NOT(ISBLANK('0₦'!N147:P147))),'0₦'!N$2:P$2)+'0₦'!AY147</f>
        <v/>
      </c>
      <c r="BE147" s="79">
        <f t="array" ref="BE147">SUMPRODUCT(--(NOT(ISBLANK('0₦'!AA147:AC147))),'0₦'!AA$2:AC$2) + BF147</f>
        <v/>
      </c>
      <c r="BF147" s="79" t="n"/>
      <c r="BG147" s="79">
        <f t="array" ref="BG147">SUMPRODUCT(--(NOT(ISBLANK('0₦'!U147:Z147))), '0₦'!U$2:Z$2)</f>
        <v/>
      </c>
      <c r="BH147" s="79" t="n"/>
      <c r="BI147" s="79">
        <f>SUM(BG147:BH147)</f>
        <v/>
      </c>
      <c r="BJ147" s="79" t="n"/>
      <c r="BK147" s="79" t="n"/>
      <c r="BL147" s="79" t="n"/>
      <c r="BM147" s="79" t="n"/>
      <c r="BN147" s="79" t="n"/>
      <c r="BO147" s="79" t="n"/>
      <c r="BP147" s="79" t="n"/>
      <c r="BQ147" s="79" t="n"/>
      <c r="BR147" s="79" t="n"/>
      <c r="BS147" s="79" t="n"/>
      <c r="BT147" s="79" t="n"/>
      <c r="BU147" s="79" t="n"/>
      <c r="BV147" s="79" t="n"/>
      <c r="BW147" s="79" t="n"/>
      <c r="BX147" s="79" t="n"/>
      <c r="BY147" s="79" t="n"/>
      <c r="BZ147" s="79" t="n"/>
      <c r="CA147" s="79" t="n"/>
    </row>
    <row r="148" hidden="1" s="37">
      <c r="A148" s="551" t="n"/>
      <c r="B148" s="150" t="inlineStr">
        <is>
          <t>W</t>
        </is>
      </c>
      <c r="C148" s="550">
        <f>C147+1</f>
        <v/>
      </c>
      <c r="G148" s="216" t="n"/>
      <c r="H148" s="57" t="n"/>
      <c r="N148" s="38" t="n"/>
      <c r="O148" s="216" t="n"/>
      <c r="X148" s="20" t="n"/>
      <c r="AF148" s="450" t="n"/>
      <c r="AN148" s="45" t="n"/>
      <c r="AP148" s="45" t="n"/>
      <c r="AQ148" s="12" t="n"/>
      <c r="AR148" s="216" t="n">
        <v>40</v>
      </c>
      <c r="AS148" s="216" t="n"/>
      <c r="AT148" s="216" t="n"/>
      <c r="AU148" s="216">
        <f>N148+O148 + 0</f>
        <v/>
      </c>
      <c r="AW148" s="2">
        <f>SUM(AH148:AI148,AJ148/2,AK148:AL148)</f>
        <v/>
      </c>
      <c r="AX148" s="2">
        <f>AM148*0.5+SUM(AN148:AP148)</f>
        <v/>
      </c>
      <c r="AY148" s="39">
        <f>SUM(-AR148+AS148*0.01+AT148*0.5+AU148)</f>
        <v/>
      </c>
      <c r="AZ148" s="39">
        <f>'0分'!AF145</f>
        <v/>
      </c>
      <c r="BA148" s="39">
        <f>SUM(AY148,AX148,AW148)</f>
        <v/>
      </c>
      <c r="BB148" s="250" t="n"/>
      <c r="BC148" s="79">
        <f t="array" ref="BC148">SUMPRODUCT(--(NOT(ISBLANK('0₦'!D148:M148))), '0₦'!D$2:M$2) +  SUMPRODUCT(--(NOT(ISBLANK('0₦'!Q148:T148))), '0₦'!Q$2:T$2)</f>
        <v/>
      </c>
      <c r="BD148" s="250">
        <f t="array" ref="BD148">SUMPRODUCT(--(NOT(ISBLANK('0₦'!N148:P148))),'0₦'!N$2:P$2)+'0₦'!AY148</f>
        <v/>
      </c>
      <c r="BE148" s="79">
        <f t="array" ref="BE148">SUMPRODUCT(--(NOT(ISBLANK('0₦'!AA148:AC148))),'0₦'!AA$2:AC$2) + BF148</f>
        <v/>
      </c>
      <c r="BF148" s="79" t="n"/>
      <c r="BG148" s="79">
        <f t="array" ref="BG148">SUMPRODUCT(--(NOT(ISBLANK('0₦'!U148:Z148))), '0₦'!U$2:Z$2)</f>
        <v/>
      </c>
      <c r="BH148" s="79" t="n"/>
      <c r="BI148" s="79">
        <f>SUM(BG148:BH148)</f>
        <v/>
      </c>
      <c r="BJ148" s="79" t="n"/>
      <c r="BK148" s="79" t="n"/>
      <c r="BL148" s="79" t="n"/>
      <c r="BM148" s="79" t="n"/>
      <c r="BN148" s="79" t="n"/>
      <c r="BO148" s="79" t="n"/>
      <c r="BP148" s="79" t="n"/>
      <c r="BQ148" s="79" t="n"/>
      <c r="BR148" s="79" t="n"/>
      <c r="BS148" s="79" t="n"/>
      <c r="BT148" s="79" t="n"/>
      <c r="BU148" s="79" t="n"/>
      <c r="BV148" s="79" t="n"/>
      <c r="BW148" s="79" t="n"/>
      <c r="BX148" s="79" t="n"/>
      <c r="BY148" s="79" t="n"/>
      <c r="BZ148" s="79" t="n"/>
      <c r="CA148" s="79" t="n"/>
    </row>
    <row r="149" hidden="1" ht="17.1" customHeight="1" s="37">
      <c r="A149" s="551" t="n"/>
      <c r="B149" s="150" t="inlineStr">
        <is>
          <t>Th</t>
        </is>
      </c>
      <c r="C149" s="550">
        <f>C148+1</f>
        <v/>
      </c>
      <c r="G149" s="216" t="n"/>
      <c r="H149" s="57" t="n"/>
      <c r="N149" s="38" t="n"/>
      <c r="O149" s="216" t="n"/>
      <c r="X149" s="20" t="n"/>
      <c r="AF149" s="450" t="n"/>
      <c r="AN149" s="45" t="n"/>
      <c r="AP149" s="45" t="n"/>
      <c r="AQ149" s="12" t="n"/>
      <c r="AR149" s="216" t="n">
        <v>40</v>
      </c>
      <c r="AS149" s="216" t="n"/>
      <c r="AT149" s="216" t="n"/>
      <c r="AU149" s="216">
        <f>N149+O149 + 0</f>
        <v/>
      </c>
      <c r="AW149" s="2">
        <f>SUM(AH149:AI149,AJ149/2,AK149:AL149)</f>
        <v/>
      </c>
      <c r="AX149" s="2">
        <f>AM149*0.5+SUM(AN149:AP149)</f>
        <v/>
      </c>
      <c r="AY149" s="39">
        <f>SUM(-AR149+AS149*0.01+AT149*0.5+AU149)</f>
        <v/>
      </c>
      <c r="AZ149" s="39">
        <f>'0分'!AF146</f>
        <v/>
      </c>
      <c r="BA149" s="39">
        <f>SUM(AY149,AX149,AW149)</f>
        <v/>
      </c>
      <c r="BB149" s="250" t="n"/>
      <c r="BC149" s="79">
        <f t="array" ref="BC149">SUMPRODUCT(--(NOT(ISBLANK('0₦'!D149:M149))), '0₦'!D$2:M$2) +  SUMPRODUCT(--(NOT(ISBLANK('0₦'!Q149:T149))), '0₦'!Q$2:T$2)</f>
        <v/>
      </c>
      <c r="BD149" s="250">
        <f t="array" ref="BD149">SUMPRODUCT(--(NOT(ISBLANK('0₦'!N149:P149))),'0₦'!N$2:P$2)+'0₦'!AY149</f>
        <v/>
      </c>
      <c r="BE149" s="79">
        <f t="array" ref="BE149">SUMPRODUCT(--(NOT(ISBLANK('0₦'!AA149:AC149))),'0₦'!AA$2:AC$2) + BF149</f>
        <v/>
      </c>
      <c r="BF149" s="79" t="n"/>
      <c r="BG149" s="79">
        <f t="array" ref="BG149">SUMPRODUCT(--(NOT(ISBLANK('0₦'!U149:Z149))), '0₦'!U$2:Z$2)</f>
        <v/>
      </c>
      <c r="BH149" s="79" t="n"/>
      <c r="BI149" s="79">
        <f>SUM(BG149:BH149)</f>
        <v/>
      </c>
      <c r="BJ149" s="79" t="n"/>
      <c r="BK149" s="79" t="n"/>
      <c r="BL149" s="79" t="n"/>
      <c r="BM149" s="79" t="n"/>
      <c r="BN149" s="79" t="n"/>
      <c r="BO149" s="79" t="n"/>
      <c r="BP149" s="79" t="n"/>
      <c r="BQ149" s="79" t="n"/>
      <c r="BR149" s="79" t="n"/>
      <c r="BS149" s="79" t="n"/>
      <c r="BT149" s="79" t="n"/>
      <c r="BU149" s="79" t="n"/>
      <c r="BV149" s="79" t="n"/>
      <c r="BW149" s="79" t="n"/>
      <c r="BX149" s="79" t="n"/>
      <c r="BY149" s="79" t="n"/>
      <c r="BZ149" s="79" t="n"/>
      <c r="CA149" s="79" t="n"/>
    </row>
    <row r="150" hidden="1" ht="17.1" customHeight="1" s="37">
      <c r="A150" s="551" t="n"/>
      <c r="B150" s="150" t="inlineStr">
        <is>
          <t>F</t>
        </is>
      </c>
      <c r="C150" s="550">
        <f>C149+1</f>
        <v/>
      </c>
      <c r="G150" s="216" t="n"/>
      <c r="H150" s="57" t="n"/>
      <c r="L150" s="38" t="n"/>
      <c r="O150" s="216" t="n"/>
      <c r="X150" s="20" t="n"/>
      <c r="AF150" s="450" t="n"/>
      <c r="AN150" s="45" t="n"/>
      <c r="AP150" s="45" t="n"/>
      <c r="AQ150" s="12" t="n"/>
      <c r="AR150" s="216" t="n">
        <v>40</v>
      </c>
      <c r="AS150" s="216" t="n"/>
      <c r="AT150" s="216" t="n"/>
      <c r="AU150" s="216">
        <f>N150+O150 + 0</f>
        <v/>
      </c>
      <c r="AW150" s="2">
        <f>SUM(AH150:AI150,AJ150/2,AK150:AL150)</f>
        <v/>
      </c>
      <c r="AX150" s="2">
        <f>AM150*0.5+SUM(AN150:AP150)</f>
        <v/>
      </c>
      <c r="AY150" s="39">
        <f>SUM(-AR150+AS150*0.01+AT150*0.5+AU150)</f>
        <v/>
      </c>
      <c r="AZ150" s="39">
        <f>'0分'!AF147</f>
        <v/>
      </c>
      <c r="BA150" s="39">
        <f>SUM(AY150,AX150,AW150)</f>
        <v/>
      </c>
      <c r="BB150" s="250" t="n"/>
      <c r="BC150" s="79">
        <f t="array" ref="BC150">SUMPRODUCT(--(NOT(ISBLANK('0₦'!D150:M150))), '0₦'!D$2:M$2) +  SUMPRODUCT(--(NOT(ISBLANK('0₦'!Q150:T150))), '0₦'!Q$2:T$2)</f>
        <v/>
      </c>
      <c r="BD150" s="250">
        <f t="array" ref="BD150">SUMPRODUCT(--(NOT(ISBLANK('0₦'!N150:P150))),'0₦'!N$2:P$2)+'0₦'!AY150</f>
        <v/>
      </c>
      <c r="BE150" s="79">
        <f t="array" ref="BE150">SUMPRODUCT(--(NOT(ISBLANK('0₦'!AA150:AC150))),'0₦'!AA$2:AC$2) + BF150</f>
        <v/>
      </c>
      <c r="BF150" s="79" t="n"/>
      <c r="BG150" s="79">
        <f t="array" ref="BG150">SUMPRODUCT(--(NOT(ISBLANK('0₦'!U150:Z150))), '0₦'!U$2:Z$2)</f>
        <v/>
      </c>
      <c r="BH150" s="79" t="n"/>
      <c r="BI150" s="79">
        <f>SUM(BG150:BH150)</f>
        <v/>
      </c>
      <c r="BJ150" s="79" t="n"/>
      <c r="BK150" s="79" t="n"/>
      <c r="BL150" s="79" t="n"/>
      <c r="BM150" s="79" t="n"/>
      <c r="BN150" s="79" t="n"/>
      <c r="BO150" s="79" t="n"/>
      <c r="BP150" s="79" t="n"/>
      <c r="BQ150" s="79" t="n"/>
      <c r="BR150" s="79" t="n"/>
      <c r="BS150" s="79" t="n"/>
      <c r="BT150" s="79" t="n"/>
      <c r="BU150" s="79" t="n"/>
      <c r="BV150" s="79" t="n"/>
      <c r="BW150" s="79" t="n"/>
      <c r="BX150" s="79" t="n"/>
      <c r="BY150" s="79" t="n"/>
      <c r="BZ150" s="79" t="n"/>
      <c r="CA150" s="79" t="n"/>
    </row>
    <row r="151" hidden="1" ht="17.1" customHeight="1" s="37">
      <c r="A151" s="552" t="n"/>
      <c r="B151" s="150" t="inlineStr">
        <is>
          <t>S</t>
        </is>
      </c>
      <c r="C151" s="550">
        <f>C150+1</f>
        <v/>
      </c>
      <c r="G151" s="216" t="n"/>
      <c r="H151" s="57" t="n"/>
      <c r="O151" s="216" t="n"/>
      <c r="X151" s="20" t="n"/>
      <c r="AF151" s="450" t="n"/>
      <c r="AN151" s="45" t="n"/>
      <c r="AP151" s="45" t="n"/>
      <c r="AQ151" s="12" t="n"/>
      <c r="AR151" s="216" t="n">
        <v>40</v>
      </c>
      <c r="AS151" s="216" t="n"/>
      <c r="AT151" s="216" t="n"/>
      <c r="AU151" s="216">
        <f>N151+O151 + 0</f>
        <v/>
      </c>
      <c r="AW151" s="2">
        <f>SUM(AH151:AI151,AJ151/2,AK151:AL151)</f>
        <v/>
      </c>
      <c r="AX151" s="2">
        <f>AM151*0.5+SUM(AN151:AP151)</f>
        <v/>
      </c>
      <c r="AY151" s="39">
        <f>SUM(-AR151+AS151*0.01+AT151*0.5+AU151)</f>
        <v/>
      </c>
      <c r="AZ151" s="39">
        <f>'0分'!AF148</f>
        <v/>
      </c>
      <c r="BA151" s="39">
        <f>SUM(AY151,AX151,AW151)</f>
        <v/>
      </c>
      <c r="BB151" s="250" t="n"/>
      <c r="BC151" s="79">
        <f t="array" ref="BC151">SUMPRODUCT(--(NOT(ISBLANK('0₦'!D151:M151))), '0₦'!D$2:M$2) +  SUMPRODUCT(--(NOT(ISBLANK('0₦'!Q151:T151))), '0₦'!Q$2:T$2)</f>
        <v/>
      </c>
      <c r="BD151" s="250">
        <f t="array" ref="BD151">SUMPRODUCT(--(NOT(ISBLANK('0₦'!N151:P151))),'0₦'!N$2:P$2)+'0₦'!AY151</f>
        <v/>
      </c>
      <c r="BE151" s="79">
        <f t="array" ref="BE151">SUMPRODUCT(--(NOT(ISBLANK('0₦'!AA151:AC151))),'0₦'!AA$2:AC$2) + BF151</f>
        <v/>
      </c>
      <c r="BF151" s="79" t="n"/>
      <c r="BG151" s="79">
        <f t="array" ref="BG151">SUMPRODUCT(--(NOT(ISBLANK('0₦'!U151:Z151))), '0₦'!U$2:Z$2)</f>
        <v/>
      </c>
      <c r="BH151" s="79" t="n"/>
      <c r="BI151" s="79">
        <f>SUM(BG151:BH151)</f>
        <v/>
      </c>
      <c r="BJ151" s="79" t="n"/>
      <c r="BK151" s="79" t="n"/>
      <c r="BL151" s="79" t="n"/>
      <c r="BM151" s="79" t="n"/>
      <c r="BN151" s="79" t="n"/>
      <c r="BO151" s="79" t="n"/>
      <c r="BP151" s="79" t="n"/>
      <c r="BQ151" s="79" t="n"/>
      <c r="BR151" s="79" t="n"/>
      <c r="BS151" s="79" t="n"/>
      <c r="BT151" s="79" t="n"/>
      <c r="BU151" s="79" t="n"/>
      <c r="BV151" s="79" t="n"/>
      <c r="BW151" s="79" t="n"/>
      <c r="BX151" s="79" t="n"/>
      <c r="BY151" s="79" t="n"/>
      <c r="BZ151" s="79" t="n"/>
      <c r="CA151" s="79" t="n"/>
    </row>
    <row r="152" hidden="1" ht="17.1" customHeight="1" s="37">
      <c r="A152" s="462">
        <f>A124+1</f>
        <v/>
      </c>
      <c r="B152" s="150" t="inlineStr">
        <is>
          <t>S</t>
        </is>
      </c>
      <c r="C152" s="550">
        <f>C151+1</f>
        <v/>
      </c>
      <c r="G152" s="216" t="n"/>
      <c r="H152" s="57" t="n"/>
      <c r="O152" s="216" t="n"/>
      <c r="X152" s="20" t="n"/>
      <c r="AF152" s="450" t="n"/>
      <c r="AN152" s="45" t="n"/>
      <c r="AP152" s="45" t="n"/>
      <c r="AQ152" s="12" t="n"/>
      <c r="AR152" s="216" t="n">
        <v>40</v>
      </c>
      <c r="AS152" s="216" t="n"/>
      <c r="AT152" s="216" t="n"/>
      <c r="AU152" s="216">
        <f>N152+O152 + 0</f>
        <v/>
      </c>
      <c r="AW152" s="2">
        <f>SUM(AH152:AI152,AJ152/2,AK152:AL152)</f>
        <v/>
      </c>
      <c r="AX152" s="2">
        <f>AM152*0.5+SUM(AN152:AP152)</f>
        <v/>
      </c>
      <c r="AY152" s="39">
        <f>SUM(-AR152+AS152*0.01+AT152*0.5+AU152)</f>
        <v/>
      </c>
      <c r="AZ152" s="39">
        <f>'0分'!AF149</f>
        <v/>
      </c>
      <c r="BA152" s="39">
        <f>SUM(AY152,AX152,AW152)</f>
        <v/>
      </c>
      <c r="BB152" s="250" t="n"/>
      <c r="BC152" s="79">
        <f t="array" ref="BC152">SUMPRODUCT(--(NOT(ISBLANK('0₦'!D152:M152))), '0₦'!D$2:M$2) +  SUMPRODUCT(--(NOT(ISBLANK('0₦'!Q152:T152))), '0₦'!Q$2:T$2)</f>
        <v/>
      </c>
      <c r="BD152" s="250">
        <f t="array" ref="BD152">SUMPRODUCT(--(NOT(ISBLANK('0₦'!N152:P152))),'0₦'!N$2:P$2)+'0₦'!AY152</f>
        <v/>
      </c>
      <c r="BE152" s="79">
        <f t="array" ref="BE152">SUMPRODUCT(--(NOT(ISBLANK('0₦'!AA152:AC152))),'0₦'!AA$2:AC$2) + BF152</f>
        <v/>
      </c>
      <c r="BF152" s="79" t="n"/>
      <c r="BG152" s="79">
        <f t="array" ref="BG152">SUMPRODUCT(--(NOT(ISBLANK('0₦'!U152:Z152))), '0₦'!U$2:Z$2)</f>
        <v/>
      </c>
      <c r="BH152" s="79" t="n"/>
      <c r="BI152" s="79">
        <f>SUM(BG152:BH152)</f>
        <v/>
      </c>
      <c r="BJ152" s="79" t="n"/>
      <c r="BK152" s="79" t="n"/>
      <c r="BL152" s="79" t="n"/>
      <c r="BM152" s="79" t="n"/>
      <c r="BN152" s="79" t="n"/>
      <c r="BO152" s="79" t="n"/>
      <c r="BP152" s="79" t="n"/>
      <c r="BQ152" s="79" t="n"/>
      <c r="BR152" s="79" t="n"/>
      <c r="BS152" s="79" t="n"/>
      <c r="BT152" s="79" t="n"/>
      <c r="BU152" s="79" t="n"/>
      <c r="BV152" s="79" t="n"/>
      <c r="BW152" s="79" t="n"/>
      <c r="BX152" s="79" t="n"/>
      <c r="BY152" s="79" t="n"/>
      <c r="BZ152" s="79" t="n"/>
      <c r="CA152" s="79" t="n"/>
    </row>
    <row r="153" hidden="1" s="37">
      <c r="A153" s="551" t="n"/>
      <c r="B153" s="150" t="inlineStr">
        <is>
          <t>M</t>
        </is>
      </c>
      <c r="C153" s="550">
        <f>C152+1</f>
        <v/>
      </c>
      <c r="G153" s="216" t="n"/>
      <c r="H153" s="57" t="n"/>
      <c r="O153" s="216" t="n"/>
      <c r="X153" s="20" t="n"/>
      <c r="AF153" s="450" t="n"/>
      <c r="AN153" s="45" t="n"/>
      <c r="AP153" s="45" t="n"/>
      <c r="AQ153" s="12" t="n"/>
      <c r="AR153" s="216" t="n">
        <v>40</v>
      </c>
      <c r="AS153" s="216" t="n"/>
      <c r="AT153" s="216" t="n"/>
      <c r="AU153" s="216">
        <f>N153+O153 + 0</f>
        <v/>
      </c>
      <c r="AW153" s="2">
        <f>SUM(AH153:AI153,AJ153/2,AK153:AL153)</f>
        <v/>
      </c>
      <c r="AX153" s="2">
        <f>AM153*0.5+SUM(AN153:AP153)</f>
        <v/>
      </c>
      <c r="AY153" s="39">
        <f>SUM(-AR153+AS153*0.01+AT153*0.5+AU153)</f>
        <v/>
      </c>
      <c r="AZ153" s="39">
        <f>'0分'!AF150</f>
        <v/>
      </c>
      <c r="BA153" s="39">
        <f>SUM(AY153,AX153,AW153)</f>
        <v/>
      </c>
      <c r="BB153" s="250" t="n"/>
      <c r="BC153" s="79">
        <f t="array" ref="BC153">SUMPRODUCT(--(NOT(ISBLANK('0₦'!D153:M153))), '0₦'!D$2:M$2) +  SUMPRODUCT(--(NOT(ISBLANK('0₦'!Q153:T153))), '0₦'!Q$2:T$2)</f>
        <v/>
      </c>
      <c r="BD153" s="250">
        <f t="array" ref="BD153">SUMPRODUCT(--(NOT(ISBLANK('0₦'!N153:P153))),'0₦'!N$2:P$2)+'0₦'!AY153</f>
        <v/>
      </c>
      <c r="BE153" s="79">
        <f t="array" ref="BE153">SUMPRODUCT(--(NOT(ISBLANK('0₦'!AA153:AC153))),'0₦'!AA$2:AC$2) + BF153</f>
        <v/>
      </c>
      <c r="BF153" s="79" t="n"/>
      <c r="BG153" s="79">
        <f t="array" ref="BG153">SUMPRODUCT(--(NOT(ISBLANK('0₦'!U153:Z153))), '0₦'!U$2:Z$2)</f>
        <v/>
      </c>
      <c r="BH153" s="79" t="n"/>
      <c r="BI153" s="79">
        <f>SUM(BG153:BH153)</f>
        <v/>
      </c>
      <c r="BJ153" s="79" t="n"/>
      <c r="BK153" s="79" t="n"/>
      <c r="BL153" s="79" t="n"/>
      <c r="BM153" s="79" t="n"/>
      <c r="BN153" s="79" t="n"/>
      <c r="BO153" s="79" t="n"/>
      <c r="BP153" s="79" t="n"/>
      <c r="BQ153" s="79" t="n"/>
      <c r="BR153" s="79" t="n"/>
      <c r="BS153" s="79" t="n"/>
      <c r="BT153" s="79" t="n"/>
      <c r="BU153" s="79" t="n"/>
      <c r="BV153" s="79" t="n"/>
      <c r="BW153" s="79" t="n"/>
      <c r="BX153" s="79" t="n"/>
      <c r="BY153" s="79" t="n"/>
      <c r="BZ153" s="79" t="n"/>
      <c r="CA153" s="79" t="n"/>
    </row>
    <row r="154" hidden="1" s="37">
      <c r="A154" s="551" t="n"/>
      <c r="B154" s="150" t="inlineStr">
        <is>
          <t>T</t>
        </is>
      </c>
      <c r="C154" s="550">
        <f>C153+1</f>
        <v/>
      </c>
      <c r="G154" s="216" t="n"/>
      <c r="H154" s="57" t="n"/>
      <c r="O154" s="216" t="n"/>
      <c r="X154" s="20" t="n"/>
      <c r="AF154" s="450" t="n"/>
      <c r="AN154" s="45" t="n"/>
      <c r="AP154" s="45" t="n"/>
      <c r="AQ154" s="12" t="n"/>
      <c r="AR154" s="216" t="n">
        <v>40</v>
      </c>
      <c r="AS154" s="216" t="n"/>
      <c r="AT154" s="216" t="n"/>
      <c r="AU154" s="216">
        <f>N154+O154 + 0</f>
        <v/>
      </c>
      <c r="AW154" s="2">
        <f>SUM(AH154:AI154,AJ154/2,AK154:AL154)</f>
        <v/>
      </c>
      <c r="AX154" s="2">
        <f>AM154*0.5+SUM(AN154:AP154)</f>
        <v/>
      </c>
      <c r="AY154" s="39">
        <f>SUM(-AR154+AS154*0.01+AT154*0.5+AU154)</f>
        <v/>
      </c>
      <c r="AZ154" s="39">
        <f>'0分'!AF151</f>
        <v/>
      </c>
      <c r="BA154" s="39">
        <f>SUM(AY154,AX154,AW154)</f>
        <v/>
      </c>
      <c r="BB154" s="250" t="n"/>
      <c r="BC154" s="79">
        <f t="array" ref="BC154">SUMPRODUCT(--(NOT(ISBLANK('0₦'!D154:M154))), '0₦'!D$2:M$2) +  SUMPRODUCT(--(NOT(ISBLANK('0₦'!Q154:T154))), '0₦'!Q$2:T$2)</f>
        <v/>
      </c>
      <c r="BD154" s="250">
        <f t="array" ref="BD154">SUMPRODUCT(--(NOT(ISBLANK('0₦'!N154:P154))),'0₦'!N$2:P$2)+'0₦'!AY154</f>
        <v/>
      </c>
      <c r="BE154" s="79">
        <f t="array" ref="BE154">SUMPRODUCT(--(NOT(ISBLANK('0₦'!AA154:AC154))),'0₦'!AA$2:AC$2) + BF154</f>
        <v/>
      </c>
      <c r="BF154" s="79" t="n"/>
      <c r="BG154" s="79">
        <f t="array" ref="BG154">SUMPRODUCT(--(NOT(ISBLANK('0₦'!U154:Z154))), '0₦'!U$2:Z$2)</f>
        <v/>
      </c>
      <c r="BH154" s="79" t="n"/>
      <c r="BI154" s="79">
        <f>SUM(BG154:BH154)</f>
        <v/>
      </c>
      <c r="BJ154" s="79" t="n"/>
      <c r="BK154" s="79" t="n"/>
      <c r="BL154" s="79" t="n"/>
      <c r="BM154" s="79" t="n"/>
      <c r="BN154" s="79" t="n"/>
      <c r="BO154" s="79" t="n"/>
      <c r="BP154" s="79" t="n"/>
      <c r="BQ154" s="79" t="n"/>
      <c r="BR154" s="79" t="n"/>
      <c r="BS154" s="79" t="n"/>
      <c r="BT154" s="79" t="n"/>
      <c r="BU154" s="79" t="n"/>
      <c r="BV154" s="79" t="n"/>
      <c r="BW154" s="79" t="n"/>
      <c r="BX154" s="79" t="n"/>
      <c r="BY154" s="79" t="n"/>
      <c r="BZ154" s="79" t="n"/>
      <c r="CA154" s="79" t="n"/>
    </row>
    <row r="155" hidden="1" ht="17.1" customHeight="1" s="37">
      <c r="A155" s="551" t="n"/>
      <c r="B155" s="150" t="inlineStr">
        <is>
          <t>W</t>
        </is>
      </c>
      <c r="C155" s="550">
        <f>C154+1</f>
        <v/>
      </c>
      <c r="G155" s="216" t="n"/>
      <c r="H155" s="57" t="n"/>
      <c r="M155" s="38" t="n"/>
      <c r="O155" s="216" t="n"/>
      <c r="X155" s="20" t="n"/>
      <c r="AF155" s="450" t="n"/>
      <c r="AN155" s="45" t="n"/>
      <c r="AP155" s="45" t="n"/>
      <c r="AQ155" s="12" t="n"/>
      <c r="AR155" s="216" t="n">
        <v>40</v>
      </c>
      <c r="AS155" s="216" t="n"/>
      <c r="AT155" s="216" t="n"/>
      <c r="AU155" s="216">
        <f>N155+O155 + 0</f>
        <v/>
      </c>
      <c r="AW155" s="2">
        <f>SUM(AH155:AI155,AJ155/2,AK155:AL155)</f>
        <v/>
      </c>
      <c r="AX155" s="2">
        <f>AM155*0.5+SUM(AN155:AP155)</f>
        <v/>
      </c>
      <c r="AY155" s="39">
        <f>SUM(-AR155+AS155*0.01+AT155*0.5+AU155)</f>
        <v/>
      </c>
      <c r="AZ155" s="39">
        <f>'0分'!AF152</f>
        <v/>
      </c>
      <c r="BA155" s="39">
        <f>SUM(AY155,AX155,AW155)</f>
        <v/>
      </c>
      <c r="BB155" s="250" t="n"/>
      <c r="BC155" s="79">
        <f t="array" ref="BC155">SUMPRODUCT(--(NOT(ISBLANK('0₦'!D155:M155))), '0₦'!D$2:M$2) +  SUMPRODUCT(--(NOT(ISBLANK('0₦'!Q155:T155))), '0₦'!Q$2:T$2)</f>
        <v/>
      </c>
      <c r="BD155" s="250">
        <f t="array" ref="BD155">SUMPRODUCT(--(NOT(ISBLANK('0₦'!N155:P155))),'0₦'!N$2:P$2)+'0₦'!AY155</f>
        <v/>
      </c>
      <c r="BE155" s="79">
        <f t="array" ref="BE155">SUMPRODUCT(--(NOT(ISBLANK('0₦'!AA155:AC155))),'0₦'!AA$2:AC$2) + BF155</f>
        <v/>
      </c>
      <c r="BF155" s="79" t="n"/>
      <c r="BG155" s="79">
        <f t="array" ref="BG155">SUMPRODUCT(--(NOT(ISBLANK('0₦'!U155:Z155))), '0₦'!U$2:Z$2)</f>
        <v/>
      </c>
      <c r="BH155" s="79" t="n"/>
      <c r="BI155" s="79">
        <f>SUM(BG155:BH155)</f>
        <v/>
      </c>
      <c r="BJ155" s="79" t="n"/>
      <c r="BK155" s="79" t="n"/>
      <c r="BL155" s="79" t="n"/>
      <c r="BM155" s="79" t="n"/>
      <c r="BN155" s="79" t="n"/>
      <c r="BO155" s="79" t="n"/>
      <c r="BP155" s="79" t="n"/>
      <c r="BQ155" s="79" t="n"/>
      <c r="BR155" s="79" t="n"/>
      <c r="BS155" s="79" t="n"/>
      <c r="BT155" s="79" t="n"/>
      <c r="BU155" s="79" t="n"/>
      <c r="BV155" s="79" t="n"/>
      <c r="BW155" s="79" t="n"/>
      <c r="BX155" s="79" t="n"/>
      <c r="BY155" s="79" t="n"/>
      <c r="BZ155" s="79" t="n"/>
      <c r="CA155" s="79" t="n"/>
    </row>
    <row r="156" hidden="1" s="37">
      <c r="A156" s="551" t="n"/>
      <c r="B156" s="150" t="inlineStr">
        <is>
          <t>Th</t>
        </is>
      </c>
      <c r="C156" s="550">
        <f>C155+1</f>
        <v/>
      </c>
      <c r="G156" s="216" t="n"/>
      <c r="H156" s="57" t="n"/>
      <c r="O156" s="216" t="n"/>
      <c r="X156" s="20" t="n"/>
      <c r="AF156" s="450" t="n"/>
      <c r="AN156" s="45" t="n"/>
      <c r="AP156" s="45" t="n"/>
      <c r="AQ156" s="12" t="n"/>
      <c r="AR156" s="216" t="n">
        <v>40</v>
      </c>
      <c r="AS156" s="216" t="n"/>
      <c r="AT156" s="216" t="n"/>
      <c r="AU156" s="216">
        <f>N156+O156 + 0</f>
        <v/>
      </c>
      <c r="AW156" s="2">
        <f>SUM(AH156:AI156,AJ156/2,AK156:AL156)</f>
        <v/>
      </c>
      <c r="AX156" s="2">
        <f>AM156*0.5+SUM(AN156:AP156)</f>
        <v/>
      </c>
      <c r="AY156" s="39">
        <f>SUM(-AR156+AS156*0.01+AT156*0.5+AU156)</f>
        <v/>
      </c>
      <c r="AZ156" s="39">
        <f>'0分'!AF153</f>
        <v/>
      </c>
      <c r="BA156" s="39">
        <f>SUM(AY156,AX156,AW156)</f>
        <v/>
      </c>
      <c r="BB156" s="250" t="n"/>
      <c r="BC156" s="79">
        <f t="array" ref="BC156">SUMPRODUCT(--(NOT(ISBLANK('0₦'!D156:M156))), '0₦'!D$2:M$2) +  SUMPRODUCT(--(NOT(ISBLANK('0₦'!Q156:T156))), '0₦'!Q$2:T$2)</f>
        <v/>
      </c>
      <c r="BD156" s="250">
        <f t="array" ref="BD156">SUMPRODUCT(--(NOT(ISBLANK('0₦'!N156:P156))),'0₦'!N$2:P$2)+'0₦'!AY156</f>
        <v/>
      </c>
      <c r="BE156" s="79">
        <f t="array" ref="BE156">SUMPRODUCT(--(NOT(ISBLANK('0₦'!AA156:AC156))),'0₦'!AA$2:AC$2) + BF156</f>
        <v/>
      </c>
      <c r="BF156" s="79" t="n"/>
      <c r="BG156" s="79">
        <f t="array" ref="BG156">SUMPRODUCT(--(NOT(ISBLANK('0₦'!U156:Z156))), '0₦'!U$2:Z$2)</f>
        <v/>
      </c>
      <c r="BH156" s="79" t="n"/>
      <c r="BI156" s="79">
        <f>SUM(BG156:BH156)</f>
        <v/>
      </c>
      <c r="BJ156" s="79" t="n"/>
      <c r="BK156" s="79" t="n"/>
      <c r="BL156" s="79" t="n"/>
      <c r="BM156" s="79" t="n"/>
      <c r="BN156" s="79" t="n"/>
      <c r="BO156" s="79" t="n"/>
      <c r="BP156" s="79" t="n"/>
      <c r="BQ156" s="79" t="n"/>
      <c r="BR156" s="79" t="n"/>
      <c r="BS156" s="79" t="n"/>
      <c r="BT156" s="79" t="n"/>
      <c r="BU156" s="79" t="n"/>
      <c r="BV156" s="79" t="n"/>
      <c r="BW156" s="79" t="n"/>
      <c r="BX156" s="79" t="n"/>
      <c r="BY156" s="79" t="n"/>
      <c r="BZ156" s="79" t="n"/>
      <c r="CA156" s="79" t="n"/>
    </row>
    <row r="157" hidden="1" ht="18" customHeight="1" s="37">
      <c r="A157" s="551" t="n"/>
      <c r="B157" s="150" t="inlineStr">
        <is>
          <t>F</t>
        </is>
      </c>
      <c r="C157" s="550">
        <f>C156+1</f>
        <v/>
      </c>
      <c r="G157" s="216" t="n"/>
      <c r="H157" s="57" t="n"/>
      <c r="O157" s="216" t="n"/>
      <c r="X157" s="20" t="n"/>
      <c r="AF157" s="450" t="n"/>
      <c r="AN157" s="45" t="n"/>
      <c r="AP157" s="45" t="n"/>
      <c r="AQ157" s="12" t="n"/>
      <c r="AR157" s="216" t="n">
        <v>40</v>
      </c>
      <c r="AS157" s="216" t="n"/>
      <c r="AT157" s="216" t="n"/>
      <c r="AU157" s="216">
        <f>N157+O157 + 0</f>
        <v/>
      </c>
      <c r="AW157" s="2">
        <f>SUM(AH157:AI157,AJ157/2,AK157:AL157)</f>
        <v/>
      </c>
      <c r="AX157" s="2">
        <f>AM157*0.5+SUM(AN157:AP157)</f>
        <v/>
      </c>
      <c r="AY157" s="39">
        <f>SUM(-AR157+AS157*0.01+AT157*0.5+AU157)</f>
        <v/>
      </c>
      <c r="AZ157" s="39">
        <f>'0分'!AF154</f>
        <v/>
      </c>
      <c r="BA157" s="39">
        <f>SUM(AY157,AX157,AW157)</f>
        <v/>
      </c>
      <c r="BB157" s="250" t="n"/>
      <c r="BC157" s="79">
        <f t="array" ref="BC157">SUMPRODUCT(--(NOT(ISBLANK('0₦'!D157:M157))), '0₦'!D$2:M$2) +  SUMPRODUCT(--(NOT(ISBLANK('0₦'!Q157:T157))), '0₦'!Q$2:T$2)</f>
        <v/>
      </c>
      <c r="BD157" s="250">
        <f t="array" ref="BD157">SUMPRODUCT(--(NOT(ISBLANK('0₦'!N157:P157))),'0₦'!N$2:P$2)+'0₦'!AY157</f>
        <v/>
      </c>
      <c r="BE157" s="79">
        <f t="array" ref="BE157">SUMPRODUCT(--(NOT(ISBLANK('0₦'!AA157:AC157))),'0₦'!AA$2:AC$2) + BF157</f>
        <v/>
      </c>
      <c r="BF157" s="79" t="n"/>
      <c r="BG157" s="79">
        <f t="array" ref="BG157">SUMPRODUCT(--(NOT(ISBLANK('0₦'!U157:Z157))), '0₦'!U$2:Z$2)</f>
        <v/>
      </c>
      <c r="BH157" s="79" t="n"/>
      <c r="BI157" s="79">
        <f>SUM(BG157:BH157)</f>
        <v/>
      </c>
      <c r="BJ157" s="79" t="n"/>
      <c r="BK157" s="79" t="n"/>
      <c r="BL157" s="79" t="n"/>
      <c r="BM157" s="79" t="n"/>
      <c r="BN157" s="79" t="n"/>
      <c r="BO157" s="79" t="n"/>
      <c r="BP157" s="79" t="n"/>
      <c r="BQ157" s="79" t="n"/>
      <c r="BR157" s="79" t="n"/>
      <c r="BS157" s="79" t="n"/>
      <c r="BT157" s="79" t="n"/>
      <c r="BU157" s="79" t="n"/>
      <c r="BV157" s="79" t="n"/>
      <c r="BW157" s="79" t="n"/>
      <c r="BX157" s="79" t="n"/>
      <c r="BY157" s="79" t="n"/>
      <c r="BZ157" s="79" t="n"/>
      <c r="CA157" s="79" t="n"/>
    </row>
    <row r="158" hidden="1" ht="17.1" customHeight="1" s="37">
      <c r="A158" s="552" t="n"/>
      <c r="B158" s="150" t="inlineStr">
        <is>
          <t>S</t>
        </is>
      </c>
      <c r="C158" s="550">
        <f>C157+1</f>
        <v/>
      </c>
      <c r="G158" s="216" t="n"/>
      <c r="H158" s="57" t="n"/>
      <c r="O158" s="216" t="n"/>
      <c r="X158" s="20" t="n"/>
      <c r="AF158" s="450" t="n"/>
      <c r="AN158" s="45" t="n"/>
      <c r="AP158" s="45" t="n"/>
      <c r="AQ158" s="12" t="n"/>
      <c r="AR158" s="216" t="n">
        <v>40</v>
      </c>
      <c r="AS158" s="216" t="n"/>
      <c r="AT158" s="216" t="n"/>
      <c r="AU158" s="216">
        <f>N158+O158 + 0</f>
        <v/>
      </c>
      <c r="AW158" s="2">
        <f>SUM(AH158:AI158,AJ158/2,AK158:AL158)</f>
        <v/>
      </c>
      <c r="AX158" s="2">
        <f>AM158*0.5+SUM(AN158:AP158)</f>
        <v/>
      </c>
      <c r="AY158" s="39">
        <f>SUM(-AR158+AS158*0.01+AT158*0.5+AU158)</f>
        <v/>
      </c>
      <c r="AZ158" s="39">
        <f>'0分'!AF155</f>
        <v/>
      </c>
      <c r="BA158" s="39">
        <f>SUM(AY158,AX158,AW158)</f>
        <v/>
      </c>
      <c r="BB158" s="250" t="n"/>
      <c r="BC158" s="79">
        <f t="array" ref="BC158">SUMPRODUCT(--(NOT(ISBLANK('0₦'!D158:M158))), '0₦'!D$2:M$2) +  SUMPRODUCT(--(NOT(ISBLANK('0₦'!Q158:T158))), '0₦'!Q$2:T$2)</f>
        <v/>
      </c>
      <c r="BD158" s="250">
        <f t="array" ref="BD158">SUMPRODUCT(--(NOT(ISBLANK('0₦'!N158:P158))),'0₦'!N$2:P$2)+'0₦'!AY158</f>
        <v/>
      </c>
      <c r="BE158" s="79">
        <f t="array" ref="BE158">SUMPRODUCT(--(NOT(ISBLANK('0₦'!AA158:AC158))),'0₦'!AA$2:AC$2) + BF158</f>
        <v/>
      </c>
      <c r="BF158" s="79" t="n"/>
      <c r="BG158" s="79">
        <f t="array" ref="BG158">SUMPRODUCT(--(NOT(ISBLANK('0₦'!U158:Z158))), '0₦'!U$2:Z$2)</f>
        <v/>
      </c>
      <c r="BH158" s="79" t="n"/>
      <c r="BI158" s="79">
        <f>SUM(BG158:BH158)</f>
        <v/>
      </c>
      <c r="BJ158" s="79" t="n"/>
      <c r="BK158" s="79" t="n"/>
      <c r="BL158" s="79" t="n"/>
      <c r="BM158" s="79" t="n"/>
      <c r="BN158" s="79" t="n"/>
      <c r="BO158" s="79" t="n"/>
      <c r="BP158" s="79" t="n"/>
      <c r="BQ158" s="79" t="n"/>
      <c r="BR158" s="79" t="n"/>
      <c r="BS158" s="79" t="n"/>
      <c r="BT158" s="79" t="n"/>
      <c r="BU158" s="79" t="n"/>
      <c r="BV158" s="79" t="n"/>
      <c r="BW158" s="79" t="n"/>
      <c r="BX158" s="79" t="n"/>
      <c r="BY158" s="79" t="n"/>
      <c r="BZ158" s="79" t="n"/>
      <c r="CA158" s="79" t="n"/>
    </row>
    <row r="159" hidden="1" ht="17.1" customHeight="1" s="37">
      <c r="A159" s="462">
        <f>A152+0.1</f>
        <v/>
      </c>
      <c r="B159" s="150" t="inlineStr">
        <is>
          <t>S</t>
        </is>
      </c>
      <c r="C159" s="550">
        <f>C158+1</f>
        <v/>
      </c>
      <c r="G159" s="216" t="n"/>
      <c r="H159" s="57" t="n"/>
      <c r="O159" s="216" t="n"/>
      <c r="X159" s="20" t="n"/>
      <c r="AF159" s="450" t="n"/>
      <c r="AN159" s="45" t="n"/>
      <c r="AP159" s="45" t="n"/>
      <c r="AQ159" s="12" t="n"/>
      <c r="AR159" s="216" t="n">
        <v>40</v>
      </c>
      <c r="AS159" s="216" t="n"/>
      <c r="AT159" s="216" t="n"/>
      <c r="AU159" s="216">
        <f>N159+O159 + 0</f>
        <v/>
      </c>
      <c r="AW159" s="2">
        <f>SUM(AH159:AI159,AJ159/2,AK159:AL159)</f>
        <v/>
      </c>
      <c r="AX159" s="2">
        <f>AM159*0.5+SUM(AN159:AP159)</f>
        <v/>
      </c>
      <c r="AY159" s="39">
        <f>SUM(-AR159+AS159*0.01+AT159*0.5+AU159)</f>
        <v/>
      </c>
      <c r="AZ159" s="39">
        <f>'0分'!AF156</f>
        <v/>
      </c>
      <c r="BA159" s="39">
        <f>SUM(AY159,AX159,AW159)</f>
        <v/>
      </c>
      <c r="BB159" s="250" t="n"/>
      <c r="BC159" s="79">
        <f t="array" ref="BC159">SUMPRODUCT(--(NOT(ISBLANK('0₦'!D159:M159))), '0₦'!D$2:M$2) +  SUMPRODUCT(--(NOT(ISBLANK('0₦'!Q159:T159))), '0₦'!Q$2:T$2)</f>
        <v/>
      </c>
      <c r="BD159" s="250">
        <f t="array" ref="BD159">SUMPRODUCT(--(NOT(ISBLANK('0₦'!N159:P159))),'0₦'!N$2:P$2)+'0₦'!AY159</f>
        <v/>
      </c>
      <c r="BE159" s="79">
        <f t="array" ref="BE159">SUMPRODUCT(--(NOT(ISBLANK('0₦'!AA159:AC159))),'0₦'!AA$2:AC$2) + BF159</f>
        <v/>
      </c>
      <c r="BF159" s="79" t="n"/>
      <c r="BG159" s="79">
        <f t="array" ref="BG159">SUMPRODUCT(--(NOT(ISBLANK('0₦'!U159:Z159))), '0₦'!U$2:Z$2)</f>
        <v/>
      </c>
      <c r="BH159" s="79" t="n"/>
      <c r="BI159" s="79">
        <f>SUM(BG159:BH159)</f>
        <v/>
      </c>
      <c r="BJ159" s="79" t="n"/>
      <c r="BK159" s="79" t="n"/>
      <c r="BL159" s="79" t="n"/>
      <c r="BM159" s="79" t="n"/>
      <c r="BN159" s="79" t="n"/>
      <c r="BO159" s="79" t="n"/>
      <c r="BP159" s="79" t="n"/>
      <c r="BQ159" s="79" t="n"/>
      <c r="BR159" s="79" t="n"/>
      <c r="BS159" s="79" t="n"/>
      <c r="BT159" s="79" t="n"/>
      <c r="BU159" s="79" t="n"/>
      <c r="BV159" s="79" t="n"/>
      <c r="BW159" s="79" t="n"/>
      <c r="BX159" s="79" t="n"/>
      <c r="BY159" s="79" t="n"/>
      <c r="BZ159" s="79" t="n"/>
      <c r="CA159" s="79" t="n"/>
    </row>
    <row r="160" hidden="1" ht="17.1" customHeight="1" s="37">
      <c r="A160" s="551" t="n"/>
      <c r="B160" s="150" t="inlineStr">
        <is>
          <t>M</t>
        </is>
      </c>
      <c r="C160" s="550">
        <f>C159+1</f>
        <v/>
      </c>
      <c r="G160" s="216" t="n"/>
      <c r="H160" s="57" t="n"/>
      <c r="O160" s="216" t="n"/>
      <c r="X160" s="20" t="n"/>
      <c r="AF160" s="450" t="n"/>
      <c r="AN160" s="45" t="n"/>
      <c r="AP160" s="45" t="n"/>
      <c r="AQ160" s="12" t="n"/>
      <c r="AR160" s="216" t="n">
        <v>40</v>
      </c>
      <c r="AS160" s="216" t="n"/>
      <c r="AT160" s="216" t="n"/>
      <c r="AU160" s="216">
        <f>N160+O160 + 0</f>
        <v/>
      </c>
      <c r="AW160" s="2">
        <f>SUM(AH160:AI160,AJ160/2,AK160:AL160)</f>
        <v/>
      </c>
      <c r="AX160" s="2">
        <f>AM160*0.5+SUM(AN160:AP160)</f>
        <v/>
      </c>
      <c r="AY160" s="39">
        <f>SUM(-AR160+AS160*0.01+AT160*0.5+AU160)</f>
        <v/>
      </c>
      <c r="AZ160" s="39">
        <f>'0分'!AF157</f>
        <v/>
      </c>
      <c r="BA160" s="39">
        <f>SUM(AY160,AX160,AW160)</f>
        <v/>
      </c>
      <c r="BB160" s="250" t="n"/>
      <c r="BC160" s="79">
        <f t="array" ref="BC160">SUMPRODUCT(--(NOT(ISBLANK('0₦'!D160:M160))), '0₦'!D$2:M$2) +  SUMPRODUCT(--(NOT(ISBLANK('0₦'!Q160:T160))), '0₦'!Q$2:T$2)</f>
        <v/>
      </c>
      <c r="BD160" s="250">
        <f t="array" ref="BD160">SUMPRODUCT(--(NOT(ISBLANK('0₦'!N160:P160))),'0₦'!N$2:P$2)+'0₦'!AY160</f>
        <v/>
      </c>
      <c r="BE160" s="79">
        <f t="array" ref="BE160">SUMPRODUCT(--(NOT(ISBLANK('0₦'!AA160:AC160))),'0₦'!AA$2:AC$2) + BF160</f>
        <v/>
      </c>
      <c r="BF160" s="79" t="n"/>
      <c r="BG160" s="79">
        <f t="array" ref="BG160">SUMPRODUCT(--(NOT(ISBLANK('0₦'!U160:Z160))), '0₦'!U$2:Z$2)</f>
        <v/>
      </c>
      <c r="BH160" s="79" t="n"/>
      <c r="BI160" s="79">
        <f>SUM(BG160:BH160)</f>
        <v/>
      </c>
      <c r="BJ160" s="79" t="n"/>
      <c r="BK160" s="79" t="n"/>
      <c r="BL160" s="79" t="n"/>
      <c r="BM160" s="79" t="n"/>
      <c r="BN160" s="79" t="n"/>
      <c r="BO160" s="79" t="n"/>
      <c r="BP160" s="79" t="n"/>
      <c r="BQ160" s="79" t="n"/>
      <c r="BR160" s="79" t="n"/>
      <c r="BS160" s="79" t="n"/>
      <c r="BT160" s="79" t="n"/>
      <c r="BU160" s="79" t="n"/>
      <c r="BV160" s="79" t="n"/>
      <c r="BW160" s="79" t="n"/>
      <c r="BX160" s="79" t="n"/>
      <c r="BY160" s="79" t="n"/>
      <c r="BZ160" s="79" t="n"/>
      <c r="CA160" s="79" t="n"/>
    </row>
    <row r="161" hidden="1" s="37">
      <c r="A161" s="551" t="n"/>
      <c r="B161" s="150" t="inlineStr">
        <is>
          <t>T</t>
        </is>
      </c>
      <c r="C161" s="550">
        <f>C160+1</f>
        <v/>
      </c>
      <c r="G161" s="216" t="n"/>
      <c r="H161" s="57" t="n"/>
      <c r="O161" s="216" t="n"/>
      <c r="X161" s="20" t="n"/>
      <c r="AF161" s="450" t="n"/>
      <c r="AN161" s="45" t="n"/>
      <c r="AP161" s="45" t="n"/>
      <c r="AQ161" s="12" t="n"/>
      <c r="AR161" s="216" t="n">
        <v>40</v>
      </c>
      <c r="AS161" s="216" t="n"/>
      <c r="AT161" s="216" t="n"/>
      <c r="AU161" s="216">
        <f>N161+O161 + 0</f>
        <v/>
      </c>
      <c r="AW161" s="2">
        <f>SUM(AH161:AI161,AJ161/2,AK161:AL161)</f>
        <v/>
      </c>
      <c r="AX161" s="2">
        <f>AM161*0.5+SUM(AN161:AP161)</f>
        <v/>
      </c>
      <c r="AY161" s="39">
        <f>SUM(-AR161+AS161*0.01+AT161*0.5+AU161)</f>
        <v/>
      </c>
      <c r="AZ161" s="39">
        <f>'0分'!AF158</f>
        <v/>
      </c>
      <c r="BA161" s="39">
        <f>SUM(AY161,AX161,AW161)</f>
        <v/>
      </c>
      <c r="BB161" s="250" t="n"/>
      <c r="BC161" s="79">
        <f t="array" ref="BC161">SUMPRODUCT(--(NOT(ISBLANK('0₦'!D161:M161))), '0₦'!D$2:M$2) +  SUMPRODUCT(--(NOT(ISBLANK('0₦'!Q161:T161))), '0₦'!Q$2:T$2)</f>
        <v/>
      </c>
      <c r="BD161" s="250">
        <f t="array" ref="BD161">SUMPRODUCT(--(NOT(ISBLANK('0₦'!N161:P161))),'0₦'!N$2:P$2)+'0₦'!AY161</f>
        <v/>
      </c>
      <c r="BE161" s="79">
        <f t="array" ref="BE161">SUMPRODUCT(--(NOT(ISBLANK('0₦'!AA161:AC161))),'0₦'!AA$2:AC$2) + BF161</f>
        <v/>
      </c>
      <c r="BF161" s="79" t="n"/>
      <c r="BG161" s="79">
        <f t="array" ref="BG161">SUMPRODUCT(--(NOT(ISBLANK('0₦'!U161:Z161))), '0₦'!U$2:Z$2)</f>
        <v/>
      </c>
      <c r="BH161" s="79" t="n"/>
      <c r="BI161" s="79">
        <f>SUM(BG161:BH161)</f>
        <v/>
      </c>
      <c r="BJ161" s="79" t="n"/>
      <c r="BK161" s="79" t="n"/>
      <c r="BL161" s="79" t="n"/>
      <c r="BM161" s="79" t="n"/>
      <c r="BN161" s="79" t="n"/>
      <c r="BO161" s="79" t="n"/>
      <c r="BP161" s="79" t="n"/>
      <c r="BQ161" s="79" t="n"/>
      <c r="BR161" s="79" t="n"/>
      <c r="BS161" s="79" t="n"/>
      <c r="BT161" s="79" t="n"/>
      <c r="BU161" s="79" t="n"/>
      <c r="BV161" s="79" t="n"/>
      <c r="BW161" s="79" t="n"/>
      <c r="BX161" s="79" t="n"/>
      <c r="BY161" s="79" t="n"/>
      <c r="BZ161" s="79" t="n"/>
      <c r="CA161" s="79" t="n"/>
    </row>
    <row r="162" hidden="1" s="37">
      <c r="A162" s="551" t="n"/>
      <c r="B162" s="150" t="inlineStr">
        <is>
          <t>W</t>
        </is>
      </c>
      <c r="C162" s="550">
        <f>C161+1</f>
        <v/>
      </c>
      <c r="G162" s="216" t="n"/>
      <c r="H162" s="57" t="n"/>
      <c r="O162" s="216" t="n"/>
      <c r="X162" s="20" t="n"/>
      <c r="AF162" s="450" t="n"/>
      <c r="AN162" s="45" t="n"/>
      <c r="AP162" s="45" t="n"/>
      <c r="AQ162" s="12" t="n"/>
      <c r="AR162" s="216" t="n">
        <v>40</v>
      </c>
      <c r="AS162" s="216" t="n"/>
      <c r="AT162" s="216" t="n"/>
      <c r="AU162" s="216">
        <f>N162+O162 + 0</f>
        <v/>
      </c>
      <c r="AW162" s="2">
        <f>SUM(AH162:AI162,AJ162/2,AK162:AL162)</f>
        <v/>
      </c>
      <c r="AX162" s="2">
        <f>AM162*0.5+SUM(AN162:AP162)</f>
        <v/>
      </c>
      <c r="AY162" s="39">
        <f>SUM(-AR162+AS162*0.01+AT162*0.5+AU162)</f>
        <v/>
      </c>
      <c r="AZ162" s="39">
        <f>'0分'!AF159</f>
        <v/>
      </c>
      <c r="BA162" s="39">
        <f>SUM(AY162,AX162,AW162)</f>
        <v/>
      </c>
      <c r="BB162" s="250" t="n"/>
      <c r="BC162" s="79">
        <f t="array" ref="BC162">SUMPRODUCT(--(NOT(ISBLANK('0₦'!D162:M162))), '0₦'!D$2:M$2) +  SUMPRODUCT(--(NOT(ISBLANK('0₦'!Q162:T162))), '0₦'!Q$2:T$2)</f>
        <v/>
      </c>
      <c r="BD162" s="250">
        <f t="array" ref="BD162">SUMPRODUCT(--(NOT(ISBLANK('0₦'!N162:P162))),'0₦'!N$2:P$2)+'0₦'!AY162</f>
        <v/>
      </c>
      <c r="BE162" s="79">
        <f t="array" ref="BE162">SUMPRODUCT(--(NOT(ISBLANK('0₦'!AA162:AC162))),'0₦'!AA$2:AC$2) + BF162</f>
        <v/>
      </c>
      <c r="BF162" s="79" t="n"/>
      <c r="BG162" s="79">
        <f t="array" ref="BG162">SUMPRODUCT(--(NOT(ISBLANK('0₦'!U162:Z162))), '0₦'!U$2:Z$2)</f>
        <v/>
      </c>
      <c r="BH162" s="79" t="n"/>
      <c r="BI162" s="79">
        <f>SUM(BG162:BH162)</f>
        <v/>
      </c>
      <c r="BJ162" s="79" t="n"/>
      <c r="BK162" s="79" t="n"/>
      <c r="BL162" s="79" t="n"/>
      <c r="BM162" s="79" t="n"/>
      <c r="BN162" s="79" t="n"/>
      <c r="BO162" s="79" t="n"/>
      <c r="BP162" s="79" t="n"/>
      <c r="BQ162" s="79" t="n"/>
      <c r="BR162" s="79" t="n"/>
      <c r="BS162" s="79" t="n"/>
      <c r="BT162" s="79" t="n"/>
      <c r="BU162" s="79" t="n"/>
      <c r="BV162" s="79" t="n"/>
      <c r="BW162" s="79" t="n"/>
      <c r="BX162" s="79" t="n"/>
      <c r="BY162" s="79" t="n"/>
      <c r="BZ162" s="79" t="n"/>
      <c r="CA162" s="79" t="n"/>
    </row>
    <row r="163" hidden="1" ht="17.1" customHeight="1" s="37">
      <c r="A163" s="551" t="n"/>
      <c r="B163" s="150" t="inlineStr">
        <is>
          <t>Th</t>
        </is>
      </c>
      <c r="C163" s="550">
        <f>C162+1</f>
        <v/>
      </c>
      <c r="G163" s="216" t="n"/>
      <c r="H163" s="57" t="n"/>
      <c r="O163" s="216" t="n"/>
      <c r="X163" s="20" t="n"/>
      <c r="AF163" s="450" t="n"/>
      <c r="AN163" s="45" t="n"/>
      <c r="AP163" s="45" t="n"/>
      <c r="AQ163" s="12" t="n"/>
      <c r="AR163" s="216" t="n">
        <v>40</v>
      </c>
      <c r="AS163" s="216" t="n"/>
      <c r="AT163" s="216" t="n"/>
      <c r="AU163" s="216">
        <f>N163+O163 + 0</f>
        <v/>
      </c>
      <c r="AW163" s="2">
        <f>SUM(AH163:AI163,AJ163/2,AK163:AL163)</f>
        <v/>
      </c>
      <c r="AX163" s="2">
        <f>AM163*0.5+SUM(AN163:AP163)</f>
        <v/>
      </c>
      <c r="AY163" s="39">
        <f>SUM(-AR163+AS163*0.01+AT163*0.5+AU163)</f>
        <v/>
      </c>
      <c r="AZ163" s="39">
        <f>'0分'!AF160</f>
        <v/>
      </c>
      <c r="BA163" s="39">
        <f>SUM(AY163,AX163,AW163)</f>
        <v/>
      </c>
      <c r="BB163" s="250" t="n"/>
      <c r="BC163" s="79">
        <f t="array" ref="BC163">SUMPRODUCT(--(NOT(ISBLANK('0₦'!D163:M163))), '0₦'!D$2:M$2) +  SUMPRODUCT(--(NOT(ISBLANK('0₦'!Q163:T163))), '0₦'!Q$2:T$2)</f>
        <v/>
      </c>
      <c r="BD163" s="250">
        <f t="array" ref="BD163">SUMPRODUCT(--(NOT(ISBLANK('0₦'!N163:P163))),'0₦'!N$2:P$2)+'0₦'!AY163</f>
        <v/>
      </c>
      <c r="BE163" s="79">
        <f t="array" ref="BE163">SUMPRODUCT(--(NOT(ISBLANK('0₦'!AA163:AC163))),'0₦'!AA$2:AC$2) + BF163</f>
        <v/>
      </c>
      <c r="BF163" s="79" t="n"/>
      <c r="BG163" s="79">
        <f t="array" ref="BG163">SUMPRODUCT(--(NOT(ISBLANK('0₦'!U163:Z163))), '0₦'!U$2:Z$2)</f>
        <v/>
      </c>
      <c r="BH163" s="79" t="n"/>
      <c r="BI163" s="79">
        <f>SUM(BG163:BH163)</f>
        <v/>
      </c>
      <c r="BJ163" s="79" t="n"/>
      <c r="BK163" s="79" t="n"/>
      <c r="BL163" s="79" t="n"/>
      <c r="BM163" s="79" t="n"/>
      <c r="BN163" s="79" t="n"/>
      <c r="BO163" s="79" t="n"/>
      <c r="BP163" s="79" t="n"/>
      <c r="BQ163" s="79" t="n"/>
      <c r="BR163" s="79" t="n"/>
      <c r="BS163" s="79" t="n"/>
      <c r="BT163" s="79" t="n"/>
      <c r="BU163" s="79" t="n"/>
      <c r="BV163" s="79" t="n"/>
      <c r="BW163" s="79" t="n"/>
      <c r="BX163" s="79" t="n"/>
      <c r="BY163" s="79" t="n"/>
      <c r="BZ163" s="79" t="n"/>
      <c r="CA163" s="79" t="n"/>
    </row>
    <row r="164" hidden="1" s="37">
      <c r="A164" s="551" t="n"/>
      <c r="B164" s="150" t="inlineStr">
        <is>
          <t>F</t>
        </is>
      </c>
      <c r="C164" s="550">
        <f>C163+1</f>
        <v/>
      </c>
      <c r="G164" s="216" t="n"/>
      <c r="H164" s="57" t="n"/>
      <c r="O164" s="216" t="n"/>
      <c r="X164" s="20" t="n"/>
      <c r="AF164" s="450" t="n"/>
      <c r="AN164" s="45" t="n"/>
      <c r="AP164" s="45" t="n"/>
      <c r="AQ164" s="12" t="n"/>
      <c r="AR164" s="216" t="n">
        <v>40</v>
      </c>
      <c r="AS164" s="216" t="n"/>
      <c r="AT164" s="216" t="n"/>
      <c r="AU164" s="216">
        <f>N164+O164 + 0</f>
        <v/>
      </c>
      <c r="AW164" s="2">
        <f>SUM(AH164:AI164,AJ164/2,AK164:AL164)</f>
        <v/>
      </c>
      <c r="AX164" s="2">
        <f>AM164*0.5+SUM(AN164:AP164)</f>
        <v/>
      </c>
      <c r="AY164" s="39">
        <f>SUM(-AR164+AS164*0.01+AT164*0.5+AU164)</f>
        <v/>
      </c>
      <c r="AZ164" s="39">
        <f>'0分'!AF161</f>
        <v/>
      </c>
      <c r="BA164" s="39">
        <f>SUM(AY164,AX164,AW164)</f>
        <v/>
      </c>
      <c r="BB164" s="250" t="n"/>
      <c r="BC164" s="79">
        <f t="array" ref="BC164">SUMPRODUCT(--(NOT(ISBLANK('0₦'!D164:M164))), '0₦'!D$2:M$2) +  SUMPRODUCT(--(NOT(ISBLANK('0₦'!Q164:T164))), '0₦'!Q$2:T$2)</f>
        <v/>
      </c>
      <c r="BD164" s="250">
        <f t="array" ref="BD164">SUMPRODUCT(--(NOT(ISBLANK('0₦'!N164:P164))),'0₦'!N$2:P$2)+'0₦'!AY164</f>
        <v/>
      </c>
      <c r="BE164" s="79">
        <f t="array" ref="BE164">SUMPRODUCT(--(NOT(ISBLANK('0₦'!AA164:AC164))),'0₦'!AA$2:AC$2) + BF164</f>
        <v/>
      </c>
      <c r="BF164" s="79" t="n"/>
      <c r="BG164" s="79">
        <f t="array" ref="BG164">SUMPRODUCT(--(NOT(ISBLANK('0₦'!U164:Z164))), '0₦'!U$2:Z$2)</f>
        <v/>
      </c>
      <c r="BH164" s="79" t="n"/>
      <c r="BI164" s="79">
        <f>SUM(BG164:BH164)</f>
        <v/>
      </c>
      <c r="BJ164" s="79" t="n"/>
      <c r="BK164" s="79" t="n"/>
      <c r="BL164" s="79" t="n"/>
      <c r="BM164" s="79" t="n"/>
      <c r="BN164" s="79" t="n"/>
      <c r="BO164" s="79" t="n"/>
      <c r="BP164" s="79" t="n"/>
      <c r="BQ164" s="79" t="n"/>
      <c r="BR164" s="79" t="n"/>
      <c r="BS164" s="79" t="n"/>
      <c r="BT164" s="79" t="n"/>
      <c r="BU164" s="79" t="n"/>
      <c r="BV164" s="79" t="n"/>
      <c r="BW164" s="79" t="n"/>
      <c r="BX164" s="79" t="n"/>
      <c r="BY164" s="79" t="n"/>
      <c r="BZ164" s="79" t="n"/>
      <c r="CA164" s="79" t="n"/>
    </row>
    <row r="165" hidden="1" ht="17.1" customHeight="1" s="37">
      <c r="A165" s="552" t="n"/>
      <c r="B165" s="150" t="inlineStr">
        <is>
          <t>S</t>
        </is>
      </c>
      <c r="C165" s="550">
        <f>C164+1</f>
        <v/>
      </c>
      <c r="G165" s="216" t="n"/>
      <c r="H165" s="57" t="n"/>
      <c r="O165" s="216" t="n"/>
      <c r="X165" s="20" t="n"/>
      <c r="AF165" s="450" t="n"/>
      <c r="AN165" s="45" t="n"/>
      <c r="AP165" s="45" t="n"/>
      <c r="AQ165" s="12" t="n"/>
      <c r="AR165" s="216" t="n">
        <v>40</v>
      </c>
      <c r="AS165" s="216" t="n"/>
      <c r="AT165" s="216" t="n"/>
      <c r="AU165" s="216">
        <f>N165+O165 + 0</f>
        <v/>
      </c>
      <c r="AW165" s="2">
        <f>SUM(AH165:AI165,AJ165/2,AK165:AL165)</f>
        <v/>
      </c>
      <c r="AX165" s="2">
        <f>AM165*0.5+SUM(AN165:AP165)</f>
        <v/>
      </c>
      <c r="AY165" s="39">
        <f>SUM(-AR165+AS165*0.01+AT165*0.5+AU165)</f>
        <v/>
      </c>
      <c r="AZ165" s="39">
        <f>'0分'!AF162</f>
        <v/>
      </c>
      <c r="BA165" s="39">
        <f>SUM(AY165,AX165,AW165)</f>
        <v/>
      </c>
      <c r="BB165" s="250" t="n"/>
      <c r="BC165" s="79">
        <f t="array" ref="BC165">SUMPRODUCT(--(NOT(ISBLANK('0₦'!D165:M165))), '0₦'!D$2:M$2) +  SUMPRODUCT(--(NOT(ISBLANK('0₦'!Q165:T165))), '0₦'!Q$2:T$2)</f>
        <v/>
      </c>
      <c r="BD165" s="250">
        <f t="array" ref="BD165">SUMPRODUCT(--(NOT(ISBLANK('0₦'!N165:P165))),'0₦'!N$2:P$2)+'0₦'!AY165</f>
        <v/>
      </c>
      <c r="BE165" s="79">
        <f t="array" ref="BE165">SUMPRODUCT(--(NOT(ISBLANK('0₦'!AA165:AC165))),'0₦'!AA$2:AC$2) + BF165</f>
        <v/>
      </c>
      <c r="BF165" s="79" t="n"/>
      <c r="BG165" s="79">
        <f t="array" ref="BG165">SUMPRODUCT(--(NOT(ISBLANK('0₦'!U165:Z165))), '0₦'!U$2:Z$2)</f>
        <v/>
      </c>
      <c r="BH165" s="79" t="n"/>
      <c r="BI165" s="79">
        <f>SUM(BG165:BH165)</f>
        <v/>
      </c>
      <c r="BJ165" s="79" t="n"/>
      <c r="BK165" s="79" t="n"/>
      <c r="BL165" s="79" t="n"/>
      <c r="BM165" s="79" t="n"/>
      <c r="BN165" s="79" t="n"/>
      <c r="BO165" s="79" t="n"/>
      <c r="BP165" s="79" t="n"/>
      <c r="BQ165" s="79" t="n"/>
      <c r="BR165" s="79" t="n"/>
      <c r="BS165" s="79" t="n"/>
      <c r="BT165" s="79" t="n"/>
      <c r="BU165" s="79" t="n"/>
      <c r="BV165" s="79" t="n"/>
      <c r="BW165" s="79" t="n"/>
      <c r="BX165" s="79" t="n"/>
      <c r="BY165" s="79" t="n"/>
      <c r="BZ165" s="79" t="n"/>
      <c r="CA165" s="79" t="n"/>
    </row>
    <row r="166" hidden="1" ht="17.1" customHeight="1" s="37">
      <c r="A166" s="462">
        <f>A159+0.1</f>
        <v/>
      </c>
      <c r="B166" s="150" t="inlineStr">
        <is>
          <t>S</t>
        </is>
      </c>
      <c r="C166" s="550">
        <f>C165+1</f>
        <v/>
      </c>
      <c r="G166" s="216" t="n"/>
      <c r="H166" s="57" t="n"/>
      <c r="K166" s="38" t="n"/>
      <c r="O166" s="216" t="n"/>
      <c r="X166" s="20" t="n"/>
      <c r="AF166" s="450" t="n"/>
      <c r="AN166" s="45" t="n"/>
      <c r="AP166" s="45" t="n"/>
      <c r="AQ166" s="12" t="n"/>
      <c r="AR166" s="216" t="n">
        <v>40</v>
      </c>
      <c r="AS166" s="216" t="n"/>
      <c r="AT166" s="216" t="n"/>
      <c r="AU166" s="216">
        <f>N166+O166 + 0</f>
        <v/>
      </c>
      <c r="AW166" s="2">
        <f>SUM(AH166:AI166,AJ166/2,AK166:AL166)</f>
        <v/>
      </c>
      <c r="AX166" s="2">
        <f>AM166*0.5+SUM(AN166:AP166)</f>
        <v/>
      </c>
      <c r="AY166" s="39">
        <f>SUM(-AR166+AS166*0.01+AT166*0.5+AU166)</f>
        <v/>
      </c>
      <c r="AZ166" s="39">
        <f>'0分'!AF163</f>
        <v/>
      </c>
      <c r="BA166" s="39">
        <f>SUM(AY166,AX166,AW166)</f>
        <v/>
      </c>
      <c r="BB166" s="250" t="n"/>
      <c r="BC166" s="79">
        <f t="array" ref="BC166">SUMPRODUCT(--(NOT(ISBLANK('0₦'!D166:M166))), '0₦'!D$2:M$2) +  SUMPRODUCT(--(NOT(ISBLANK('0₦'!Q166:T166))), '0₦'!Q$2:T$2)</f>
        <v/>
      </c>
      <c r="BD166" s="250">
        <f t="array" ref="BD166">SUMPRODUCT(--(NOT(ISBLANK('0₦'!N166:P166))),'0₦'!N$2:P$2)+'0₦'!AY166</f>
        <v/>
      </c>
      <c r="BE166" s="79">
        <f t="array" ref="BE166">SUMPRODUCT(--(NOT(ISBLANK('0₦'!AA166:AC166))),'0₦'!AA$2:AC$2) + BF166</f>
        <v/>
      </c>
      <c r="BF166" s="79" t="n"/>
      <c r="BG166" s="79">
        <f t="array" ref="BG166">SUMPRODUCT(--(NOT(ISBLANK('0₦'!U166:Z166))), '0₦'!U$2:Z$2)</f>
        <v/>
      </c>
      <c r="BH166" s="79" t="n"/>
      <c r="BI166" s="79">
        <f>SUM(BG166:BH166)</f>
        <v/>
      </c>
      <c r="BJ166" s="79" t="n"/>
      <c r="BK166" s="79" t="n"/>
      <c r="BL166" s="79" t="n"/>
      <c r="BM166" s="79" t="n"/>
      <c r="BN166" s="79" t="n"/>
      <c r="BO166" s="79" t="n"/>
      <c r="BP166" s="79" t="n"/>
      <c r="BQ166" s="79" t="n"/>
      <c r="BR166" s="79" t="n"/>
      <c r="BS166" s="79" t="n"/>
      <c r="BT166" s="79" t="n"/>
      <c r="BU166" s="79" t="n"/>
      <c r="BV166" s="79" t="n"/>
      <c r="BW166" s="79" t="n"/>
      <c r="BX166" s="79" t="n"/>
      <c r="BY166" s="79" t="n"/>
      <c r="BZ166" s="79" t="n"/>
      <c r="CA166" s="79" t="n"/>
    </row>
    <row r="167" hidden="1" ht="21" customHeight="1" s="37">
      <c r="A167" s="551" t="n"/>
      <c r="B167" s="150" t="inlineStr">
        <is>
          <t>M</t>
        </is>
      </c>
      <c r="C167" s="550">
        <f>C166+1</f>
        <v/>
      </c>
      <c r="G167" s="216" t="n"/>
      <c r="H167" s="57" t="n"/>
      <c r="O167" s="216" t="n"/>
      <c r="Q167" s="38" t="n"/>
      <c r="X167" s="20" t="n"/>
      <c r="AF167" s="450" t="n"/>
      <c r="AN167" s="45" t="n"/>
      <c r="AP167" s="45" t="n"/>
      <c r="AQ167" s="12" t="n"/>
      <c r="AR167" s="216" t="n">
        <v>40</v>
      </c>
      <c r="AS167" s="216" t="n"/>
      <c r="AT167" s="216" t="n"/>
      <c r="AU167" s="216">
        <f>N167+O167 + 0</f>
        <v/>
      </c>
      <c r="AW167" s="2">
        <f>SUM(AH167:AI167,AJ167/2,AK167:AL167)</f>
        <v/>
      </c>
      <c r="AX167" s="2">
        <f>AM167*0.5+SUM(AN167:AP167)</f>
        <v/>
      </c>
      <c r="AY167" s="39">
        <f>SUM(-AR167+AS167*0.01+AT167*0.5+AU167)</f>
        <v/>
      </c>
      <c r="AZ167" s="39">
        <f>'0分'!AF164</f>
        <v/>
      </c>
      <c r="BA167" s="39">
        <f>SUM(AY167,AX167,AW167)</f>
        <v/>
      </c>
      <c r="BB167" s="250" t="n"/>
      <c r="BC167" s="79">
        <f t="array" ref="BC167">SUMPRODUCT(--(NOT(ISBLANK('0₦'!D167:M167))), '0₦'!D$2:M$2) +  SUMPRODUCT(--(NOT(ISBLANK('0₦'!Q167:T167))), '0₦'!Q$2:T$2)</f>
        <v/>
      </c>
      <c r="BD167" s="250">
        <f t="array" ref="BD167">SUMPRODUCT(--(NOT(ISBLANK('0₦'!N167:P167))),'0₦'!N$2:P$2)+'0₦'!AY167</f>
        <v/>
      </c>
      <c r="BE167" s="79">
        <f t="array" ref="BE167">SUMPRODUCT(--(NOT(ISBLANK('0₦'!AA167:AC167))),'0₦'!AA$2:AC$2) + BF167</f>
        <v/>
      </c>
      <c r="BF167" s="79" t="n"/>
      <c r="BG167" s="79">
        <f t="array" ref="BG167">SUMPRODUCT(--(NOT(ISBLANK('0₦'!U167:Z167))), '0₦'!U$2:Z$2)</f>
        <v/>
      </c>
      <c r="BH167" s="79" t="n"/>
      <c r="BI167" s="79">
        <f>SUM(BG167:BH167)</f>
        <v/>
      </c>
      <c r="BJ167" s="79" t="n"/>
      <c r="BK167" s="79" t="n"/>
      <c r="BL167" s="79" t="n"/>
      <c r="BM167" s="79" t="n"/>
      <c r="BN167" s="79" t="n"/>
      <c r="BO167" s="79" t="n"/>
      <c r="BP167" s="79" t="n"/>
      <c r="BQ167" s="79" t="n"/>
      <c r="BR167" s="79" t="n"/>
      <c r="BS167" s="79" t="n"/>
      <c r="BT167" s="79" t="n"/>
      <c r="BU167" s="79" t="n"/>
      <c r="BV167" s="79" t="n"/>
      <c r="BW167" s="79" t="n"/>
      <c r="BX167" s="79" t="n"/>
      <c r="BY167" s="79" t="n"/>
      <c r="BZ167" s="79" t="n"/>
      <c r="CA167" s="79" t="n"/>
    </row>
    <row r="168" hidden="1" s="37">
      <c r="A168" s="551" t="n"/>
      <c r="B168" s="150" t="inlineStr">
        <is>
          <t>T</t>
        </is>
      </c>
      <c r="C168" s="550">
        <f>C167+1</f>
        <v/>
      </c>
      <c r="G168" s="216" t="n"/>
      <c r="H168" s="57" t="n"/>
      <c r="O168" s="216" t="n"/>
      <c r="X168" s="20" t="n"/>
      <c r="AF168" s="450" t="n"/>
      <c r="AN168" s="45" t="n"/>
      <c r="AP168" s="45" t="n"/>
      <c r="AQ168" s="12" t="n"/>
      <c r="AR168" s="216" t="n">
        <v>40</v>
      </c>
      <c r="AS168" s="216" t="n"/>
      <c r="AT168" s="216" t="n"/>
      <c r="AU168" s="216">
        <f>N168+O168 + 0</f>
        <v/>
      </c>
      <c r="AW168" s="2">
        <f>SUM(AH168:AI168,AJ168/2,AK168:AL168)</f>
        <v/>
      </c>
      <c r="AX168" s="2">
        <f>AM168*0.5+SUM(AN168:AP168)</f>
        <v/>
      </c>
      <c r="AY168" s="39">
        <f>SUM(-AR168+AS168*0.01+AT168*0.5+AU168)</f>
        <v/>
      </c>
      <c r="AZ168" s="39">
        <f>'0分'!AF165</f>
        <v/>
      </c>
      <c r="BA168" s="39">
        <f>SUM(AY168,AX168,AW168)</f>
        <v/>
      </c>
      <c r="BB168" s="250" t="n"/>
      <c r="BC168" s="79">
        <f t="array" ref="BC168">SUMPRODUCT(--(NOT(ISBLANK('0₦'!D168:M168))), '0₦'!D$2:M$2) +  SUMPRODUCT(--(NOT(ISBLANK('0₦'!Q168:T168))), '0₦'!Q$2:T$2)</f>
        <v/>
      </c>
      <c r="BD168" s="250">
        <f t="array" ref="BD168">SUMPRODUCT(--(NOT(ISBLANK('0₦'!N168:P168))),'0₦'!N$2:P$2)+'0₦'!AY168</f>
        <v/>
      </c>
      <c r="BE168" s="79">
        <f t="array" ref="BE168">SUMPRODUCT(--(NOT(ISBLANK('0₦'!AA168:AC168))),'0₦'!AA$2:AC$2) + BF168</f>
        <v/>
      </c>
      <c r="BF168" s="79" t="n"/>
      <c r="BG168" s="79">
        <f t="array" ref="BG168">SUMPRODUCT(--(NOT(ISBLANK('0₦'!U168:Z168))), '0₦'!U$2:Z$2)</f>
        <v/>
      </c>
      <c r="BH168" s="79" t="n"/>
      <c r="BI168" s="79">
        <f>SUM(BG168:BH168)</f>
        <v/>
      </c>
      <c r="BJ168" s="79" t="n"/>
      <c r="BK168" s="79" t="n"/>
      <c r="BL168" s="79" t="n"/>
      <c r="BM168" s="79" t="n"/>
      <c r="BN168" s="79" t="n"/>
      <c r="BO168" s="79" t="n"/>
      <c r="BP168" s="79" t="n"/>
      <c r="BQ168" s="79" t="n"/>
      <c r="BR168" s="79" t="n"/>
      <c r="BS168" s="79" t="n"/>
      <c r="BT168" s="79" t="n"/>
      <c r="BU168" s="79" t="n"/>
      <c r="BV168" s="79" t="n"/>
      <c r="BW168" s="79" t="n"/>
      <c r="BX168" s="79" t="n"/>
      <c r="BY168" s="79" t="n"/>
      <c r="BZ168" s="79" t="n"/>
      <c r="CA168" s="79" t="n"/>
    </row>
    <row r="169" hidden="1" s="37">
      <c r="A169" s="551" t="n"/>
      <c r="B169" s="150" t="inlineStr">
        <is>
          <t>W</t>
        </is>
      </c>
      <c r="C169" s="550">
        <f>C168+1</f>
        <v/>
      </c>
      <c r="G169" s="216" t="n"/>
      <c r="H169" s="57" t="n"/>
      <c r="O169" s="216" t="n"/>
      <c r="X169" s="20" t="n"/>
      <c r="AF169" s="450" t="n"/>
      <c r="AN169" s="45" t="n"/>
      <c r="AP169" s="45" t="n"/>
      <c r="AQ169" s="12" t="n"/>
      <c r="AR169" s="216" t="n">
        <v>40</v>
      </c>
      <c r="AS169" s="216" t="n"/>
      <c r="AT169" s="216" t="n"/>
      <c r="AU169" s="216">
        <f>N169+O169 + 0</f>
        <v/>
      </c>
      <c r="AW169" s="2">
        <f>SUM(AH169:AI169,AJ169/2,AK169:AL169)</f>
        <v/>
      </c>
      <c r="AX169" s="2">
        <f>AM169*0.5+SUM(AN169:AP169)</f>
        <v/>
      </c>
      <c r="AY169" s="39">
        <f>SUM(-AR169+AS169*0.01+AT169*0.5+AU169)</f>
        <v/>
      </c>
      <c r="AZ169" s="39">
        <f>'0分'!AF166</f>
        <v/>
      </c>
      <c r="BA169" s="39">
        <f>SUM(AY169,AX169,AW169)</f>
        <v/>
      </c>
      <c r="BB169" s="250" t="n"/>
      <c r="BC169" s="79">
        <f t="array" ref="BC169">SUMPRODUCT(--(NOT(ISBLANK('0₦'!D169:M169))), '0₦'!D$2:M$2) +  SUMPRODUCT(--(NOT(ISBLANK('0₦'!Q169:T169))), '0₦'!Q$2:T$2)</f>
        <v/>
      </c>
      <c r="BD169" s="250">
        <f t="array" ref="BD169">SUMPRODUCT(--(NOT(ISBLANK('0₦'!N169:P169))),'0₦'!N$2:P$2)+'0₦'!AY169</f>
        <v/>
      </c>
      <c r="BE169" s="79">
        <f t="array" ref="BE169">SUMPRODUCT(--(NOT(ISBLANK('0₦'!AA169:AC169))),'0₦'!AA$2:AC$2) + BF169</f>
        <v/>
      </c>
      <c r="BF169" s="79" t="n"/>
      <c r="BG169" s="79">
        <f t="array" ref="BG169">SUMPRODUCT(--(NOT(ISBLANK('0₦'!U169:Z169))), '0₦'!U$2:Z$2)</f>
        <v/>
      </c>
      <c r="BH169" s="79" t="n"/>
      <c r="BI169" s="79">
        <f>SUM(BG169:BH169)</f>
        <v/>
      </c>
      <c r="BJ169" s="79" t="n"/>
      <c r="BK169" s="79" t="n"/>
      <c r="BL169" s="79" t="n"/>
      <c r="BM169" s="79" t="n"/>
      <c r="BN169" s="79" t="n"/>
      <c r="BO169" s="79" t="n"/>
      <c r="BP169" s="79" t="n"/>
      <c r="BQ169" s="79" t="n"/>
      <c r="BR169" s="79" t="n"/>
      <c r="BS169" s="79" t="n"/>
      <c r="BT169" s="79" t="n"/>
      <c r="BU169" s="79" t="n"/>
      <c r="BV169" s="79" t="n"/>
      <c r="BW169" s="79" t="n"/>
      <c r="BX169" s="79" t="n"/>
      <c r="BY169" s="79" t="n"/>
      <c r="BZ169" s="79" t="n"/>
      <c r="CA169" s="79" t="n"/>
    </row>
    <row r="170" hidden="1" s="37">
      <c r="A170" s="551" t="n"/>
      <c r="B170" s="150" t="inlineStr">
        <is>
          <t>Th</t>
        </is>
      </c>
      <c r="C170" s="550">
        <f>C169+1</f>
        <v/>
      </c>
      <c r="G170" s="216" t="n"/>
      <c r="H170" s="57" t="n"/>
      <c r="O170" s="216" t="n"/>
      <c r="Q170" s="38" t="n"/>
      <c r="X170" s="20" t="n"/>
      <c r="AF170" s="450" t="n"/>
      <c r="AN170" s="45" t="n"/>
      <c r="AP170" s="45" t="n"/>
      <c r="AQ170" s="12" t="n"/>
      <c r="AR170" s="216" t="n">
        <v>40</v>
      </c>
      <c r="AS170" s="216" t="n"/>
      <c r="AT170" s="216" t="n"/>
      <c r="AU170" s="216">
        <f>N170+O170 + 0</f>
        <v/>
      </c>
      <c r="AW170" s="2">
        <f>SUM(AH170:AI170,AJ170/2,AK170:AL170)</f>
        <v/>
      </c>
      <c r="AX170" s="2">
        <f>AM170*0.5+SUM(AN170:AP170)</f>
        <v/>
      </c>
      <c r="AY170" s="39">
        <f>SUM(-AR170+AS170*0.01+AT170*0.5+AU170)</f>
        <v/>
      </c>
      <c r="AZ170" s="39">
        <f>'0分'!AF167</f>
        <v/>
      </c>
      <c r="BA170" s="39">
        <f>SUM(AY170,AX170,AW170)</f>
        <v/>
      </c>
      <c r="BB170" s="250" t="n"/>
      <c r="BC170" s="79">
        <f t="array" ref="BC170">SUMPRODUCT(--(NOT(ISBLANK('0₦'!D170:M170))), '0₦'!D$2:M$2) +  SUMPRODUCT(--(NOT(ISBLANK('0₦'!Q170:T170))), '0₦'!Q$2:T$2)</f>
        <v/>
      </c>
      <c r="BD170" s="250">
        <f t="array" ref="BD170">SUMPRODUCT(--(NOT(ISBLANK('0₦'!N170:P170))),'0₦'!N$2:P$2)+'0₦'!AY170</f>
        <v/>
      </c>
      <c r="BE170" s="79">
        <f t="array" ref="BE170">SUMPRODUCT(--(NOT(ISBLANK('0₦'!AA170:AC170))),'0₦'!AA$2:AC$2) + BF170</f>
        <v/>
      </c>
      <c r="BF170" s="79" t="n"/>
      <c r="BG170" s="79">
        <f t="array" ref="BG170">SUMPRODUCT(--(NOT(ISBLANK('0₦'!U170:Z170))), '0₦'!U$2:Z$2)</f>
        <v/>
      </c>
      <c r="BH170" s="79" t="n"/>
      <c r="BI170" s="79">
        <f>SUM(BG170:BH170)</f>
        <v/>
      </c>
      <c r="BJ170" s="79" t="n"/>
      <c r="BK170" s="79" t="n"/>
      <c r="BL170" s="79" t="n"/>
      <c r="BM170" s="79" t="n"/>
      <c r="BN170" s="79" t="n"/>
      <c r="BO170" s="79" t="n"/>
      <c r="BP170" s="79" t="n"/>
      <c r="BQ170" s="79" t="n"/>
      <c r="BR170" s="79" t="n"/>
      <c r="BS170" s="79" t="n"/>
      <c r="BT170" s="79" t="n"/>
      <c r="BU170" s="79" t="n"/>
      <c r="BV170" s="79" t="n"/>
      <c r="BW170" s="79" t="n"/>
      <c r="BX170" s="79" t="n"/>
      <c r="BY170" s="79" t="n"/>
      <c r="BZ170" s="79" t="n"/>
      <c r="CA170" s="79" t="n"/>
    </row>
    <row r="171" hidden="1" ht="17.1" customHeight="1" s="37">
      <c r="A171" s="551" t="n"/>
      <c r="B171" s="150" t="inlineStr">
        <is>
          <t>F</t>
        </is>
      </c>
      <c r="C171" s="550">
        <f>C170+1</f>
        <v/>
      </c>
      <c r="G171" s="216" t="n"/>
      <c r="H171" s="57" t="n"/>
      <c r="O171" s="216" t="n"/>
      <c r="X171" s="20" t="n"/>
      <c r="AF171" s="450" t="n"/>
      <c r="AN171" s="45" t="n"/>
      <c r="AP171" s="45" t="n"/>
      <c r="AQ171" s="12" t="n"/>
      <c r="AR171" s="216" t="n">
        <v>40</v>
      </c>
      <c r="AS171" s="216" t="n"/>
      <c r="AT171" s="216" t="n"/>
      <c r="AU171" s="216">
        <f>N171+O171 + 0</f>
        <v/>
      </c>
      <c r="AW171" s="2">
        <f>SUM(AH171:AI171,AJ171/2,AK171:AL171)</f>
        <v/>
      </c>
      <c r="AX171" s="2">
        <f>AM171*0.5+SUM(AN171:AP171)</f>
        <v/>
      </c>
      <c r="AY171" s="39">
        <f>SUM(-AR171+AS171*0.01+AT171*0.5+AU171)</f>
        <v/>
      </c>
      <c r="AZ171" s="39">
        <f>'0分'!AF168</f>
        <v/>
      </c>
      <c r="BA171" s="39">
        <f>SUM(AY171,AX171,AW171)</f>
        <v/>
      </c>
      <c r="BB171" s="250" t="n"/>
      <c r="BC171" s="79">
        <f t="array" ref="BC171">SUMPRODUCT(--(NOT(ISBLANK('0₦'!D171:M171))), '0₦'!D$2:M$2) +  SUMPRODUCT(--(NOT(ISBLANK('0₦'!Q171:T171))), '0₦'!Q$2:T$2)</f>
        <v/>
      </c>
      <c r="BD171" s="250">
        <f t="array" ref="BD171">SUMPRODUCT(--(NOT(ISBLANK('0₦'!N171:P171))),'0₦'!N$2:P$2)+'0₦'!AY171</f>
        <v/>
      </c>
      <c r="BE171" s="79">
        <f t="array" ref="BE171">SUMPRODUCT(--(NOT(ISBLANK('0₦'!AA171:AC171))),'0₦'!AA$2:AC$2) + BF171</f>
        <v/>
      </c>
      <c r="BF171" s="79" t="n"/>
      <c r="BG171" s="79">
        <f t="array" ref="BG171">SUMPRODUCT(--(NOT(ISBLANK('0₦'!U171:Z171))), '0₦'!U$2:Z$2)</f>
        <v/>
      </c>
      <c r="BH171" s="79" t="n"/>
      <c r="BI171" s="79">
        <f>SUM(BG171:BH171)</f>
        <v/>
      </c>
      <c r="BJ171" s="79" t="n"/>
      <c r="BK171" s="79" t="n"/>
      <c r="BL171" s="79" t="n"/>
      <c r="BM171" s="79" t="n"/>
      <c r="BN171" s="79" t="n"/>
      <c r="BO171" s="79" t="n"/>
      <c r="BP171" s="79" t="n"/>
      <c r="BQ171" s="79" t="n"/>
      <c r="BR171" s="79" t="n"/>
      <c r="BS171" s="79" t="n"/>
      <c r="BT171" s="79" t="n"/>
      <c r="BU171" s="79" t="n"/>
      <c r="BV171" s="79" t="n"/>
      <c r="BW171" s="79" t="n"/>
      <c r="BX171" s="79" t="n"/>
      <c r="BY171" s="79" t="n"/>
      <c r="BZ171" s="79" t="n"/>
      <c r="CA171" s="79" t="n"/>
    </row>
    <row r="172" hidden="1" ht="17.1" customHeight="1" s="37">
      <c r="A172" s="552" t="n"/>
      <c r="B172" s="150" t="inlineStr">
        <is>
          <t>S</t>
        </is>
      </c>
      <c r="C172" s="550">
        <f>C171+1</f>
        <v/>
      </c>
      <c r="G172" s="216" t="n"/>
      <c r="H172" s="57" t="n"/>
      <c r="O172" s="216" t="n"/>
      <c r="X172" s="20" t="n"/>
      <c r="AF172" s="450" t="n"/>
      <c r="AN172" s="45" t="n"/>
      <c r="AP172" s="45" t="n"/>
      <c r="AQ172" s="12" t="n"/>
      <c r="AR172" s="216" t="n">
        <v>40</v>
      </c>
      <c r="AS172" s="216" t="n"/>
      <c r="AT172" s="216" t="n"/>
      <c r="AU172" s="216">
        <f>N172+O172 + 0</f>
        <v/>
      </c>
      <c r="AW172" s="2">
        <f>SUM(AH172:AI172,AJ172/2,AK172:AL172)</f>
        <v/>
      </c>
      <c r="AX172" s="2">
        <f>AM172*0.5+SUM(AN172:AP172)</f>
        <v/>
      </c>
      <c r="AY172" s="39">
        <f>SUM(-AR172+AS172*0.01+AT172*0.5+AU172)</f>
        <v/>
      </c>
      <c r="AZ172" s="39">
        <f>'0分'!AF169</f>
        <v/>
      </c>
      <c r="BA172" s="39">
        <f>SUM(AY172,AX172,AW172)</f>
        <v/>
      </c>
      <c r="BB172" s="250" t="n"/>
      <c r="BC172" s="79">
        <f t="array" ref="BC172">SUMPRODUCT(--(NOT(ISBLANK('0₦'!D172:M172))), '0₦'!D$2:M$2) +  SUMPRODUCT(--(NOT(ISBLANK('0₦'!Q172:T172))), '0₦'!Q$2:T$2)</f>
        <v/>
      </c>
      <c r="BD172" s="250">
        <f t="array" ref="BD172">SUMPRODUCT(--(NOT(ISBLANK('0₦'!N172:P172))),'0₦'!N$2:P$2)+'0₦'!AY172</f>
        <v/>
      </c>
      <c r="BE172" s="79">
        <f t="array" ref="BE172">SUMPRODUCT(--(NOT(ISBLANK('0₦'!AA172:AC172))),'0₦'!AA$2:AC$2) + BF172</f>
        <v/>
      </c>
      <c r="BF172" s="79" t="n"/>
      <c r="BG172" s="79">
        <f t="array" ref="BG172">SUMPRODUCT(--(NOT(ISBLANK('0₦'!U172:Z172))), '0₦'!U$2:Z$2)</f>
        <v/>
      </c>
      <c r="BH172" s="79" t="n"/>
      <c r="BI172" s="79">
        <f>SUM(BG172:BH172)</f>
        <v/>
      </c>
      <c r="BJ172" s="79" t="n"/>
      <c r="BK172" s="79" t="n"/>
      <c r="BL172" s="79" t="n"/>
      <c r="BM172" s="79" t="n"/>
      <c r="BN172" s="79" t="n"/>
      <c r="BO172" s="79" t="n"/>
      <c r="BP172" s="79" t="n"/>
      <c r="BQ172" s="79" t="n"/>
      <c r="BR172" s="79" t="n"/>
      <c r="BS172" s="79" t="n"/>
      <c r="BT172" s="79" t="n"/>
      <c r="BU172" s="79" t="n"/>
      <c r="BV172" s="79" t="n"/>
      <c r="BW172" s="79" t="n"/>
      <c r="BX172" s="79" t="n"/>
      <c r="BY172" s="79" t="n"/>
      <c r="BZ172" s="79" t="n"/>
      <c r="CA172" s="79" t="n"/>
    </row>
    <row r="173" hidden="1" s="37">
      <c r="A173" s="462">
        <f>A166+0.1</f>
        <v/>
      </c>
      <c r="B173" s="150" t="inlineStr">
        <is>
          <t>S</t>
        </is>
      </c>
      <c r="C173" s="550">
        <f>C172+1</f>
        <v/>
      </c>
      <c r="G173" s="216" t="n"/>
      <c r="H173" s="57" t="n"/>
      <c r="O173" s="216" t="n"/>
      <c r="X173" s="20" t="n"/>
      <c r="AF173" s="450" t="n"/>
      <c r="AN173" s="45" t="n"/>
      <c r="AP173" s="45" t="n"/>
      <c r="AQ173" s="12" t="n"/>
      <c r="AR173" s="216" t="n">
        <v>40</v>
      </c>
      <c r="AS173" s="216" t="n"/>
      <c r="AT173" s="216" t="n"/>
      <c r="AU173" s="216">
        <f>N173+O173 + 0</f>
        <v/>
      </c>
      <c r="AW173" s="2">
        <f>SUM(AH173:AI173,AJ173/2,AK173:AL173)</f>
        <v/>
      </c>
      <c r="AX173" s="2">
        <f>AM173*0.5+SUM(AN173:AP173)</f>
        <v/>
      </c>
      <c r="AY173" s="39">
        <f>SUM(-AR173+AS173*0.01+AT173*0.5+AU173)</f>
        <v/>
      </c>
      <c r="AZ173" s="39">
        <f>'0分'!AF170</f>
        <v/>
      </c>
      <c r="BA173" s="39">
        <f>SUM(AY173,AX173,AW173)</f>
        <v/>
      </c>
      <c r="BB173" s="250" t="n"/>
      <c r="BC173" s="79">
        <f t="array" ref="BC173">SUMPRODUCT(--(NOT(ISBLANK('0₦'!D173:M173))), '0₦'!D$2:M$2) +  SUMPRODUCT(--(NOT(ISBLANK('0₦'!Q173:T173))), '0₦'!Q$2:T$2)</f>
        <v/>
      </c>
      <c r="BD173" s="250">
        <f t="array" ref="BD173">SUMPRODUCT(--(NOT(ISBLANK('0₦'!N173:P173))),'0₦'!N$2:P$2)+'0₦'!AY173</f>
        <v/>
      </c>
      <c r="BE173" s="79">
        <f t="array" ref="BE173">SUMPRODUCT(--(NOT(ISBLANK('0₦'!AA173:AC173))),'0₦'!AA$2:AC$2) + BF173</f>
        <v/>
      </c>
      <c r="BF173" s="79" t="n"/>
      <c r="BG173" s="79">
        <f t="array" ref="BG173">SUMPRODUCT(--(NOT(ISBLANK('0₦'!U173:Z173))), '0₦'!U$2:Z$2)</f>
        <v/>
      </c>
      <c r="BH173" s="79" t="n"/>
      <c r="BI173" s="79">
        <f>SUM(BG173:BH173)</f>
        <v/>
      </c>
      <c r="BJ173" s="79" t="n"/>
      <c r="BK173" s="79" t="n"/>
      <c r="BL173" s="79" t="n"/>
      <c r="BM173" s="79" t="n"/>
      <c r="BN173" s="79" t="n"/>
      <c r="BO173" s="79" t="n"/>
      <c r="BP173" s="79" t="n"/>
      <c r="BQ173" s="79" t="n"/>
      <c r="BR173" s="79" t="n"/>
      <c r="BS173" s="79" t="n"/>
      <c r="BT173" s="79" t="n"/>
      <c r="BU173" s="79" t="n"/>
      <c r="BV173" s="79" t="n"/>
      <c r="BW173" s="79" t="n"/>
      <c r="BX173" s="79" t="n"/>
      <c r="BY173" s="79" t="n"/>
      <c r="BZ173" s="79" t="n"/>
      <c r="CA173" s="79" t="n"/>
    </row>
    <row r="174" hidden="1" s="37">
      <c r="A174" s="551" t="n"/>
      <c r="B174" s="150" t="inlineStr">
        <is>
          <t>M</t>
        </is>
      </c>
      <c r="C174" s="550">
        <f>C173+1</f>
        <v/>
      </c>
      <c r="G174" s="216" t="n"/>
      <c r="H174" s="57" t="n"/>
      <c r="O174" s="216" t="n"/>
      <c r="X174" s="20" t="n"/>
      <c r="AF174" s="450" t="n"/>
      <c r="AN174" s="45" t="n"/>
      <c r="AP174" s="45" t="n"/>
      <c r="AQ174" s="12" t="n"/>
      <c r="AR174" s="216" t="n">
        <v>40</v>
      </c>
      <c r="AS174" s="216" t="n"/>
      <c r="AT174" s="216" t="n"/>
      <c r="AU174" s="216">
        <f>N174+O174 + 0</f>
        <v/>
      </c>
      <c r="AW174" s="2">
        <f>SUM(AH174:AI174,AJ174/2,AK174:AL174)</f>
        <v/>
      </c>
      <c r="AX174" s="2">
        <f>AM174*0.5+SUM(AN174:AP174)</f>
        <v/>
      </c>
      <c r="AY174" s="39">
        <f>SUM(-AR174+AS174*0.01+AT174*0.5+AU174)</f>
        <v/>
      </c>
      <c r="AZ174" s="39">
        <f>'0分'!AF171</f>
        <v/>
      </c>
      <c r="BA174" s="39">
        <f>SUM(AY174,AX174,AW174)</f>
        <v/>
      </c>
      <c r="BB174" s="250" t="n"/>
      <c r="BC174" s="79">
        <f t="array" ref="BC174">SUMPRODUCT(--(NOT(ISBLANK('0₦'!D174:M174))), '0₦'!D$2:M$2) +  SUMPRODUCT(--(NOT(ISBLANK('0₦'!Q174:T174))), '0₦'!Q$2:T$2)</f>
        <v/>
      </c>
      <c r="BD174" s="250">
        <f t="array" ref="BD174">SUMPRODUCT(--(NOT(ISBLANK('0₦'!N174:P174))),'0₦'!N$2:P$2)+'0₦'!AY174</f>
        <v/>
      </c>
      <c r="BE174" s="79">
        <f t="array" ref="BE174">SUMPRODUCT(--(NOT(ISBLANK('0₦'!AA174:AC174))),'0₦'!AA$2:AC$2) + BF174</f>
        <v/>
      </c>
      <c r="BF174" s="79" t="n"/>
      <c r="BG174" s="79">
        <f t="array" ref="BG174">SUMPRODUCT(--(NOT(ISBLANK('0₦'!U174:Z174))), '0₦'!U$2:Z$2)</f>
        <v/>
      </c>
      <c r="BH174" s="79" t="n"/>
      <c r="BI174" s="79">
        <f>SUM(BG174:BH174)</f>
        <v/>
      </c>
      <c r="BJ174" s="79" t="n"/>
      <c r="BK174" s="79" t="n"/>
      <c r="BL174" s="79" t="n"/>
      <c r="BM174" s="79" t="n"/>
      <c r="BN174" s="79" t="n"/>
      <c r="BO174" s="79" t="n"/>
      <c r="BP174" s="79" t="n"/>
      <c r="BQ174" s="79" t="n"/>
      <c r="BR174" s="79" t="n"/>
      <c r="BS174" s="79" t="n"/>
      <c r="BT174" s="79" t="n"/>
      <c r="BU174" s="79" t="n"/>
      <c r="BV174" s="79" t="n"/>
      <c r="BW174" s="79" t="n"/>
      <c r="BX174" s="79" t="n"/>
      <c r="BY174" s="79" t="n"/>
      <c r="BZ174" s="79" t="n"/>
      <c r="CA174" s="79" t="n"/>
    </row>
    <row r="175" hidden="1" s="37">
      <c r="A175" s="551" t="n"/>
      <c r="B175" s="150" t="inlineStr">
        <is>
          <t>T</t>
        </is>
      </c>
      <c r="C175" s="550">
        <f>C174+1</f>
        <v/>
      </c>
      <c r="G175" s="216" t="n"/>
      <c r="H175" s="57" t="n"/>
      <c r="O175" s="216" t="n"/>
      <c r="X175" s="20" t="n"/>
      <c r="AF175" s="450" t="n"/>
      <c r="AN175" s="45" t="n"/>
      <c r="AP175" s="45" t="n"/>
      <c r="AQ175" s="12" t="n"/>
      <c r="AR175" s="216" t="n">
        <v>40</v>
      </c>
      <c r="AS175" s="216" t="n"/>
      <c r="AT175" s="216" t="n"/>
      <c r="AU175" s="216">
        <f>N175+O175 + 0</f>
        <v/>
      </c>
      <c r="AW175" s="2">
        <f>SUM(AH175:AI175,AJ175/2,AK175:AL175)</f>
        <v/>
      </c>
      <c r="AX175" s="2">
        <f>AM175*0.5+SUM(AN175:AP175)</f>
        <v/>
      </c>
      <c r="AY175" s="39">
        <f>SUM(-AR175+AS175*0.01+AT175*0.5+AU175)</f>
        <v/>
      </c>
      <c r="AZ175" s="39">
        <f>'0分'!AF172</f>
        <v/>
      </c>
      <c r="BA175" s="39">
        <f>SUM(AY175,AX175,AW175)</f>
        <v/>
      </c>
      <c r="BB175" s="250" t="n"/>
      <c r="BC175" s="79">
        <f t="array" ref="BC175">SUMPRODUCT(--(NOT(ISBLANK('0₦'!D175:M175))), '0₦'!D$2:M$2) +  SUMPRODUCT(--(NOT(ISBLANK('0₦'!Q175:T175))), '0₦'!Q$2:T$2)</f>
        <v/>
      </c>
      <c r="BD175" s="250">
        <f t="array" ref="BD175">SUMPRODUCT(--(NOT(ISBLANK('0₦'!N175:P175))),'0₦'!N$2:P$2)+'0₦'!AY175</f>
        <v/>
      </c>
      <c r="BE175" s="79">
        <f t="array" ref="BE175">SUMPRODUCT(--(NOT(ISBLANK('0₦'!AA175:AC175))),'0₦'!AA$2:AC$2) + BF175</f>
        <v/>
      </c>
      <c r="BF175" s="79" t="n"/>
      <c r="BG175" s="79">
        <f t="array" ref="BG175">SUMPRODUCT(--(NOT(ISBLANK('0₦'!U175:Z175))), '0₦'!U$2:Z$2)</f>
        <v/>
      </c>
      <c r="BH175" s="79" t="n"/>
      <c r="BI175" s="79">
        <f>SUM(BG175:BH175)</f>
        <v/>
      </c>
      <c r="BJ175" s="79" t="n"/>
      <c r="BK175" s="79" t="n"/>
      <c r="BL175" s="79" t="n"/>
      <c r="BM175" s="79" t="n"/>
      <c r="BN175" s="79" t="n"/>
      <c r="BO175" s="79" t="n"/>
      <c r="BP175" s="79" t="n"/>
      <c r="BQ175" s="79" t="n"/>
      <c r="BR175" s="79" t="n"/>
      <c r="BS175" s="79" t="n"/>
      <c r="BT175" s="79" t="n"/>
      <c r="BU175" s="79" t="n"/>
      <c r="BV175" s="79" t="n"/>
      <c r="BW175" s="79" t="n"/>
      <c r="BX175" s="79" t="n"/>
      <c r="BY175" s="79" t="n"/>
      <c r="BZ175" s="79" t="n"/>
      <c r="CA175" s="79" t="n"/>
    </row>
    <row r="176" hidden="1" ht="17.1" customHeight="1" s="37">
      <c r="A176" s="551" t="n"/>
      <c r="B176" s="150" t="inlineStr">
        <is>
          <t>W</t>
        </is>
      </c>
      <c r="C176" s="550">
        <f>C175+1</f>
        <v/>
      </c>
      <c r="G176" s="216" t="n"/>
      <c r="H176" s="57" t="n"/>
      <c r="O176" s="216" t="n"/>
      <c r="X176" s="20" t="n"/>
      <c r="AF176" s="450" t="n"/>
      <c r="AN176" s="45" t="n"/>
      <c r="AP176" s="45" t="n"/>
      <c r="AQ176" s="12" t="n"/>
      <c r="AR176" s="216" t="n">
        <v>40</v>
      </c>
      <c r="AS176" s="216" t="n"/>
      <c r="AT176" s="216" t="n"/>
      <c r="AU176" s="216">
        <f>N176+O176 + 0</f>
        <v/>
      </c>
      <c r="AW176" s="2">
        <f>SUM(AH176:AI176,AJ176/2,AK176:AL176)</f>
        <v/>
      </c>
      <c r="AX176" s="2">
        <f>AM176*0.5+SUM(AN176:AP176)</f>
        <v/>
      </c>
      <c r="AY176" s="39">
        <f>SUM(-AR176+AS176*0.01+AT176*0.5+AU176)</f>
        <v/>
      </c>
      <c r="AZ176" s="39">
        <f>'0分'!AF173</f>
        <v/>
      </c>
      <c r="BA176" s="39">
        <f>SUM(AY176,AX176,AW176)</f>
        <v/>
      </c>
      <c r="BB176" s="250" t="n"/>
      <c r="BC176" s="79">
        <f t="array" ref="BC176">SUMPRODUCT(--(NOT(ISBLANK('0₦'!D176:M176))), '0₦'!D$2:M$2) +  SUMPRODUCT(--(NOT(ISBLANK('0₦'!Q176:T176))), '0₦'!Q$2:T$2)</f>
        <v/>
      </c>
      <c r="BD176" s="250">
        <f t="array" ref="BD176">SUMPRODUCT(--(NOT(ISBLANK('0₦'!N176:P176))),'0₦'!N$2:P$2)+'0₦'!AY176</f>
        <v/>
      </c>
      <c r="BE176" s="79">
        <f t="array" ref="BE176">SUMPRODUCT(--(NOT(ISBLANK('0₦'!AA176:AC176))),'0₦'!AA$2:AC$2) + BF176</f>
        <v/>
      </c>
      <c r="BF176" s="79" t="n"/>
      <c r="BG176" s="79">
        <f t="array" ref="BG176">SUMPRODUCT(--(NOT(ISBLANK('0₦'!U176:Z176))), '0₦'!U$2:Z$2)</f>
        <v/>
      </c>
      <c r="BH176" s="79" t="n"/>
      <c r="BI176" s="79">
        <f>SUM(BG176:BH176)</f>
        <v/>
      </c>
      <c r="BJ176" s="79" t="n"/>
      <c r="BK176" s="79" t="n"/>
      <c r="BL176" s="79" t="n"/>
      <c r="BM176" s="79" t="n"/>
      <c r="BN176" s="79" t="n"/>
      <c r="BO176" s="79" t="n"/>
      <c r="BP176" s="79" t="n"/>
      <c r="BQ176" s="79" t="n"/>
      <c r="BR176" s="79" t="n"/>
      <c r="BS176" s="79" t="n"/>
      <c r="BT176" s="79" t="n"/>
      <c r="BU176" s="79" t="n"/>
      <c r="BV176" s="79" t="n"/>
      <c r="BW176" s="79" t="n"/>
      <c r="BX176" s="79" t="n"/>
      <c r="BY176" s="79" t="n"/>
      <c r="BZ176" s="79" t="n"/>
      <c r="CA176" s="79" t="n"/>
    </row>
    <row r="177" hidden="1" ht="17.1" customHeight="1" s="37">
      <c r="A177" s="551" t="n"/>
      <c r="B177" s="150" t="inlineStr">
        <is>
          <t>Th</t>
        </is>
      </c>
      <c r="C177" s="550">
        <f>C176+1</f>
        <v/>
      </c>
      <c r="G177" s="216" t="n"/>
      <c r="H177" s="57" t="n"/>
      <c r="O177" s="216" t="n"/>
      <c r="X177" s="20" t="n"/>
      <c r="AF177" s="450" t="n"/>
      <c r="AN177" s="45" t="n"/>
      <c r="AP177" s="45" t="n"/>
      <c r="AQ177" s="12" t="n"/>
      <c r="AR177" s="216" t="n">
        <v>40</v>
      </c>
      <c r="AS177" s="216" t="n"/>
      <c r="AT177" s="216" t="n"/>
      <c r="AU177" s="216">
        <f>N177+O177 + 0</f>
        <v/>
      </c>
      <c r="AW177" s="2">
        <f>SUM(AH177:AI177,AJ177/2,AK177:AL177)</f>
        <v/>
      </c>
      <c r="AX177" s="2">
        <f>AM177*0.5+SUM(AN177:AP177)</f>
        <v/>
      </c>
      <c r="AY177" s="39">
        <f>SUM(-AR177+AS177*0.01+AT177*0.5+AU177)</f>
        <v/>
      </c>
      <c r="AZ177" s="39">
        <f>'0分'!AF174</f>
        <v/>
      </c>
      <c r="BA177" s="39">
        <f>SUM(AY177,AX177,AW177)</f>
        <v/>
      </c>
      <c r="BB177" s="250" t="n"/>
      <c r="BC177" s="79">
        <f t="array" ref="BC177">SUMPRODUCT(--(NOT(ISBLANK('0₦'!D177:M177))), '0₦'!D$2:M$2) +  SUMPRODUCT(--(NOT(ISBLANK('0₦'!Q177:T177))), '0₦'!Q$2:T$2)</f>
        <v/>
      </c>
      <c r="BD177" s="250">
        <f t="array" ref="BD177">SUMPRODUCT(--(NOT(ISBLANK('0₦'!N177:P177))),'0₦'!N$2:P$2)+'0₦'!AY177</f>
        <v/>
      </c>
      <c r="BE177" s="79">
        <f t="array" ref="BE177">SUMPRODUCT(--(NOT(ISBLANK('0₦'!AA177:AC177))),'0₦'!AA$2:AC$2) + BF177</f>
        <v/>
      </c>
      <c r="BF177" s="79" t="n"/>
      <c r="BG177" s="79">
        <f t="array" ref="BG177">SUMPRODUCT(--(NOT(ISBLANK('0₦'!U177:Z177))), '0₦'!U$2:Z$2)</f>
        <v/>
      </c>
      <c r="BH177" s="79" t="n"/>
      <c r="BI177" s="79">
        <f>SUM(BG177:BH177)</f>
        <v/>
      </c>
      <c r="BJ177" s="79" t="n"/>
      <c r="BK177" s="79" t="n"/>
      <c r="BL177" s="79" t="n"/>
      <c r="BM177" s="79" t="n"/>
      <c r="BN177" s="79" t="n"/>
      <c r="BO177" s="79" t="n"/>
      <c r="BP177" s="79" t="n"/>
      <c r="BQ177" s="79" t="n"/>
      <c r="BR177" s="79" t="n"/>
      <c r="BS177" s="79" t="n"/>
      <c r="BT177" s="79" t="n"/>
      <c r="BU177" s="79" t="n"/>
      <c r="BV177" s="79" t="n"/>
      <c r="BW177" s="79" t="n"/>
      <c r="BX177" s="79" t="n"/>
      <c r="BY177" s="79" t="n"/>
      <c r="BZ177" s="79" t="n"/>
      <c r="CA177" s="79" t="n"/>
    </row>
    <row r="178" hidden="1" ht="15" customHeight="1" s="37">
      <c r="A178" s="551" t="n"/>
      <c r="B178" s="150" t="inlineStr">
        <is>
          <t>F</t>
        </is>
      </c>
      <c r="C178" s="550">
        <f>C177+1</f>
        <v/>
      </c>
      <c r="G178" s="216" t="n"/>
      <c r="H178" s="57" t="n"/>
      <c r="O178" s="216" t="n"/>
      <c r="X178" s="20" t="n"/>
      <c r="AF178" s="450" t="n"/>
      <c r="AN178" s="45" t="n"/>
      <c r="AP178" s="45" t="n"/>
      <c r="AQ178" s="12" t="n"/>
      <c r="AR178" s="216" t="n">
        <v>40</v>
      </c>
      <c r="AS178" s="216" t="n"/>
      <c r="AT178" s="216" t="n"/>
      <c r="AU178" s="216">
        <f>N178+O178 + 0</f>
        <v/>
      </c>
      <c r="AW178" s="2">
        <f>SUM(AH178:AI178,AJ178/2,AK178:AL178)</f>
        <v/>
      </c>
      <c r="AX178" s="2">
        <f>AM178*0.5+SUM(AN178:AP178)</f>
        <v/>
      </c>
      <c r="AY178" s="39">
        <f>SUM(-AR178+AS178*0.01+AT178*0.5+AU178)</f>
        <v/>
      </c>
      <c r="AZ178" s="39">
        <f>'0分'!AF175</f>
        <v/>
      </c>
      <c r="BA178" s="39">
        <f>SUM(AY178,AX178,AW178)</f>
        <v/>
      </c>
      <c r="BB178" s="250" t="n"/>
      <c r="BC178" s="79">
        <f t="array" ref="BC178">SUMPRODUCT(--(NOT(ISBLANK('0₦'!D178:M178))), '0₦'!D$2:M$2) +  SUMPRODUCT(--(NOT(ISBLANK('0₦'!Q178:T178))), '0₦'!Q$2:T$2)</f>
        <v/>
      </c>
      <c r="BD178" s="250">
        <f t="array" ref="BD178">SUMPRODUCT(--(NOT(ISBLANK('0₦'!N178:P178))),'0₦'!N$2:P$2)+'0₦'!AY178</f>
        <v/>
      </c>
      <c r="BE178" s="79">
        <f t="array" ref="BE178">SUMPRODUCT(--(NOT(ISBLANK('0₦'!AA178:AC178))),'0₦'!AA$2:AC$2) + BF178</f>
        <v/>
      </c>
      <c r="BF178" s="79" t="n"/>
      <c r="BG178" s="79">
        <f t="array" ref="BG178">SUMPRODUCT(--(NOT(ISBLANK('0₦'!U178:Z178))), '0₦'!U$2:Z$2)</f>
        <v/>
      </c>
      <c r="BH178" s="79" t="n"/>
      <c r="BI178" s="79">
        <f>SUM(BG178:BH178)</f>
        <v/>
      </c>
      <c r="BJ178" s="79" t="n"/>
      <c r="BK178" s="79" t="n"/>
      <c r="BL178" s="79" t="n"/>
      <c r="BM178" s="79" t="n"/>
      <c r="BN178" s="79" t="n"/>
      <c r="BO178" s="79" t="n"/>
      <c r="BP178" s="79" t="n"/>
      <c r="BQ178" s="79" t="n"/>
      <c r="BR178" s="79" t="n"/>
      <c r="BS178" s="79" t="n"/>
      <c r="BT178" s="79" t="n"/>
      <c r="BU178" s="79" t="n"/>
      <c r="BV178" s="79" t="n"/>
      <c r="BW178" s="79" t="n"/>
      <c r="BX178" s="79" t="n"/>
      <c r="BY178" s="79" t="n"/>
      <c r="BZ178" s="79" t="n"/>
      <c r="CA178" s="79" t="n"/>
    </row>
    <row r="179" hidden="1" ht="17.1" customHeight="1" s="37">
      <c r="A179" s="552" t="n"/>
      <c r="B179" s="150" t="inlineStr">
        <is>
          <t>S</t>
        </is>
      </c>
      <c r="C179" s="550">
        <f>C178+1</f>
        <v/>
      </c>
      <c r="G179" s="216" t="n"/>
      <c r="H179" s="57" t="n"/>
      <c r="O179" s="216" t="n"/>
      <c r="T179" s="38" t="n"/>
      <c r="X179" s="20" t="n"/>
      <c r="AF179" s="450" t="n"/>
      <c r="AN179" s="45" t="n"/>
      <c r="AP179" s="45" t="n"/>
      <c r="AQ179" s="12" t="n"/>
      <c r="AR179" s="216" t="n">
        <v>40</v>
      </c>
      <c r="AS179" s="216" t="n"/>
      <c r="AT179" s="216" t="n"/>
      <c r="AU179" s="216">
        <f>N179+O179 + 0</f>
        <v/>
      </c>
      <c r="AW179" s="2">
        <f>SUM(AH179:AI179,AJ179/2,AK179:AL179)</f>
        <v/>
      </c>
      <c r="AX179" s="2">
        <f>AM179*0.5+SUM(AN179:AP179)</f>
        <v/>
      </c>
      <c r="AY179" s="39">
        <f>SUM(-AR179+AS179*0.01+AT179*0.5+AU179)</f>
        <v/>
      </c>
      <c r="AZ179" s="39">
        <f>'0分'!AF176</f>
        <v/>
      </c>
      <c r="BA179" s="39">
        <f>SUM(AY179,AX179,AW179)</f>
        <v/>
      </c>
      <c r="BB179" s="250" t="n"/>
      <c r="BC179" s="79">
        <f t="array" ref="BC179">SUMPRODUCT(--(NOT(ISBLANK('0₦'!D179:M179))), '0₦'!D$2:M$2) +  SUMPRODUCT(--(NOT(ISBLANK('0₦'!Q179:T179))), '0₦'!Q$2:T$2)</f>
        <v/>
      </c>
      <c r="BD179" s="250">
        <f t="array" ref="BD179">SUMPRODUCT(--(NOT(ISBLANK('0₦'!N179:P179))),'0₦'!N$2:P$2)+'0₦'!AY179</f>
        <v/>
      </c>
      <c r="BE179" s="79">
        <f t="array" ref="BE179">SUMPRODUCT(--(NOT(ISBLANK('0₦'!AA179:AC179))),'0₦'!AA$2:AC$2) + BF179</f>
        <v/>
      </c>
      <c r="BF179" s="79" t="n"/>
      <c r="BG179" s="79">
        <f t="array" ref="BG179">SUMPRODUCT(--(NOT(ISBLANK('0₦'!U179:Z179))), '0₦'!U$2:Z$2)</f>
        <v/>
      </c>
      <c r="BH179" s="79" t="n"/>
      <c r="BI179" s="79">
        <f>SUM(BG179:BH179)</f>
        <v/>
      </c>
      <c r="BJ179" s="79" t="n"/>
      <c r="BK179" s="79" t="n"/>
      <c r="BL179" s="79" t="n"/>
      <c r="BM179" s="79" t="n"/>
      <c r="BN179" s="79" t="n"/>
      <c r="BO179" s="79" t="n"/>
      <c r="BP179" s="79" t="n"/>
      <c r="BQ179" s="79" t="n"/>
      <c r="BR179" s="79" t="n"/>
      <c r="BS179" s="79" t="n"/>
      <c r="BT179" s="79" t="n"/>
      <c r="BU179" s="79" t="n"/>
      <c r="BV179" s="79" t="n"/>
      <c r="BW179" s="79" t="n"/>
      <c r="BX179" s="79" t="n"/>
      <c r="BY179" s="79" t="n"/>
      <c r="BZ179" s="79" t="n"/>
      <c r="CA179" s="79" t="n"/>
    </row>
    <row r="180" hidden="1" ht="17.1" customHeight="1" s="37">
      <c r="A180" s="462">
        <f>A173+0.1</f>
        <v/>
      </c>
      <c r="B180" s="150" t="inlineStr">
        <is>
          <t>S</t>
        </is>
      </c>
      <c r="C180" s="550">
        <f>C179+1</f>
        <v/>
      </c>
      <c r="G180" s="216" t="n"/>
      <c r="H180" s="57" t="n"/>
      <c r="O180" s="216" t="n"/>
      <c r="X180" s="20" t="n"/>
      <c r="AF180" s="450" t="n"/>
      <c r="AN180" s="45" t="n"/>
      <c r="AP180" s="45" t="n"/>
      <c r="AQ180" s="12" t="n"/>
      <c r="AR180" s="216" t="n">
        <v>40</v>
      </c>
      <c r="AS180" s="216" t="n"/>
      <c r="AT180" s="216" t="n"/>
      <c r="AU180" s="216">
        <f>N180+O180 + 0</f>
        <v/>
      </c>
      <c r="AW180" s="2">
        <f>SUM(AH180:AI180,AJ180/2,AK180:AL180)</f>
        <v/>
      </c>
      <c r="AX180" s="2">
        <f>AM180*0.5+SUM(AN180:AP180)</f>
        <v/>
      </c>
      <c r="AY180" s="39">
        <f>SUM(-AR180+AS180*0.01+AT180*0.5+AU180)</f>
        <v/>
      </c>
      <c r="AZ180" s="39">
        <f>'0分'!AF177</f>
        <v/>
      </c>
      <c r="BA180" s="39">
        <f>SUM(AY180,AX180,AW180)</f>
        <v/>
      </c>
      <c r="BB180" s="250" t="n"/>
      <c r="BC180" s="79">
        <f t="array" ref="BC180">SUMPRODUCT(--(NOT(ISBLANK('0₦'!D180:M180))), '0₦'!D$2:M$2) +  SUMPRODUCT(--(NOT(ISBLANK('0₦'!Q180:T180))), '0₦'!Q$2:T$2)</f>
        <v/>
      </c>
      <c r="BD180" s="250">
        <f t="array" ref="BD180">SUMPRODUCT(--(NOT(ISBLANK('0₦'!N180:P180))),'0₦'!N$2:P$2)+'0₦'!AY180</f>
        <v/>
      </c>
      <c r="BE180" s="79">
        <f t="array" ref="BE180">SUMPRODUCT(--(NOT(ISBLANK('0₦'!AA180:AC180))),'0₦'!AA$2:AC$2) + BF180</f>
        <v/>
      </c>
      <c r="BF180" s="79" t="n"/>
      <c r="BG180" s="79">
        <f t="array" ref="BG180">SUMPRODUCT(--(NOT(ISBLANK('0₦'!U180:Z180))), '0₦'!U$2:Z$2)</f>
        <v/>
      </c>
      <c r="BH180" s="79" t="n"/>
      <c r="BI180" s="79">
        <f>SUM(BG180:BH180)</f>
        <v/>
      </c>
      <c r="BJ180" s="79" t="n"/>
      <c r="BK180" s="79" t="n"/>
      <c r="BL180" s="79" t="n"/>
      <c r="BM180" s="79" t="n"/>
      <c r="BN180" s="79" t="n"/>
      <c r="BO180" s="79" t="n"/>
      <c r="BP180" s="79" t="n"/>
      <c r="BQ180" s="79" t="n"/>
      <c r="BR180" s="79" t="n"/>
      <c r="BS180" s="79" t="n"/>
      <c r="BT180" s="79" t="n"/>
      <c r="BU180" s="79" t="n"/>
      <c r="BV180" s="79" t="n"/>
      <c r="BW180" s="79" t="n"/>
      <c r="BX180" s="79" t="n"/>
      <c r="BY180" s="79" t="n"/>
      <c r="BZ180" s="79" t="n"/>
      <c r="CA180" s="79" t="n"/>
    </row>
    <row r="181" hidden="1" ht="17.1" customHeight="1" s="37">
      <c r="A181" s="551" t="n"/>
      <c r="B181" s="150" t="inlineStr">
        <is>
          <t>M</t>
        </is>
      </c>
      <c r="C181" s="550">
        <f>C180+1</f>
        <v/>
      </c>
      <c r="G181" s="216" t="n"/>
      <c r="H181" s="57" t="n"/>
      <c r="O181" s="216" t="n"/>
      <c r="X181" s="20" t="n"/>
      <c r="AF181" s="450" t="n"/>
      <c r="AN181" s="45" t="n"/>
      <c r="AP181" s="45" t="n"/>
      <c r="AQ181" s="12" t="n"/>
      <c r="AR181" s="216" t="n">
        <v>40</v>
      </c>
      <c r="AS181" s="216" t="n"/>
      <c r="AT181" s="216" t="n"/>
      <c r="AU181" s="216">
        <f>N181+O181 + 0</f>
        <v/>
      </c>
      <c r="AW181" s="2">
        <f>SUM(AH181:AI181,AJ181/2,AK181:AL181)</f>
        <v/>
      </c>
      <c r="AX181" s="2">
        <f>AM181*0.5+SUM(AN181:AP181)</f>
        <v/>
      </c>
      <c r="AY181" s="39">
        <f>SUM(-AR181+AS181*0.01+AT181*0.5+AU181)</f>
        <v/>
      </c>
      <c r="AZ181" s="39">
        <f>'0分'!AF178</f>
        <v/>
      </c>
      <c r="BA181" s="39">
        <f>SUM(AY181,AX181,AW181)</f>
        <v/>
      </c>
      <c r="BB181" s="250" t="n"/>
      <c r="BC181" s="79">
        <f t="array" ref="BC181">SUMPRODUCT(--(NOT(ISBLANK('0₦'!D181:M181))), '0₦'!D$2:M$2) +  SUMPRODUCT(--(NOT(ISBLANK('0₦'!Q181:T181))), '0₦'!Q$2:T$2)</f>
        <v/>
      </c>
      <c r="BD181" s="250">
        <f t="array" ref="BD181">SUMPRODUCT(--(NOT(ISBLANK('0₦'!N181:P181))),'0₦'!N$2:P$2)+'0₦'!AY181</f>
        <v/>
      </c>
      <c r="BE181" s="79">
        <f t="array" ref="BE181">SUMPRODUCT(--(NOT(ISBLANK('0₦'!AA181:AC181))),'0₦'!AA$2:AC$2) + BF181</f>
        <v/>
      </c>
      <c r="BF181" s="79" t="n"/>
      <c r="BG181" s="79">
        <f t="array" ref="BG181">SUMPRODUCT(--(NOT(ISBLANK('0₦'!U181:Z181))), '0₦'!U$2:Z$2)</f>
        <v/>
      </c>
      <c r="BH181" s="79" t="n"/>
      <c r="BI181" s="79">
        <f>SUM(BG181:BH181)</f>
        <v/>
      </c>
      <c r="BJ181" s="79" t="n"/>
      <c r="BK181" s="79" t="n"/>
      <c r="BL181" s="79" t="n"/>
      <c r="BM181" s="79" t="n"/>
      <c r="BN181" s="79" t="n"/>
      <c r="BO181" s="79" t="n"/>
      <c r="BP181" s="79" t="n"/>
      <c r="BQ181" s="79" t="n"/>
      <c r="BR181" s="79" t="n"/>
      <c r="BS181" s="79" t="n"/>
      <c r="BT181" s="79" t="n"/>
      <c r="BU181" s="79" t="n"/>
      <c r="BV181" s="79" t="n"/>
      <c r="BW181" s="79" t="n"/>
      <c r="BX181" s="79" t="n"/>
      <c r="BY181" s="79" t="n"/>
      <c r="BZ181" s="79" t="n"/>
      <c r="CA181" s="79" t="n"/>
    </row>
    <row r="182" hidden="1" ht="17.1" customHeight="1" s="37">
      <c r="A182" s="551" t="n"/>
      <c r="B182" s="150" t="inlineStr">
        <is>
          <t>T</t>
        </is>
      </c>
      <c r="C182" s="550">
        <f>C181+1</f>
        <v/>
      </c>
      <c r="G182" s="216" t="n"/>
      <c r="H182" s="57" t="n"/>
      <c r="O182" s="216" t="n"/>
      <c r="S182" s="38" t="n"/>
      <c r="T182" s="38" t="n"/>
      <c r="X182" s="20" t="n"/>
      <c r="AF182" s="450" t="n"/>
      <c r="AN182" s="45" t="n"/>
      <c r="AP182" s="45" t="n"/>
      <c r="AQ182" s="12" t="n"/>
      <c r="AR182" s="216" t="n">
        <v>40</v>
      </c>
      <c r="AS182" s="216" t="n"/>
      <c r="AT182" s="216" t="n"/>
      <c r="AU182" s="216">
        <f>N182+O182 + 0</f>
        <v/>
      </c>
      <c r="AW182" s="2">
        <f>SUM(AH182:AI182,AJ182/2,AK182:AL182)</f>
        <v/>
      </c>
      <c r="AX182" s="2">
        <f>AM182*0.5+SUM(AN182:AP182)</f>
        <v/>
      </c>
      <c r="AY182" s="39">
        <f>SUM(-AR182+AS182*0.01+AT182*0.5+AU182)</f>
        <v/>
      </c>
      <c r="AZ182" s="39">
        <f>'0分'!AF179</f>
        <v/>
      </c>
      <c r="BA182" s="39">
        <f>SUM(AY182,AX182,AW182)</f>
        <v/>
      </c>
      <c r="BB182" s="250" t="n"/>
      <c r="BC182" s="79">
        <f t="array" ref="BC182">SUMPRODUCT(--(NOT(ISBLANK('0₦'!D182:M182))), '0₦'!D$2:M$2) +  SUMPRODUCT(--(NOT(ISBLANK('0₦'!Q182:T182))), '0₦'!Q$2:T$2)</f>
        <v/>
      </c>
      <c r="BD182" s="250">
        <f t="array" ref="BD182">SUMPRODUCT(--(NOT(ISBLANK('0₦'!N182:P182))),'0₦'!N$2:P$2)+'0₦'!AY182</f>
        <v/>
      </c>
      <c r="BE182" s="79">
        <f t="array" ref="BE182">SUMPRODUCT(--(NOT(ISBLANK('0₦'!AA182:AC182))),'0₦'!AA$2:AC$2) + BF182</f>
        <v/>
      </c>
      <c r="BF182" s="79" t="n"/>
      <c r="BG182" s="79">
        <f t="array" ref="BG182">SUMPRODUCT(--(NOT(ISBLANK('0₦'!U182:Z182))), '0₦'!U$2:Z$2)</f>
        <v/>
      </c>
      <c r="BH182" s="79" t="n"/>
      <c r="BI182" s="79">
        <f>SUM(BG182:BH182)</f>
        <v/>
      </c>
      <c r="BJ182" s="79" t="n"/>
      <c r="BK182" s="79" t="n"/>
      <c r="BL182" s="79" t="n"/>
      <c r="BM182" s="79" t="n"/>
      <c r="BN182" s="79" t="n"/>
      <c r="BO182" s="79" t="n"/>
      <c r="BP182" s="79" t="n"/>
      <c r="BQ182" s="79" t="n"/>
      <c r="BR182" s="79" t="n"/>
      <c r="BS182" s="79" t="n"/>
      <c r="BT182" s="79" t="n"/>
      <c r="BU182" s="79" t="n"/>
      <c r="BV182" s="79" t="n"/>
      <c r="BW182" s="79" t="n"/>
      <c r="BX182" s="79" t="n"/>
      <c r="BY182" s="79" t="n"/>
      <c r="BZ182" s="79" t="n"/>
      <c r="CA182" s="79" t="n"/>
    </row>
    <row r="183" hidden="1" ht="20.1" customHeight="1" s="37">
      <c r="A183" s="551" t="n"/>
      <c r="B183" s="150" t="inlineStr">
        <is>
          <t>W</t>
        </is>
      </c>
      <c r="C183" s="550">
        <f>C182+1</f>
        <v/>
      </c>
      <c r="G183" s="216" t="n"/>
      <c r="H183" s="57" t="n"/>
      <c r="O183" s="216" t="n"/>
      <c r="S183" s="38" t="n"/>
      <c r="X183" s="20" t="n"/>
      <c r="AF183" s="450" t="n"/>
      <c r="AN183" s="45" t="n"/>
      <c r="AP183" s="45" t="n"/>
      <c r="AQ183" s="12" t="n"/>
      <c r="AR183" s="216" t="n">
        <v>40</v>
      </c>
      <c r="AS183" s="216" t="n"/>
      <c r="AT183" s="216" t="n"/>
      <c r="AU183" s="216">
        <f>N183+O183 + 0</f>
        <v/>
      </c>
      <c r="AW183" s="2">
        <f>SUM(AH183:AI183,AJ183/2,AK183:AL183)</f>
        <v/>
      </c>
      <c r="AX183" s="2">
        <f>AM183*0.5+SUM(AN183:AP183)</f>
        <v/>
      </c>
      <c r="AY183" s="39">
        <f>SUM(-AR183+AS183*0.01+AT183*0.5+AU183)</f>
        <v/>
      </c>
      <c r="AZ183" s="39">
        <f>'0分'!AF180</f>
        <v/>
      </c>
      <c r="BA183" s="39">
        <f>SUM(AY183,AX183,AW183)</f>
        <v/>
      </c>
      <c r="BB183" s="250" t="n"/>
      <c r="BC183" s="79">
        <f t="array" ref="BC183">SUMPRODUCT(--(NOT(ISBLANK('0₦'!D183:M183))), '0₦'!D$2:M$2) +  SUMPRODUCT(--(NOT(ISBLANK('0₦'!Q183:T183))), '0₦'!Q$2:T$2)</f>
        <v/>
      </c>
      <c r="BD183" s="250">
        <f t="array" ref="BD183">SUMPRODUCT(--(NOT(ISBLANK('0₦'!N183:P183))),'0₦'!N$2:P$2)+'0₦'!AY183</f>
        <v/>
      </c>
      <c r="BE183" s="79">
        <f t="array" ref="BE183">SUMPRODUCT(--(NOT(ISBLANK('0₦'!AA183:AC183))),'0₦'!AA$2:AC$2) + BF183</f>
        <v/>
      </c>
      <c r="BF183" s="79" t="n"/>
      <c r="BG183" s="79">
        <f t="array" ref="BG183">SUMPRODUCT(--(NOT(ISBLANK('0₦'!U183:Z183))), '0₦'!U$2:Z$2)</f>
        <v/>
      </c>
      <c r="BH183" s="79" t="n"/>
      <c r="BI183" s="79">
        <f>SUM(BG183:BH183)</f>
        <v/>
      </c>
      <c r="BJ183" s="79" t="n"/>
      <c r="BK183" s="79" t="n"/>
      <c r="BL183" s="79" t="n"/>
      <c r="BM183" s="79" t="n"/>
      <c r="BN183" s="79" t="n"/>
      <c r="BO183" s="79" t="n"/>
      <c r="BP183" s="79" t="n"/>
      <c r="BQ183" s="79" t="n"/>
      <c r="BR183" s="79" t="n"/>
      <c r="BS183" s="79" t="n"/>
      <c r="BT183" s="79" t="n"/>
      <c r="BU183" s="79" t="n"/>
      <c r="BV183" s="79" t="n"/>
      <c r="BW183" s="79" t="n"/>
      <c r="BX183" s="79" t="n"/>
      <c r="BY183" s="79" t="n"/>
      <c r="BZ183" s="79" t="n"/>
      <c r="CA183" s="79" t="n"/>
    </row>
    <row r="184" hidden="1" ht="17.1" customHeight="1" s="37">
      <c r="A184" s="551" t="n"/>
      <c r="B184" s="150" t="inlineStr">
        <is>
          <t>Th</t>
        </is>
      </c>
      <c r="C184" s="550">
        <f>C183+1</f>
        <v/>
      </c>
      <c r="G184" s="216" t="n"/>
      <c r="H184" s="57" t="n"/>
      <c r="O184" s="216" t="n"/>
      <c r="R184" s="38" t="n"/>
      <c r="S184" s="38" t="n"/>
      <c r="X184" s="20" t="n"/>
      <c r="AF184" s="450" t="n"/>
      <c r="AN184" s="45" t="n"/>
      <c r="AP184" s="45" t="n"/>
      <c r="AQ184" s="12" t="n"/>
      <c r="AR184" s="216" t="n">
        <v>40</v>
      </c>
      <c r="AS184" s="216" t="n"/>
      <c r="AT184" s="216" t="n"/>
      <c r="AU184" s="216">
        <f>N184+O184 + 0</f>
        <v/>
      </c>
      <c r="AW184" s="2">
        <f>SUM(AH184:AI184,AJ184/2,AK184:AL184)</f>
        <v/>
      </c>
      <c r="AX184" s="2">
        <f>AM184*0.5+SUM(AN184:AP184)</f>
        <v/>
      </c>
      <c r="AY184" s="39">
        <f>SUM(-AR184+AS184*0.01+AT184*0.5+AU184)</f>
        <v/>
      </c>
      <c r="AZ184" s="39">
        <f>'0分'!AF181</f>
        <v/>
      </c>
      <c r="BA184" s="39">
        <f>SUM(AY184,AX184,AW184)</f>
        <v/>
      </c>
      <c r="BB184" s="250" t="n"/>
      <c r="BC184" s="79">
        <f t="array" ref="BC184">SUMPRODUCT(--(NOT(ISBLANK('0₦'!D184:M184))), '0₦'!D$2:M$2) +  SUMPRODUCT(--(NOT(ISBLANK('0₦'!Q184:T184))), '0₦'!Q$2:T$2)</f>
        <v/>
      </c>
      <c r="BD184" s="250">
        <f t="array" ref="BD184">SUMPRODUCT(--(NOT(ISBLANK('0₦'!N184:P184))),'0₦'!N$2:P$2)+'0₦'!AY184</f>
        <v/>
      </c>
      <c r="BE184" s="79">
        <f t="array" ref="BE184">SUMPRODUCT(--(NOT(ISBLANK('0₦'!AA184:AC184))),'0₦'!AA$2:AC$2) + BF184</f>
        <v/>
      </c>
      <c r="BF184" s="79" t="n"/>
      <c r="BG184" s="79">
        <f t="array" ref="BG184">SUMPRODUCT(--(NOT(ISBLANK('0₦'!U184:Z184))), '0₦'!U$2:Z$2)</f>
        <v/>
      </c>
      <c r="BH184" s="79" t="n"/>
      <c r="BI184" s="79">
        <f>SUM(BG184:BH184)</f>
        <v/>
      </c>
      <c r="BJ184" s="79" t="n"/>
      <c r="BK184" s="79" t="n"/>
      <c r="BL184" s="79" t="n"/>
      <c r="BM184" s="79" t="n"/>
      <c r="BN184" s="79" t="n"/>
      <c r="BO184" s="79" t="n"/>
      <c r="BP184" s="79" t="n"/>
      <c r="BQ184" s="79" t="n"/>
      <c r="BR184" s="79" t="n"/>
      <c r="BS184" s="79" t="n"/>
      <c r="BT184" s="79" t="n"/>
      <c r="BU184" s="79" t="n"/>
      <c r="BV184" s="79" t="n"/>
      <c r="BW184" s="79" t="n"/>
      <c r="BX184" s="79" t="n"/>
      <c r="BY184" s="79" t="n"/>
      <c r="BZ184" s="79" t="n"/>
      <c r="CA184" s="79" t="n"/>
    </row>
    <row r="185" hidden="1" ht="17.1" customHeight="1" s="37">
      <c r="A185" s="551" t="n"/>
      <c r="B185" s="150" t="inlineStr">
        <is>
          <t>F</t>
        </is>
      </c>
      <c r="C185" s="550">
        <f>C184+1</f>
        <v/>
      </c>
      <c r="G185" s="216" t="n"/>
      <c r="H185" s="57" t="n"/>
      <c r="O185" s="216" t="n"/>
      <c r="S185" s="38" t="n"/>
      <c r="X185" s="20" t="n"/>
      <c r="AF185" s="450" t="n"/>
      <c r="AN185" s="45" t="n"/>
      <c r="AP185" s="45" t="n"/>
      <c r="AQ185" s="12" t="n"/>
      <c r="AR185" s="216" t="n">
        <v>40</v>
      </c>
      <c r="AS185" s="216" t="n"/>
      <c r="AT185" s="216" t="n"/>
      <c r="AU185" s="216">
        <f>N185+O185 + 0</f>
        <v/>
      </c>
      <c r="AW185" s="2">
        <f>SUM(AH185:AI185,AJ185/2,AK185:AL185)</f>
        <v/>
      </c>
      <c r="AX185" s="2">
        <f>AM185*0.5+SUM(AN185:AP185)</f>
        <v/>
      </c>
      <c r="AY185" s="39">
        <f>SUM(-AR185+AS185*0.01+AT185*0.5+AU185)</f>
        <v/>
      </c>
      <c r="AZ185" s="39">
        <f>'0分'!AF182</f>
        <v/>
      </c>
      <c r="BA185" s="39">
        <f>SUM(AY185,AX185,AW185)</f>
        <v/>
      </c>
      <c r="BB185" s="250" t="n"/>
      <c r="BC185" s="79">
        <f t="array" ref="BC185">SUMPRODUCT(--(NOT(ISBLANK('0₦'!D185:M185))), '0₦'!D$2:M$2) +  SUMPRODUCT(--(NOT(ISBLANK('0₦'!Q185:T185))), '0₦'!Q$2:T$2)</f>
        <v/>
      </c>
      <c r="BD185" s="250">
        <f t="array" ref="BD185">SUMPRODUCT(--(NOT(ISBLANK('0₦'!N185:P185))),'0₦'!N$2:P$2)+'0₦'!AY185</f>
        <v/>
      </c>
      <c r="BE185" s="79">
        <f t="array" ref="BE185">SUMPRODUCT(--(NOT(ISBLANK('0₦'!AA185:AC185))),'0₦'!AA$2:AC$2) + BF185</f>
        <v/>
      </c>
      <c r="BF185" s="79" t="n"/>
      <c r="BG185" s="79">
        <f t="array" ref="BG185">SUMPRODUCT(--(NOT(ISBLANK('0₦'!U185:Z185))), '0₦'!U$2:Z$2)</f>
        <v/>
      </c>
      <c r="BH185" s="79" t="n"/>
      <c r="BI185" s="79">
        <f>SUM(BG185:BH185)</f>
        <v/>
      </c>
      <c r="BJ185" s="79" t="n"/>
      <c r="BK185" s="79" t="n"/>
      <c r="BL185" s="79" t="n"/>
      <c r="BM185" s="79" t="n"/>
      <c r="BN185" s="79" t="n"/>
      <c r="BO185" s="79" t="n"/>
      <c r="BP185" s="79" t="n"/>
      <c r="BQ185" s="79" t="n"/>
      <c r="BR185" s="79" t="n"/>
      <c r="BS185" s="79" t="n"/>
      <c r="BT185" s="79" t="n"/>
      <c r="BU185" s="79" t="n"/>
      <c r="BV185" s="79" t="n"/>
      <c r="BW185" s="79" t="n"/>
      <c r="BX185" s="79" t="n"/>
      <c r="BY185" s="79" t="n"/>
      <c r="BZ185" s="79" t="n"/>
      <c r="CA185" s="79" t="n"/>
    </row>
    <row r="186" hidden="1" ht="17.1" customHeight="1" s="37">
      <c r="A186" s="552" t="n"/>
      <c r="B186" s="150" t="inlineStr">
        <is>
          <t>S</t>
        </is>
      </c>
      <c r="C186" s="550">
        <f>C185+1</f>
        <v/>
      </c>
      <c r="G186" s="216" t="n"/>
      <c r="H186" s="57" t="n"/>
      <c r="O186" s="216" t="n"/>
      <c r="S186" s="38" t="n"/>
      <c r="X186" s="20" t="n"/>
      <c r="AF186" s="450" t="n"/>
      <c r="AN186" s="45" t="n"/>
      <c r="AP186" s="45" t="n"/>
      <c r="AQ186" s="12" t="n"/>
      <c r="AR186" s="216" t="n">
        <v>40</v>
      </c>
      <c r="AS186" s="216" t="n"/>
      <c r="AT186" s="216" t="n"/>
      <c r="AU186" s="216">
        <f>N186+O186 + 0</f>
        <v/>
      </c>
      <c r="AW186" s="2">
        <f>SUM(AH186:AI186,AJ186/2,AK186:AL186)</f>
        <v/>
      </c>
      <c r="AX186" s="2">
        <f>AM186*0.5+SUM(AN186:AP186)</f>
        <v/>
      </c>
      <c r="AY186" s="39">
        <f>SUM(-AR186+AS186*0.01+AT186*0.5+AU186)</f>
        <v/>
      </c>
      <c r="AZ186" s="39">
        <f>'0分'!AF183</f>
        <v/>
      </c>
      <c r="BA186" s="39">
        <f>SUM(AY186,AX186,AW186)</f>
        <v/>
      </c>
      <c r="BB186" s="250" t="n"/>
      <c r="BC186" s="79">
        <f t="array" ref="BC186">SUMPRODUCT(--(NOT(ISBLANK('0₦'!D186:M186))), '0₦'!D$2:M$2) +  SUMPRODUCT(--(NOT(ISBLANK('0₦'!Q186:T186))), '0₦'!Q$2:T$2)</f>
        <v/>
      </c>
      <c r="BD186" s="250">
        <f t="array" ref="BD186">SUMPRODUCT(--(NOT(ISBLANK('0₦'!N186:P186))),'0₦'!N$2:P$2)+'0₦'!AY186</f>
        <v/>
      </c>
      <c r="BE186" s="79">
        <f t="array" ref="BE186">SUMPRODUCT(--(NOT(ISBLANK('0₦'!AA186:AC186))),'0₦'!AA$2:AC$2) + BF186</f>
        <v/>
      </c>
      <c r="BF186" s="79" t="n"/>
      <c r="BG186" s="79">
        <f t="array" ref="BG186">SUMPRODUCT(--(NOT(ISBLANK('0₦'!U186:Z186))), '0₦'!U$2:Z$2)</f>
        <v/>
      </c>
      <c r="BH186" s="79" t="n"/>
      <c r="BI186" s="79">
        <f>SUM(BG186:BH186)</f>
        <v/>
      </c>
      <c r="BJ186" s="79" t="n"/>
      <c r="BK186" s="79" t="n"/>
      <c r="BL186" s="79" t="n"/>
      <c r="BM186" s="79" t="n"/>
      <c r="BN186" s="79" t="n"/>
      <c r="BO186" s="79" t="n"/>
      <c r="BP186" s="79" t="n"/>
      <c r="BQ186" s="79" t="n"/>
      <c r="BR186" s="79" t="n"/>
      <c r="BS186" s="79" t="n"/>
      <c r="BT186" s="79" t="n"/>
      <c r="BU186" s="79" t="n"/>
      <c r="BV186" s="79" t="n"/>
      <c r="BW186" s="79" t="n"/>
      <c r="BX186" s="79" t="n"/>
      <c r="BY186" s="79" t="n"/>
      <c r="BZ186" s="79" t="n"/>
      <c r="CA186" s="79" t="n"/>
    </row>
    <row r="187" hidden="1" ht="17.1" customHeight="1" s="37">
      <c r="A187" s="462">
        <f>A152+1</f>
        <v/>
      </c>
      <c r="B187" s="150" t="inlineStr">
        <is>
          <t>S</t>
        </is>
      </c>
      <c r="C187" s="550">
        <f>C186+1</f>
        <v/>
      </c>
      <c r="G187" s="216" t="n"/>
      <c r="H187" s="57" t="n"/>
      <c r="O187" s="216" t="n"/>
      <c r="S187" s="38" t="n"/>
      <c r="X187" s="20" t="n"/>
      <c r="AF187" s="450" t="n"/>
      <c r="AN187" s="45" t="n"/>
      <c r="AP187" s="45" t="n"/>
      <c r="AQ187" s="12" t="n"/>
      <c r="AR187" s="216" t="n">
        <v>40</v>
      </c>
      <c r="AS187" s="216" t="n"/>
      <c r="AT187" s="216" t="n"/>
      <c r="AU187" s="216">
        <f>N187+O187 + 0</f>
        <v/>
      </c>
      <c r="AW187" s="2">
        <f>SUM(AH187:AI187,AJ187/2,AK187:AL187)</f>
        <v/>
      </c>
      <c r="AX187" s="2">
        <f>AM187*0.5+SUM(AN187:AP187)</f>
        <v/>
      </c>
      <c r="AY187" s="39">
        <f>SUM(-AR187+AS187*0.01+AT187*0.5+AU187)</f>
        <v/>
      </c>
      <c r="AZ187" s="39">
        <f>'0分'!AF184</f>
        <v/>
      </c>
      <c r="BA187" s="39">
        <f>SUM(AY187,AX187,AW187)</f>
        <v/>
      </c>
      <c r="BB187" s="250" t="n"/>
      <c r="BC187" s="79">
        <f t="array" ref="BC187">SUMPRODUCT(--(NOT(ISBLANK('0₦'!D187:M187))), '0₦'!D$2:M$2) +  SUMPRODUCT(--(NOT(ISBLANK('0₦'!Q187:T187))), '0₦'!Q$2:T$2)</f>
        <v/>
      </c>
      <c r="BD187" s="250">
        <f t="array" ref="BD187">SUMPRODUCT(--(NOT(ISBLANK('0₦'!N187:P187))),'0₦'!N$2:P$2)+'0₦'!AY187</f>
        <v/>
      </c>
      <c r="BE187" s="79">
        <f t="array" ref="BE187">SUMPRODUCT(--(NOT(ISBLANK('0₦'!AA187:AC187))),'0₦'!AA$2:AC$2) + BF187</f>
        <v/>
      </c>
      <c r="BF187" s="79" t="n"/>
      <c r="BG187" s="79">
        <f t="array" ref="BG187">SUMPRODUCT(--(NOT(ISBLANK('0₦'!U187:Z187))), '0₦'!U$2:Z$2)</f>
        <v/>
      </c>
      <c r="BH187" s="79" t="n"/>
      <c r="BI187" s="79">
        <f>SUM(BG187:BH187)</f>
        <v/>
      </c>
      <c r="BJ187" s="79" t="n"/>
      <c r="BK187" s="79" t="n"/>
      <c r="BL187" s="79" t="n"/>
      <c r="BM187" s="79" t="n"/>
      <c r="BN187" s="79" t="n"/>
      <c r="BO187" s="79" t="n"/>
      <c r="BP187" s="79" t="n"/>
      <c r="BQ187" s="79" t="n"/>
      <c r="BR187" s="79" t="n"/>
      <c r="BS187" s="79" t="n"/>
      <c r="BT187" s="79" t="n"/>
      <c r="BU187" s="79" t="n"/>
      <c r="BV187" s="79" t="n"/>
      <c r="BW187" s="79" t="n"/>
      <c r="BX187" s="79" t="n"/>
      <c r="BY187" s="79" t="n"/>
      <c r="BZ187" s="79" t="n"/>
      <c r="CA187" s="79" t="n"/>
    </row>
    <row r="188" hidden="1" ht="17.1" customHeight="1" s="37">
      <c r="A188" s="551" t="n"/>
      <c r="B188" s="150" t="inlineStr">
        <is>
          <t>M</t>
        </is>
      </c>
      <c r="C188" s="550">
        <f>C187+1</f>
        <v/>
      </c>
      <c r="G188" s="216" t="n"/>
      <c r="H188" s="57" t="n"/>
      <c r="O188" s="216" t="n"/>
      <c r="S188" s="38" t="n"/>
      <c r="X188" s="20" t="n"/>
      <c r="AF188" s="450" t="n"/>
      <c r="AN188" s="45" t="n"/>
      <c r="AP188" s="45" t="n"/>
      <c r="AQ188" s="12" t="n"/>
      <c r="AR188" s="216" t="n">
        <v>40</v>
      </c>
      <c r="AS188" s="216" t="n"/>
      <c r="AT188" s="216" t="n"/>
      <c r="AU188" s="216">
        <f>N188+O188 + 0</f>
        <v/>
      </c>
      <c r="AW188" s="2">
        <f>SUM(AH188:AI188,AJ188/2,AK188:AL188)</f>
        <v/>
      </c>
      <c r="AX188" s="2">
        <f>AM188*0.5+SUM(AN188:AP188)</f>
        <v/>
      </c>
      <c r="AY188" s="39">
        <f>SUM(-AR188+AS188*0.01+AT188*0.5+AU188)</f>
        <v/>
      </c>
      <c r="AZ188" s="39">
        <f>'0分'!AF185</f>
        <v/>
      </c>
      <c r="BA188" s="39">
        <f>SUM(AY188,AX188,AW188)</f>
        <v/>
      </c>
      <c r="BB188" s="250" t="n"/>
      <c r="BC188" s="79">
        <f t="array" ref="BC188">SUMPRODUCT(--(NOT(ISBLANK('0₦'!D188:M188))), '0₦'!D$2:M$2) +  SUMPRODUCT(--(NOT(ISBLANK('0₦'!Q188:T188))), '0₦'!Q$2:T$2)</f>
        <v/>
      </c>
      <c r="BD188" s="250">
        <f t="array" ref="BD188">SUMPRODUCT(--(NOT(ISBLANK('0₦'!N188:P188))),'0₦'!N$2:P$2)+'0₦'!AY188</f>
        <v/>
      </c>
      <c r="BE188" s="79">
        <f t="array" ref="BE188">SUMPRODUCT(--(NOT(ISBLANK('0₦'!AA188:AC188))),'0₦'!AA$2:AC$2) + BF188</f>
        <v/>
      </c>
      <c r="BF188" s="79" t="n"/>
      <c r="BG188" s="79">
        <f t="array" ref="BG188">SUMPRODUCT(--(NOT(ISBLANK('0₦'!U188:Z188))), '0₦'!U$2:Z$2)</f>
        <v/>
      </c>
      <c r="BH188" s="79" t="n"/>
      <c r="BI188" s="79">
        <f>SUM(BG188:BH188)</f>
        <v/>
      </c>
      <c r="BJ188" s="79" t="n"/>
      <c r="BK188" s="79" t="n"/>
      <c r="BL188" s="79" t="n"/>
      <c r="BM188" s="79" t="n"/>
      <c r="BN188" s="79" t="n"/>
      <c r="BO188" s="79" t="n"/>
      <c r="BP188" s="79" t="n"/>
      <c r="BQ188" s="79" t="n"/>
      <c r="BR188" s="79" t="n"/>
      <c r="BS188" s="79" t="n"/>
      <c r="BT188" s="79" t="n"/>
      <c r="BU188" s="79" t="n"/>
      <c r="BV188" s="79" t="n"/>
      <c r="BW188" s="79" t="n"/>
      <c r="BX188" s="79" t="n"/>
      <c r="BY188" s="79" t="n"/>
      <c r="BZ188" s="79" t="n"/>
      <c r="CA188" s="79" t="n"/>
    </row>
    <row r="189" hidden="1" ht="17.1" customHeight="1" s="37">
      <c r="A189" s="551" t="n"/>
      <c r="B189" s="150" t="inlineStr">
        <is>
          <t>T</t>
        </is>
      </c>
      <c r="C189" s="550">
        <f>C188+1</f>
        <v/>
      </c>
      <c r="G189" s="216" t="n"/>
      <c r="H189" s="57" t="n"/>
      <c r="O189" s="216" t="n"/>
      <c r="X189" s="20" t="n"/>
      <c r="AF189" s="450" t="n"/>
      <c r="AN189" s="45" t="n"/>
      <c r="AP189" s="45" t="n"/>
      <c r="AQ189" s="12" t="n"/>
      <c r="AR189" s="216" t="n">
        <v>40</v>
      </c>
      <c r="AS189" s="216" t="n"/>
      <c r="AT189" s="216" t="n"/>
      <c r="AU189" s="216">
        <f>N189+O189 + 0</f>
        <v/>
      </c>
      <c r="AW189" s="2">
        <f>SUM(AH189:AI189,AJ189/2,AK189:AL189)</f>
        <v/>
      </c>
      <c r="AX189" s="2">
        <f>AM189*0.5+SUM(AN189:AP189)</f>
        <v/>
      </c>
      <c r="AY189" s="39">
        <f>SUM(-AR189+AS189*0.01+AT189*0.5+AU189)</f>
        <v/>
      </c>
      <c r="AZ189" s="39">
        <f>'0分'!AF186</f>
        <v/>
      </c>
      <c r="BA189" s="39">
        <f>SUM(AY189,AX189,AW189)</f>
        <v/>
      </c>
      <c r="BB189" s="250" t="n"/>
      <c r="BC189" s="79">
        <f t="array" ref="BC189">SUMPRODUCT(--(NOT(ISBLANK('0₦'!D189:M189))), '0₦'!D$2:M$2) +  SUMPRODUCT(--(NOT(ISBLANK('0₦'!Q189:T189))), '0₦'!Q$2:T$2)</f>
        <v/>
      </c>
      <c r="BD189" s="250">
        <f t="array" ref="BD189">SUMPRODUCT(--(NOT(ISBLANK('0₦'!N189:P189))),'0₦'!N$2:P$2)+'0₦'!AY189</f>
        <v/>
      </c>
      <c r="BE189" s="79">
        <f t="array" ref="BE189">SUMPRODUCT(--(NOT(ISBLANK('0₦'!AA189:AC189))),'0₦'!AA$2:AC$2) + BF189</f>
        <v/>
      </c>
      <c r="BF189" s="79" t="n"/>
      <c r="BG189" s="79">
        <f t="array" ref="BG189">SUMPRODUCT(--(NOT(ISBLANK('0₦'!U189:Z189))), '0₦'!U$2:Z$2)</f>
        <v/>
      </c>
      <c r="BH189" s="79" t="n"/>
      <c r="BI189" s="79">
        <f>SUM(BG189:BH189)</f>
        <v/>
      </c>
      <c r="BJ189" s="79" t="n"/>
      <c r="BK189" s="79" t="n"/>
      <c r="BL189" s="79" t="n"/>
      <c r="BM189" s="79" t="n"/>
      <c r="BN189" s="79" t="n"/>
      <c r="BO189" s="79" t="n"/>
      <c r="BP189" s="79" t="n"/>
      <c r="BQ189" s="79" t="n"/>
      <c r="BR189" s="79" t="n"/>
      <c r="BS189" s="79" t="n"/>
      <c r="BT189" s="79" t="n"/>
      <c r="BU189" s="79" t="n"/>
      <c r="BV189" s="79" t="n"/>
      <c r="BW189" s="79" t="n"/>
      <c r="BX189" s="79" t="n"/>
      <c r="BY189" s="79" t="n"/>
      <c r="BZ189" s="79" t="n"/>
      <c r="CA189" s="79" t="n"/>
    </row>
    <row r="190" hidden="1" ht="17.1" customHeight="1" s="37">
      <c r="A190" s="551" t="n"/>
      <c r="B190" s="150" t="inlineStr">
        <is>
          <t>W</t>
        </is>
      </c>
      <c r="C190" s="550">
        <f>C189+1</f>
        <v/>
      </c>
      <c r="G190" s="216" t="n"/>
      <c r="H190" s="57" t="n"/>
      <c r="O190" s="216" t="n"/>
      <c r="X190" s="20" t="n"/>
      <c r="AF190" s="450" t="n"/>
      <c r="AN190" s="45" t="n"/>
      <c r="AP190" s="45" t="n"/>
      <c r="AQ190" s="12" t="n"/>
      <c r="AR190" s="216" t="n">
        <v>40</v>
      </c>
      <c r="AS190" s="216" t="n"/>
      <c r="AT190" s="216" t="n"/>
      <c r="AU190" s="216">
        <f>N190+O190 + 0</f>
        <v/>
      </c>
      <c r="AW190" s="2">
        <f>SUM(AH190:AI190,AJ190/2,AK190:AL190)</f>
        <v/>
      </c>
      <c r="AX190" s="2">
        <f>AM190*0.5+SUM(AN190:AP190)</f>
        <v/>
      </c>
      <c r="AY190" s="39">
        <f>SUM(-AR190+AS190*0.01+AT190*0.5+AU190)</f>
        <v/>
      </c>
      <c r="AZ190" s="39">
        <f>'0分'!AF187</f>
        <v/>
      </c>
      <c r="BA190" s="39">
        <f>SUM(AY190,AX190,AW190)</f>
        <v/>
      </c>
      <c r="BB190" s="250" t="n"/>
      <c r="BC190" s="79">
        <f t="array" ref="BC190">SUMPRODUCT(--(NOT(ISBLANK('0₦'!D190:M190))), '0₦'!D$2:M$2) +  SUMPRODUCT(--(NOT(ISBLANK('0₦'!Q190:T190))), '0₦'!Q$2:T$2)</f>
        <v/>
      </c>
      <c r="BD190" s="250">
        <f t="array" ref="BD190">SUMPRODUCT(--(NOT(ISBLANK('0₦'!N190:P190))),'0₦'!N$2:P$2)+'0₦'!AY190</f>
        <v/>
      </c>
      <c r="BE190" s="79">
        <f t="array" ref="BE190">SUMPRODUCT(--(NOT(ISBLANK('0₦'!AA190:AC190))),'0₦'!AA$2:AC$2) + BF190</f>
        <v/>
      </c>
      <c r="BF190" s="79" t="n"/>
      <c r="BG190" s="79">
        <f t="array" ref="BG190">SUMPRODUCT(--(NOT(ISBLANK('0₦'!U190:Z190))), '0₦'!U$2:Z$2)</f>
        <v/>
      </c>
      <c r="BH190" s="79" t="n"/>
      <c r="BI190" s="79">
        <f>SUM(BG190:BH190)</f>
        <v/>
      </c>
      <c r="BJ190" s="79" t="n"/>
      <c r="BK190" s="79" t="n"/>
      <c r="BL190" s="79" t="n"/>
      <c r="BM190" s="79" t="n"/>
      <c r="BN190" s="79" t="n"/>
      <c r="BO190" s="79" t="n"/>
      <c r="BP190" s="79" t="n"/>
      <c r="BQ190" s="79" t="n"/>
      <c r="BR190" s="79" t="n"/>
      <c r="BS190" s="79" t="n"/>
      <c r="BT190" s="79" t="n"/>
      <c r="BU190" s="79" t="n"/>
      <c r="BV190" s="79" t="n"/>
      <c r="BW190" s="79" t="n"/>
      <c r="BX190" s="79" t="n"/>
      <c r="BY190" s="79" t="n"/>
      <c r="BZ190" s="79" t="n"/>
      <c r="CA190" s="79" t="n"/>
    </row>
    <row r="191" hidden="1" ht="17.1" customHeight="1" s="37">
      <c r="A191" s="551" t="n"/>
      <c r="B191" s="150" t="inlineStr">
        <is>
          <t>Th</t>
        </is>
      </c>
      <c r="C191" s="550">
        <f>C190+1</f>
        <v/>
      </c>
      <c r="G191" s="216" t="n"/>
      <c r="H191" s="57" t="n"/>
      <c r="O191" s="216" t="n"/>
      <c r="X191" s="20" t="n"/>
      <c r="AF191" s="450" t="n"/>
      <c r="AN191" s="45" t="n"/>
      <c r="AP191" s="45" t="n"/>
      <c r="AQ191" s="12" t="n"/>
      <c r="AR191" s="216" t="n">
        <v>40</v>
      </c>
      <c r="AS191" s="216" t="n"/>
      <c r="AT191" s="216" t="n"/>
      <c r="AU191" s="216">
        <f>N191+O191 + 0</f>
        <v/>
      </c>
      <c r="AW191" s="2">
        <f>SUM(AH191:AI191,AJ191/2,AK191:AL191)</f>
        <v/>
      </c>
      <c r="AX191" s="2">
        <f>AM191*0.5+SUM(AN191:AP191)</f>
        <v/>
      </c>
      <c r="AY191" s="39">
        <f>SUM(-AR191+AS191*0.01+AT191*0.5+AU191)</f>
        <v/>
      </c>
      <c r="AZ191" s="39">
        <f>'0分'!AF188</f>
        <v/>
      </c>
      <c r="BA191" s="39">
        <f>SUM(AY191,AX191,AW191)</f>
        <v/>
      </c>
      <c r="BB191" s="250" t="n"/>
      <c r="BC191" s="79">
        <f t="array" ref="BC191">SUMPRODUCT(--(NOT(ISBLANK('0₦'!D191:M191))), '0₦'!D$2:M$2) +  SUMPRODUCT(--(NOT(ISBLANK('0₦'!Q191:T191))), '0₦'!Q$2:T$2)</f>
        <v/>
      </c>
      <c r="BD191" s="250">
        <f t="array" ref="BD191">SUMPRODUCT(--(NOT(ISBLANK('0₦'!N191:P191))),'0₦'!N$2:P$2)+'0₦'!AY191</f>
        <v/>
      </c>
      <c r="BE191" s="79">
        <f t="array" ref="BE191">SUMPRODUCT(--(NOT(ISBLANK('0₦'!AA191:AC191))),'0₦'!AA$2:AC$2) + BF191</f>
        <v/>
      </c>
      <c r="BF191" s="79" t="n"/>
      <c r="BG191" s="79">
        <f t="array" ref="BG191">SUMPRODUCT(--(NOT(ISBLANK('0₦'!U191:Z191))), '0₦'!U$2:Z$2)</f>
        <v/>
      </c>
      <c r="BH191" s="79" t="n"/>
      <c r="BI191" s="79">
        <f>SUM(BG191:BH191)</f>
        <v/>
      </c>
      <c r="BJ191" s="79" t="n"/>
      <c r="BK191" s="79" t="n"/>
      <c r="BL191" s="79" t="n"/>
      <c r="BM191" s="79" t="n"/>
      <c r="BN191" s="79" t="n"/>
      <c r="BO191" s="79" t="n"/>
      <c r="BP191" s="79" t="n"/>
      <c r="BQ191" s="79" t="n"/>
      <c r="BR191" s="79" t="n"/>
      <c r="BS191" s="79" t="n"/>
      <c r="BT191" s="79" t="n"/>
      <c r="BU191" s="79" t="n"/>
      <c r="BV191" s="79" t="n"/>
      <c r="BW191" s="79" t="n"/>
      <c r="BX191" s="79" t="n"/>
      <c r="BY191" s="79" t="n"/>
      <c r="BZ191" s="79" t="n"/>
      <c r="CA191" s="79" t="n"/>
    </row>
    <row r="192" hidden="1" ht="17.1" customHeight="1" s="37">
      <c r="A192" s="551" t="n"/>
      <c r="B192" s="150" t="inlineStr">
        <is>
          <t>F</t>
        </is>
      </c>
      <c r="C192" s="550">
        <f>C191+1</f>
        <v/>
      </c>
      <c r="G192" s="216" t="n"/>
      <c r="H192" s="57" t="n"/>
      <c r="O192" s="216" t="n"/>
      <c r="X192" s="20" t="n"/>
      <c r="AF192" s="450" t="n"/>
      <c r="AN192" s="45" t="n"/>
      <c r="AP192" s="45" t="n"/>
      <c r="AQ192" s="12" t="n"/>
      <c r="AR192" s="216" t="n">
        <v>40</v>
      </c>
      <c r="AS192" s="216" t="n"/>
      <c r="AT192" s="216" t="n"/>
      <c r="AU192" s="216">
        <f>N192+O192 + 0</f>
        <v/>
      </c>
      <c r="AW192" s="2">
        <f>SUM(AH192:AI192,AJ192/2,AK192:AL192)</f>
        <v/>
      </c>
      <c r="AX192" s="2">
        <f>AM192*0.5+SUM(AN192:AP192)</f>
        <v/>
      </c>
      <c r="AY192" s="39">
        <f>SUM(-AR192+AS192*0.01+AT192*0.5+AU192)</f>
        <v/>
      </c>
      <c r="AZ192" s="39">
        <f>'0分'!AF189</f>
        <v/>
      </c>
      <c r="BA192" s="39">
        <f>SUM(AY192,AX192,AW192)</f>
        <v/>
      </c>
      <c r="BB192" s="250" t="n"/>
      <c r="BC192" s="79">
        <f t="array" ref="BC192">SUMPRODUCT(--(NOT(ISBLANK('0₦'!D192:M192))), '0₦'!D$2:M$2) +  SUMPRODUCT(--(NOT(ISBLANK('0₦'!Q192:T192))), '0₦'!Q$2:T$2)</f>
        <v/>
      </c>
      <c r="BD192" s="250">
        <f t="array" ref="BD192">SUMPRODUCT(--(NOT(ISBLANK('0₦'!N192:P192))),'0₦'!N$2:P$2)+'0₦'!AY192</f>
        <v/>
      </c>
      <c r="BE192" s="79">
        <f t="array" ref="BE192">SUMPRODUCT(--(NOT(ISBLANK('0₦'!AA192:AC192))),'0₦'!AA$2:AC$2) + BF192</f>
        <v/>
      </c>
      <c r="BF192" s="79" t="n"/>
      <c r="BG192" s="79">
        <f t="array" ref="BG192">SUMPRODUCT(--(NOT(ISBLANK('0₦'!U192:Z192))), '0₦'!U$2:Z$2)</f>
        <v/>
      </c>
      <c r="BH192" s="79" t="n"/>
      <c r="BI192" s="79">
        <f>SUM(BG192:BH192)</f>
        <v/>
      </c>
      <c r="BJ192" s="79" t="n"/>
      <c r="BK192" s="79" t="n"/>
      <c r="BL192" s="79" t="n"/>
      <c r="BM192" s="79" t="n"/>
      <c r="BN192" s="79" t="n"/>
      <c r="BO192" s="79" t="n"/>
      <c r="BP192" s="79" t="n"/>
      <c r="BQ192" s="79" t="n"/>
      <c r="BR192" s="79" t="n"/>
      <c r="BS192" s="79" t="n"/>
      <c r="BT192" s="79" t="n"/>
      <c r="BU192" s="79" t="n"/>
      <c r="BV192" s="79" t="n"/>
      <c r="BW192" s="79" t="n"/>
      <c r="BX192" s="79" t="n"/>
      <c r="BY192" s="79" t="n"/>
      <c r="BZ192" s="79" t="n"/>
      <c r="CA192" s="79" t="n"/>
    </row>
    <row r="193" hidden="1" ht="17.1" customHeight="1" s="37">
      <c r="A193" s="552" t="n"/>
      <c r="B193" s="150" t="inlineStr">
        <is>
          <t>S</t>
        </is>
      </c>
      <c r="C193" s="550">
        <f>C192+1</f>
        <v/>
      </c>
      <c r="G193" s="216" t="n"/>
      <c r="H193" s="57" t="n"/>
      <c r="O193" s="216" t="n"/>
      <c r="X193" s="20" t="n"/>
      <c r="AF193" s="450" t="n"/>
      <c r="AN193" s="45" t="n"/>
      <c r="AP193" s="45" t="n"/>
      <c r="AQ193" s="12" t="n"/>
      <c r="AR193" s="216" t="n">
        <v>40</v>
      </c>
      <c r="AS193" s="216" t="n"/>
      <c r="AT193" s="216" t="n"/>
      <c r="AU193" s="216">
        <f>N193+O193 + 0</f>
        <v/>
      </c>
      <c r="AW193" s="2">
        <f>SUM(AH193:AI193,AJ193/2,AK193:AL193)</f>
        <v/>
      </c>
      <c r="AX193" s="2">
        <f>AM193*0.5+SUM(AN193:AP193)</f>
        <v/>
      </c>
      <c r="AY193" s="39">
        <f>SUM(-AR193+AS193*0.01+AT193*0.5+AU193)</f>
        <v/>
      </c>
      <c r="AZ193" s="39">
        <f>'0分'!AF190</f>
        <v/>
      </c>
      <c r="BA193" s="39">
        <f>SUM(AY193,AX193,AW193)</f>
        <v/>
      </c>
      <c r="BB193" s="250" t="n"/>
      <c r="BC193" s="79">
        <f t="array" ref="BC193">SUMPRODUCT(--(NOT(ISBLANK('0₦'!D193:M193))), '0₦'!D$2:M$2) +  SUMPRODUCT(--(NOT(ISBLANK('0₦'!Q193:T193))), '0₦'!Q$2:T$2)</f>
        <v/>
      </c>
      <c r="BD193" s="250">
        <f t="array" ref="BD193">SUMPRODUCT(--(NOT(ISBLANK('0₦'!N193:P193))),'0₦'!N$2:P$2)+'0₦'!AY193</f>
        <v/>
      </c>
      <c r="BE193" s="79">
        <f t="array" ref="BE193">SUMPRODUCT(--(NOT(ISBLANK('0₦'!AA193:AC193))),'0₦'!AA$2:AC$2) + BF193</f>
        <v/>
      </c>
      <c r="BF193" s="79" t="n"/>
      <c r="BG193" s="79">
        <f t="array" ref="BG193">SUMPRODUCT(--(NOT(ISBLANK('0₦'!U193:Z193))), '0₦'!U$2:Z$2)</f>
        <v/>
      </c>
      <c r="BH193" s="79" t="n"/>
      <c r="BI193" s="79">
        <f>SUM(BG193:BH193)</f>
        <v/>
      </c>
      <c r="BJ193" s="79" t="n"/>
      <c r="BK193" s="79" t="n"/>
      <c r="BL193" s="79" t="n"/>
      <c r="BM193" s="79" t="n"/>
      <c r="BN193" s="79" t="n"/>
      <c r="BO193" s="79" t="n"/>
      <c r="BP193" s="79" t="n"/>
      <c r="BQ193" s="79" t="n"/>
      <c r="BR193" s="79" t="n"/>
      <c r="BS193" s="79" t="n"/>
      <c r="BT193" s="79" t="n"/>
      <c r="BU193" s="79" t="n"/>
      <c r="BV193" s="79" t="n"/>
      <c r="BW193" s="79" t="n"/>
      <c r="BX193" s="79" t="n"/>
      <c r="BY193" s="79" t="n"/>
      <c r="BZ193" s="79" t="n"/>
      <c r="CA193" s="79" t="n"/>
    </row>
    <row r="194" hidden="1" ht="17.1" customHeight="1" s="37">
      <c r="A194" s="462">
        <f>A187+0.1</f>
        <v/>
      </c>
      <c r="B194" s="150" t="inlineStr">
        <is>
          <t>S</t>
        </is>
      </c>
      <c r="C194" s="550">
        <f>C193+1</f>
        <v/>
      </c>
      <c r="G194" s="216" t="n"/>
      <c r="H194" s="57" t="n"/>
      <c r="O194" s="216" t="n"/>
      <c r="X194" s="20" t="n"/>
      <c r="AF194" s="450" t="n"/>
      <c r="AN194" s="45" t="n"/>
      <c r="AP194" s="45" t="n"/>
      <c r="AQ194" s="12" t="n"/>
      <c r="AR194" s="216" t="n">
        <v>40</v>
      </c>
      <c r="AS194" s="216" t="n"/>
      <c r="AT194" s="216" t="n"/>
      <c r="AU194" s="216">
        <f>N194+O194 + 0</f>
        <v/>
      </c>
      <c r="AW194" s="2">
        <f>SUM(AH194:AI194,AJ194/2,AK194:AL194)</f>
        <v/>
      </c>
      <c r="AX194" s="2">
        <f>AM194*0.5+SUM(AN194:AP194)</f>
        <v/>
      </c>
      <c r="AY194" s="39">
        <f>SUM(-AR194+AS194*0.01+AT194*0.5+AU194)</f>
        <v/>
      </c>
      <c r="AZ194" s="39">
        <f>'0分'!AF191</f>
        <v/>
      </c>
      <c r="BA194" s="39">
        <f>SUM(AY194,AX194,AW194)</f>
        <v/>
      </c>
      <c r="BB194" s="250" t="n"/>
      <c r="BC194" s="79">
        <f t="array" ref="BC194">SUMPRODUCT(--(NOT(ISBLANK('0₦'!D194:M194))), '0₦'!D$2:M$2) +  SUMPRODUCT(--(NOT(ISBLANK('0₦'!Q194:T194))), '0₦'!Q$2:T$2)</f>
        <v/>
      </c>
      <c r="BD194" s="250">
        <f t="array" ref="BD194">SUMPRODUCT(--(NOT(ISBLANK('0₦'!N194:P194))),'0₦'!N$2:P$2)+'0₦'!AY194</f>
        <v/>
      </c>
      <c r="BE194" s="79">
        <f t="array" ref="BE194">SUMPRODUCT(--(NOT(ISBLANK('0₦'!AA194:AC194))),'0₦'!AA$2:AC$2) + BF194</f>
        <v/>
      </c>
      <c r="BF194" s="79" t="n"/>
      <c r="BG194" s="79">
        <f t="array" ref="BG194">SUMPRODUCT(--(NOT(ISBLANK('0₦'!U194:Z194))), '0₦'!U$2:Z$2)</f>
        <v/>
      </c>
      <c r="BH194" s="79" t="n"/>
      <c r="BI194" s="79">
        <f>SUM(BG194:BH194)</f>
        <v/>
      </c>
      <c r="BJ194" s="79" t="n"/>
      <c r="BK194" s="79" t="n"/>
      <c r="BL194" s="79" t="n"/>
      <c r="BM194" s="79" t="n"/>
      <c r="BN194" s="79" t="n"/>
      <c r="BO194" s="79" t="n"/>
      <c r="BP194" s="79" t="n"/>
      <c r="BQ194" s="79" t="n"/>
      <c r="BR194" s="79" t="n"/>
      <c r="BS194" s="79" t="n"/>
      <c r="BT194" s="79" t="n"/>
      <c r="BU194" s="79" t="n"/>
      <c r="BV194" s="79" t="n"/>
      <c r="BW194" s="79" t="n"/>
      <c r="BX194" s="79" t="n"/>
      <c r="BY194" s="79" t="n"/>
      <c r="BZ194" s="79" t="n"/>
      <c r="CA194" s="79" t="n"/>
    </row>
    <row r="195" hidden="1" ht="17.1" customHeight="1" s="37">
      <c r="A195" s="551" t="n"/>
      <c r="B195" s="150" t="inlineStr">
        <is>
          <t>M</t>
        </is>
      </c>
      <c r="C195" s="550">
        <f>C194+1</f>
        <v/>
      </c>
      <c r="G195" s="216" t="n"/>
      <c r="H195" s="57" t="n"/>
      <c r="O195" s="216" t="n"/>
      <c r="X195" s="20" t="n"/>
      <c r="AF195" s="450" t="n"/>
      <c r="AN195" s="45" t="n"/>
      <c r="AP195" s="45" t="n"/>
      <c r="AQ195" s="12" t="n"/>
      <c r="AR195" s="216" t="n">
        <v>40</v>
      </c>
      <c r="AS195" s="216" t="n"/>
      <c r="AT195" s="216" t="n"/>
      <c r="AU195" s="216">
        <f>N195+O195 + 0</f>
        <v/>
      </c>
      <c r="AW195" s="2">
        <f>SUM(AH195:AI195,AJ195/2,AK195:AL195)</f>
        <v/>
      </c>
      <c r="AX195" s="2">
        <f>AM195*0.5+SUM(AN195:AP195)</f>
        <v/>
      </c>
      <c r="AY195" s="39">
        <f>SUM(-AR195+AS195*0.01+AT195*0.5+AU195)</f>
        <v/>
      </c>
      <c r="AZ195" s="39">
        <f>'0分'!AF192</f>
        <v/>
      </c>
      <c r="BA195" s="39">
        <f>SUM(AY195,AX195,AW195)</f>
        <v/>
      </c>
      <c r="BB195" s="250" t="n"/>
      <c r="BC195" s="79">
        <f t="array" ref="BC195">SUMPRODUCT(--(NOT(ISBLANK('0₦'!D195:M195))), '0₦'!D$2:M$2) +  SUMPRODUCT(--(NOT(ISBLANK('0₦'!Q195:T195))), '0₦'!Q$2:T$2)</f>
        <v/>
      </c>
      <c r="BD195" s="250">
        <f t="array" ref="BD195">SUMPRODUCT(--(NOT(ISBLANK('0₦'!N195:P195))),'0₦'!N$2:P$2)+'0₦'!AY195</f>
        <v/>
      </c>
      <c r="BE195" s="79">
        <f t="array" ref="BE195">SUMPRODUCT(--(NOT(ISBLANK('0₦'!AA195:AC195))),'0₦'!AA$2:AC$2) + BF195</f>
        <v/>
      </c>
      <c r="BF195" s="79" t="n"/>
      <c r="BG195" s="79">
        <f t="array" ref="BG195">SUMPRODUCT(--(NOT(ISBLANK('0₦'!U195:Z195))), '0₦'!U$2:Z$2)</f>
        <v/>
      </c>
      <c r="BH195" s="79" t="n"/>
      <c r="BI195" s="79">
        <f>SUM(BG195:BH195)</f>
        <v/>
      </c>
      <c r="BJ195" s="79" t="n"/>
      <c r="BK195" s="79" t="n"/>
      <c r="BL195" s="79" t="n"/>
      <c r="BM195" s="79" t="n"/>
      <c r="BN195" s="79" t="n"/>
      <c r="BO195" s="79" t="n"/>
      <c r="BP195" s="79" t="n"/>
      <c r="BQ195" s="79" t="n"/>
      <c r="BR195" s="79" t="n"/>
      <c r="BS195" s="79" t="n"/>
      <c r="BT195" s="79" t="n"/>
      <c r="BU195" s="79" t="n"/>
      <c r="BV195" s="79" t="n"/>
      <c r="BW195" s="79" t="n"/>
      <c r="BX195" s="79" t="n"/>
      <c r="BY195" s="79" t="n"/>
      <c r="BZ195" s="79" t="n"/>
      <c r="CA195" s="79" t="n"/>
    </row>
    <row r="196" hidden="1" ht="17.1" customHeight="1" s="37">
      <c r="A196" s="551" t="n"/>
      <c r="B196" s="150" t="inlineStr">
        <is>
          <t>T</t>
        </is>
      </c>
      <c r="C196" s="550">
        <f>C195+1</f>
        <v/>
      </c>
      <c r="G196" s="216" t="n"/>
      <c r="H196" s="57" t="n"/>
      <c r="O196" s="216" t="n"/>
      <c r="X196" s="20" t="n"/>
      <c r="AF196" s="450" t="n"/>
      <c r="AN196" s="45" t="n"/>
      <c r="AP196" s="45" t="n"/>
      <c r="AQ196" s="12" t="n"/>
      <c r="AR196" s="216" t="n">
        <v>40</v>
      </c>
      <c r="AS196" s="216" t="n"/>
      <c r="AT196" s="216" t="n"/>
      <c r="AU196" s="216">
        <f>N196+O196 + 0</f>
        <v/>
      </c>
      <c r="AW196" s="2">
        <f>SUM(AH196:AI196,AJ196/2,AK196:AL196)</f>
        <v/>
      </c>
      <c r="AX196" s="2">
        <f>AM196*0.5+SUM(AN196:AP196)</f>
        <v/>
      </c>
      <c r="AY196" s="39">
        <f>SUM(-AR196+AS196*0.01+AT196*0.5+AU196)</f>
        <v/>
      </c>
      <c r="AZ196" s="39">
        <f>'0分'!AF193</f>
        <v/>
      </c>
      <c r="BA196" s="39">
        <f>SUM(AY196,AX196,AW196)</f>
        <v/>
      </c>
      <c r="BB196" s="250" t="n"/>
      <c r="BC196" s="79">
        <f t="array" ref="BC196">SUMPRODUCT(--(NOT(ISBLANK('0₦'!D196:M196))), '0₦'!D$2:M$2) +  SUMPRODUCT(--(NOT(ISBLANK('0₦'!Q196:T196))), '0₦'!Q$2:T$2)</f>
        <v/>
      </c>
      <c r="BD196" s="250">
        <f t="array" ref="BD196">SUMPRODUCT(--(NOT(ISBLANK('0₦'!N196:P196))),'0₦'!N$2:P$2)+'0₦'!AY196</f>
        <v/>
      </c>
      <c r="BE196" s="79">
        <f t="array" ref="BE196">SUMPRODUCT(--(NOT(ISBLANK('0₦'!AA196:AC196))),'0₦'!AA$2:AC$2) + BF196</f>
        <v/>
      </c>
      <c r="BF196" s="79" t="n"/>
      <c r="BG196" s="79">
        <f t="array" ref="BG196">SUMPRODUCT(--(NOT(ISBLANK('0₦'!U196:Z196))), '0₦'!U$2:Z$2)</f>
        <v/>
      </c>
      <c r="BH196" s="79" t="n"/>
      <c r="BI196" s="79">
        <f>SUM(BG196:BH196)</f>
        <v/>
      </c>
      <c r="BJ196" s="79" t="n"/>
      <c r="BK196" s="79" t="n"/>
      <c r="BL196" s="79" t="n"/>
      <c r="BM196" s="79" t="n"/>
      <c r="BN196" s="79" t="n"/>
      <c r="BO196" s="79" t="n"/>
      <c r="BP196" s="79" t="n"/>
      <c r="BQ196" s="79" t="n"/>
      <c r="BR196" s="79" t="n"/>
      <c r="BS196" s="79" t="n"/>
      <c r="BT196" s="79" t="n"/>
      <c r="BU196" s="79" t="n"/>
      <c r="BV196" s="79" t="n"/>
      <c r="BW196" s="79" t="n"/>
      <c r="BX196" s="79" t="n"/>
      <c r="BY196" s="79" t="n"/>
      <c r="BZ196" s="79" t="n"/>
      <c r="CA196" s="79" t="n"/>
    </row>
    <row r="197" hidden="1" ht="17.1" customHeight="1" s="37">
      <c r="A197" s="551" t="n"/>
      <c r="B197" s="150" t="inlineStr">
        <is>
          <t>W</t>
        </is>
      </c>
      <c r="C197" s="550">
        <f>C196+1</f>
        <v/>
      </c>
      <c r="G197" s="216" t="n"/>
      <c r="H197" s="57" t="n"/>
      <c r="O197" s="216" t="n"/>
      <c r="X197" s="20" t="n"/>
      <c r="AF197" s="450" t="n"/>
      <c r="AN197" s="45" t="n"/>
      <c r="AP197" s="45" t="n"/>
      <c r="AQ197" s="12" t="n"/>
      <c r="AR197" s="216" t="n">
        <v>40</v>
      </c>
      <c r="AS197" s="216" t="n"/>
      <c r="AT197" s="216" t="n"/>
      <c r="AU197" s="216">
        <f>N197+O197 + 0</f>
        <v/>
      </c>
      <c r="AW197" s="2">
        <f>SUM(AH197:AI197,AJ197/2,AK197:AL197)</f>
        <v/>
      </c>
      <c r="AX197" s="2">
        <f>AM197*0.5+SUM(AN197:AP197)</f>
        <v/>
      </c>
      <c r="AY197" s="39">
        <f>SUM(-AR197+AS197*0.01+AT197*0.5+AU197)</f>
        <v/>
      </c>
      <c r="AZ197" s="39">
        <f>'0分'!AF194</f>
        <v/>
      </c>
      <c r="BA197" s="39">
        <f>SUM(AY197,AX197,AW197)</f>
        <v/>
      </c>
      <c r="BB197" s="250" t="n"/>
      <c r="BC197" s="79">
        <f t="array" ref="BC197">SUMPRODUCT(--(NOT(ISBLANK('0₦'!D197:M197))), '0₦'!D$2:M$2) +  SUMPRODUCT(--(NOT(ISBLANK('0₦'!Q197:T197))), '0₦'!Q$2:T$2)</f>
        <v/>
      </c>
      <c r="BD197" s="250">
        <f t="array" ref="BD197">SUMPRODUCT(--(NOT(ISBLANK('0₦'!N197:P197))),'0₦'!N$2:P$2)+'0₦'!AY197</f>
        <v/>
      </c>
      <c r="BE197" s="79">
        <f t="array" ref="BE197">SUMPRODUCT(--(NOT(ISBLANK('0₦'!AA197:AC197))),'0₦'!AA$2:AC$2) + BF197</f>
        <v/>
      </c>
      <c r="BF197" s="79" t="n"/>
      <c r="BG197" s="79">
        <f t="array" ref="BG197">SUMPRODUCT(--(NOT(ISBLANK('0₦'!U197:Z197))), '0₦'!U$2:Z$2)</f>
        <v/>
      </c>
      <c r="BH197" s="79" t="n"/>
      <c r="BI197" s="79">
        <f>SUM(BG197:BH197)</f>
        <v/>
      </c>
      <c r="BJ197" s="79" t="n"/>
      <c r="BK197" s="79" t="n"/>
      <c r="BL197" s="79" t="n"/>
      <c r="BM197" s="79" t="n"/>
      <c r="BN197" s="79" t="n"/>
      <c r="BO197" s="79" t="n"/>
      <c r="BP197" s="79" t="n"/>
      <c r="BQ197" s="79" t="n"/>
      <c r="BR197" s="79" t="n"/>
      <c r="BS197" s="79" t="n"/>
      <c r="BT197" s="79" t="n"/>
      <c r="BU197" s="79" t="n"/>
      <c r="BV197" s="79" t="n"/>
      <c r="BW197" s="79" t="n"/>
      <c r="BX197" s="79" t="n"/>
      <c r="BY197" s="79" t="n"/>
      <c r="BZ197" s="79" t="n"/>
      <c r="CA197" s="79" t="n"/>
    </row>
    <row r="198" hidden="1" ht="17.1" customHeight="1" s="37">
      <c r="A198" s="551" t="n"/>
      <c r="B198" s="150" t="inlineStr">
        <is>
          <t>Th</t>
        </is>
      </c>
      <c r="C198" s="550">
        <f>C197+1</f>
        <v/>
      </c>
      <c r="G198" s="216" t="n"/>
      <c r="H198" s="57" t="n"/>
      <c r="O198" s="214" t="n"/>
      <c r="X198" s="20" t="n"/>
      <c r="AF198" s="450" t="n"/>
      <c r="AN198" s="45" t="n"/>
      <c r="AP198" s="45" t="n"/>
      <c r="AQ198" s="12" t="n"/>
      <c r="AR198" s="216" t="n">
        <v>40</v>
      </c>
      <c r="AS198" s="216" t="n"/>
      <c r="AT198" s="216" t="n"/>
      <c r="AU198" s="216">
        <f>N198+O198 + 0</f>
        <v/>
      </c>
      <c r="AW198" s="2">
        <f>SUM(AH198:AI198,AJ198/2,AK198:AL198)</f>
        <v/>
      </c>
      <c r="AX198" s="2">
        <f>AM198*0.5+SUM(AN198:AP198)</f>
        <v/>
      </c>
      <c r="AY198" s="39">
        <f>SUM(-AR198+AS198*0.01+AT198*0.5+AU198)</f>
        <v/>
      </c>
      <c r="AZ198" s="39">
        <f>'0分'!AF195</f>
        <v/>
      </c>
      <c r="BA198" s="39">
        <f>SUM(AY198,AX198,AW198)</f>
        <v/>
      </c>
      <c r="BB198" s="250" t="n"/>
      <c r="BC198" s="79">
        <f t="array" ref="BC198">SUMPRODUCT(--(NOT(ISBLANK('0₦'!D198:M198))), '0₦'!D$2:M$2) +  SUMPRODUCT(--(NOT(ISBLANK('0₦'!Q198:T198))), '0₦'!Q$2:T$2)</f>
        <v/>
      </c>
      <c r="BD198" s="250">
        <f t="array" ref="BD198">SUMPRODUCT(--(NOT(ISBLANK('0₦'!N198:P198))),'0₦'!N$2:P$2)+'0₦'!AY198</f>
        <v/>
      </c>
      <c r="BE198" s="79">
        <f t="array" ref="BE198">SUMPRODUCT(--(NOT(ISBLANK('0₦'!AA198:AC198))),'0₦'!AA$2:AC$2) + BF198</f>
        <v/>
      </c>
      <c r="BF198" s="79" t="n"/>
      <c r="BG198" s="79">
        <f t="array" ref="BG198">SUMPRODUCT(--(NOT(ISBLANK('0₦'!U198:Z198))), '0₦'!U$2:Z$2)</f>
        <v/>
      </c>
      <c r="BH198" s="79" t="n"/>
      <c r="BI198" s="79">
        <f>SUM(BG198:BH198)</f>
        <v/>
      </c>
      <c r="BJ198" s="79" t="n"/>
      <c r="BK198" s="79" t="n"/>
      <c r="BL198" s="79" t="n"/>
      <c r="BM198" s="79" t="n"/>
      <c r="BN198" s="79" t="n"/>
      <c r="BO198" s="79" t="n"/>
      <c r="BP198" s="79" t="n"/>
      <c r="BQ198" s="79" t="n"/>
      <c r="BR198" s="79" t="n"/>
      <c r="BS198" s="79" t="n"/>
      <c r="BT198" s="79" t="n"/>
      <c r="BU198" s="79" t="n"/>
      <c r="BV198" s="79" t="n"/>
      <c r="BW198" s="79" t="n"/>
      <c r="BX198" s="79" t="n"/>
      <c r="BY198" s="79" t="n"/>
      <c r="BZ198" s="79" t="n"/>
      <c r="CA198" s="79" t="n"/>
    </row>
    <row r="199" hidden="1" ht="17.1" customHeight="1" s="37">
      <c r="A199" s="551" t="n"/>
      <c r="B199" s="150" t="inlineStr">
        <is>
          <t>F</t>
        </is>
      </c>
      <c r="C199" s="550">
        <f>C198+1</f>
        <v/>
      </c>
      <c r="G199" s="216" t="n"/>
      <c r="H199" s="57" t="n"/>
      <c r="O199" s="216" t="n"/>
      <c r="X199" s="20" t="n"/>
      <c r="AF199" s="450" t="n"/>
      <c r="AN199" s="45" t="n"/>
      <c r="AP199" s="45" t="n"/>
      <c r="AQ199" s="12" t="n"/>
      <c r="AR199" s="216" t="n">
        <v>40</v>
      </c>
      <c r="AS199" s="216" t="n"/>
      <c r="AT199" s="216" t="n"/>
      <c r="AU199" s="216">
        <f>N199+O199 + 0</f>
        <v/>
      </c>
      <c r="AW199" s="2">
        <f>SUM(AH199:AI199,AJ199/2,AK199:AL199)</f>
        <v/>
      </c>
      <c r="AX199" s="2">
        <f>AM199*0.5+SUM(AN199:AP199)</f>
        <v/>
      </c>
      <c r="AY199" s="39">
        <f>SUM(-AR199+AS199*0.01+AT199*0.5+AU199)</f>
        <v/>
      </c>
      <c r="AZ199" s="39">
        <f>'0分'!AF196</f>
        <v/>
      </c>
      <c r="BA199" s="39">
        <f>SUM(AY199,AX199,AW199)</f>
        <v/>
      </c>
      <c r="BB199" s="250" t="n"/>
      <c r="BC199" s="79">
        <f t="array" ref="BC199">SUMPRODUCT(--(NOT(ISBLANK('0₦'!D199:M199))), '0₦'!D$2:M$2) +  SUMPRODUCT(--(NOT(ISBLANK('0₦'!Q199:T199))), '0₦'!Q$2:T$2)</f>
        <v/>
      </c>
      <c r="BD199" s="250">
        <f t="array" ref="BD199">SUMPRODUCT(--(NOT(ISBLANK('0₦'!N199:P199))),'0₦'!N$2:P$2)+'0₦'!AY199</f>
        <v/>
      </c>
      <c r="BE199" s="79">
        <f t="array" ref="BE199">SUMPRODUCT(--(NOT(ISBLANK('0₦'!AA199:AC199))),'0₦'!AA$2:AC$2) + BF199</f>
        <v/>
      </c>
      <c r="BF199" s="79" t="n"/>
      <c r="BG199" s="79">
        <f t="array" ref="BG199">SUMPRODUCT(--(NOT(ISBLANK('0₦'!U199:Z199))), '0₦'!U$2:Z$2)</f>
        <v/>
      </c>
      <c r="BH199" s="79" t="n"/>
      <c r="BI199" s="79">
        <f>SUM(BG199:BH199)</f>
        <v/>
      </c>
      <c r="BJ199" s="79" t="n"/>
      <c r="BK199" s="79" t="n"/>
      <c r="BL199" s="79" t="n"/>
      <c r="BM199" s="79" t="n"/>
      <c r="BN199" s="79" t="n"/>
      <c r="BO199" s="79" t="n"/>
      <c r="BP199" s="79" t="n"/>
      <c r="BQ199" s="79" t="n"/>
      <c r="BR199" s="79" t="n"/>
      <c r="BS199" s="79" t="n"/>
      <c r="BT199" s="79" t="n"/>
      <c r="BU199" s="79" t="n"/>
      <c r="BV199" s="79" t="n"/>
      <c r="BW199" s="79" t="n"/>
      <c r="BX199" s="79" t="n"/>
      <c r="BY199" s="79" t="n"/>
      <c r="BZ199" s="79" t="n"/>
      <c r="CA199" s="79" t="n"/>
    </row>
    <row r="200" hidden="1" ht="17.1" customHeight="1" s="37">
      <c r="A200" s="552" t="n"/>
      <c r="B200" s="150" t="inlineStr">
        <is>
          <t>S</t>
        </is>
      </c>
      <c r="C200" s="550">
        <f>C199+1</f>
        <v/>
      </c>
      <c r="G200" s="216" t="n"/>
      <c r="H200" s="57" t="n"/>
      <c r="O200" s="216" t="n"/>
      <c r="X200" s="20" t="n"/>
      <c r="AF200" s="450" t="n"/>
      <c r="AN200" s="45" t="n"/>
      <c r="AP200" s="45" t="n"/>
      <c r="AQ200" s="12" t="n"/>
      <c r="AR200" s="216" t="n">
        <v>40</v>
      </c>
      <c r="AS200" s="216" t="n"/>
      <c r="AT200" s="216" t="n"/>
      <c r="AU200" s="216">
        <f>N200+O200 + 0</f>
        <v/>
      </c>
      <c r="AW200" s="2">
        <f>SUM(AH200:AI200,AJ200/2,AK200:AL200)</f>
        <v/>
      </c>
      <c r="AX200" s="2">
        <f>AM200*0.5+SUM(AN200:AP200)</f>
        <v/>
      </c>
      <c r="AY200" s="39">
        <f>SUM(-AR200+AS200*0.01+AT200*0.5+AU200)</f>
        <v/>
      </c>
      <c r="AZ200" s="39">
        <f>'0分'!AF197</f>
        <v/>
      </c>
      <c r="BA200" s="39">
        <f>SUM(AY200,AX200,AW200)</f>
        <v/>
      </c>
      <c r="BB200" s="250" t="n"/>
      <c r="BC200" s="79">
        <f t="array" ref="BC200">SUMPRODUCT(--(NOT(ISBLANK('0₦'!D200:M200))), '0₦'!D$2:M$2) +  SUMPRODUCT(--(NOT(ISBLANK('0₦'!Q200:T200))), '0₦'!Q$2:T$2)</f>
        <v/>
      </c>
      <c r="BD200" s="250">
        <f t="array" ref="BD200">SUMPRODUCT(--(NOT(ISBLANK('0₦'!N200:P200))),'0₦'!N$2:P$2)+'0₦'!AY200</f>
        <v/>
      </c>
      <c r="BE200" s="79">
        <f t="array" ref="BE200">SUMPRODUCT(--(NOT(ISBLANK('0₦'!AA200:AC200))),'0₦'!AA$2:AC$2) + BF200</f>
        <v/>
      </c>
      <c r="BF200" s="79" t="n"/>
      <c r="BG200" s="79">
        <f t="array" ref="BG200">SUMPRODUCT(--(NOT(ISBLANK('0₦'!U200:Z200))), '0₦'!U$2:Z$2)</f>
        <v/>
      </c>
      <c r="BH200" s="79" t="n"/>
      <c r="BI200" s="79">
        <f>SUM(BG200:BH200)</f>
        <v/>
      </c>
      <c r="BJ200" s="79" t="n"/>
      <c r="BK200" s="79" t="n"/>
      <c r="BL200" s="79" t="n"/>
      <c r="BM200" s="79" t="n"/>
      <c r="BN200" s="79" t="n"/>
      <c r="BO200" s="79" t="n"/>
      <c r="BP200" s="79" t="n"/>
      <c r="BQ200" s="79" t="n"/>
      <c r="BR200" s="79" t="n"/>
      <c r="BS200" s="79" t="n"/>
      <c r="BT200" s="79" t="n"/>
      <c r="BU200" s="79" t="n"/>
      <c r="BV200" s="79" t="n"/>
      <c r="BW200" s="79" t="n"/>
      <c r="BX200" s="79" t="n"/>
      <c r="BY200" s="79" t="n"/>
      <c r="BZ200" s="79" t="n"/>
      <c r="CA200" s="79" t="n"/>
    </row>
    <row r="201" hidden="1" ht="17.1" customHeight="1" s="37">
      <c r="A201" s="462">
        <f>A194+0.1</f>
        <v/>
      </c>
      <c r="B201" s="150" t="inlineStr">
        <is>
          <t>S</t>
        </is>
      </c>
      <c r="C201" s="550">
        <f>C200+1</f>
        <v/>
      </c>
      <c r="G201" s="216" t="n"/>
      <c r="H201" s="57" t="n"/>
      <c r="O201" s="216" t="n"/>
      <c r="X201" s="20" t="n"/>
      <c r="AF201" s="450" t="n"/>
      <c r="AN201" s="45" t="n"/>
      <c r="AP201" s="45" t="n"/>
      <c r="AQ201" s="12" t="n"/>
      <c r="AR201" s="216" t="n">
        <v>40</v>
      </c>
      <c r="AS201" s="216" t="n"/>
      <c r="AT201" s="216" t="n"/>
      <c r="AU201" s="216">
        <f>N201+O201 + 0</f>
        <v/>
      </c>
      <c r="AW201" s="2">
        <f>SUM(AH201:AI201,AJ201/2,AK201:AL201)</f>
        <v/>
      </c>
      <c r="AX201" s="2">
        <f>AM201*0.5+SUM(AN201:AP201)</f>
        <v/>
      </c>
      <c r="AY201" s="39">
        <f>SUM(-AR201+AS201*0.01+AT201*0.5+AU201)</f>
        <v/>
      </c>
      <c r="AZ201" s="39">
        <f>'0分'!AF198</f>
        <v/>
      </c>
      <c r="BA201" s="39">
        <f>SUM(AY201,AX201,AW201)</f>
        <v/>
      </c>
      <c r="BB201" s="250" t="n"/>
      <c r="BC201" s="79">
        <f t="array" ref="BC201">SUMPRODUCT(--(NOT(ISBLANK('0₦'!D201:M201))), '0₦'!D$2:M$2) +  SUMPRODUCT(--(NOT(ISBLANK('0₦'!Q201:T201))), '0₦'!Q$2:T$2)</f>
        <v/>
      </c>
      <c r="BD201" s="250">
        <f t="array" ref="BD201">SUMPRODUCT(--(NOT(ISBLANK('0₦'!N201:P201))),'0₦'!N$2:P$2)+'0₦'!AY201</f>
        <v/>
      </c>
      <c r="BE201" s="79">
        <f t="array" ref="BE201">SUMPRODUCT(--(NOT(ISBLANK('0₦'!AA201:AC201))),'0₦'!AA$2:AC$2) + BF201</f>
        <v/>
      </c>
      <c r="BF201" s="79" t="n"/>
      <c r="BG201" s="79">
        <f t="array" ref="BG201">SUMPRODUCT(--(NOT(ISBLANK('0₦'!U201:Z201))), '0₦'!U$2:Z$2)</f>
        <v/>
      </c>
      <c r="BH201" s="79" t="n"/>
      <c r="BI201" s="79">
        <f>SUM(BG201:BH201)</f>
        <v/>
      </c>
      <c r="BJ201" s="79" t="n"/>
      <c r="BK201" s="79" t="n"/>
      <c r="BL201" s="79" t="n"/>
      <c r="BM201" s="79" t="n"/>
      <c r="BN201" s="79" t="n"/>
      <c r="BO201" s="79" t="n"/>
      <c r="BP201" s="79" t="n"/>
      <c r="BQ201" s="79" t="n"/>
      <c r="BR201" s="79" t="n"/>
      <c r="BS201" s="79" t="n"/>
      <c r="BT201" s="79" t="n"/>
      <c r="BU201" s="79" t="n"/>
      <c r="BV201" s="79" t="n"/>
      <c r="BW201" s="79" t="n"/>
      <c r="BX201" s="79" t="n"/>
      <c r="BY201" s="79" t="n"/>
      <c r="BZ201" s="79" t="n"/>
      <c r="CA201" s="79" t="n"/>
    </row>
    <row r="202" hidden="1" ht="18" customHeight="1" s="37">
      <c r="A202" s="551" t="n"/>
      <c r="B202" s="150" t="inlineStr">
        <is>
          <t>M</t>
        </is>
      </c>
      <c r="C202" s="550">
        <f>C201+1</f>
        <v/>
      </c>
      <c r="G202" s="216" t="n"/>
      <c r="H202" s="57" t="n"/>
      <c r="O202" s="216" t="n"/>
      <c r="U202" s="38" t="n"/>
      <c r="X202" s="20" t="n"/>
      <c r="AF202" s="450" t="n"/>
      <c r="AN202" s="45" t="n"/>
      <c r="AP202" s="45" t="n"/>
      <c r="AQ202" s="12" t="n"/>
      <c r="AR202" s="216" t="n">
        <v>40</v>
      </c>
      <c r="AS202" s="216" t="n"/>
      <c r="AT202" s="216" t="n"/>
      <c r="AU202" s="216">
        <f>N202+O202 + 0</f>
        <v/>
      </c>
      <c r="AW202" s="2">
        <f>SUM(AH202:AI202,AJ202/2,AK202:AL202)</f>
        <v/>
      </c>
      <c r="AX202" s="2">
        <f>AM202*0.5+SUM(AN202:AP202)</f>
        <v/>
      </c>
      <c r="AY202" s="39">
        <f>SUM(-AR202+AS202*0.01+AT202*0.5+AU202)</f>
        <v/>
      </c>
      <c r="AZ202" s="39">
        <f>'0分'!AF199</f>
        <v/>
      </c>
      <c r="BA202" s="39">
        <f>SUM(AY202,AX202,AW202)</f>
        <v/>
      </c>
      <c r="BB202" s="250" t="n"/>
      <c r="BC202" s="79">
        <f t="array" ref="BC202">SUMPRODUCT(--(NOT(ISBLANK('0₦'!D202:M202))), '0₦'!D$2:M$2) +  SUMPRODUCT(--(NOT(ISBLANK('0₦'!Q202:T202))), '0₦'!Q$2:T$2)</f>
        <v/>
      </c>
      <c r="BD202" s="250">
        <f t="array" ref="BD202">SUMPRODUCT(--(NOT(ISBLANK('0₦'!N202:P202))),'0₦'!N$2:P$2)+'0₦'!AY202</f>
        <v/>
      </c>
      <c r="BE202" s="79">
        <f t="array" ref="BE202">SUMPRODUCT(--(NOT(ISBLANK('0₦'!AA202:AC202))),'0₦'!AA$2:AC$2) + BF202</f>
        <v/>
      </c>
      <c r="BF202" s="79" t="n"/>
      <c r="BG202" s="79">
        <f t="array" ref="BG202">SUMPRODUCT(--(NOT(ISBLANK('0₦'!U202:Z202))), '0₦'!U$2:Z$2)</f>
        <v/>
      </c>
      <c r="BH202" s="79" t="n"/>
      <c r="BI202" s="79">
        <f>SUM(BG202:BH202)</f>
        <v/>
      </c>
      <c r="BJ202" s="79" t="n"/>
      <c r="BK202" s="79" t="n"/>
      <c r="BL202" s="79" t="n"/>
      <c r="BM202" s="79" t="n"/>
      <c r="BN202" s="79" t="n"/>
      <c r="BO202" s="79" t="n"/>
      <c r="BP202" s="79" t="n"/>
      <c r="BQ202" s="79" t="n"/>
      <c r="BR202" s="79" t="n"/>
      <c r="BS202" s="79" t="n"/>
      <c r="BT202" s="79" t="n"/>
      <c r="BU202" s="79" t="n"/>
      <c r="BV202" s="79" t="n"/>
      <c r="BW202" s="79" t="n"/>
      <c r="BX202" s="79" t="n"/>
      <c r="BY202" s="79" t="n"/>
      <c r="BZ202" s="79" t="n"/>
      <c r="CA202" s="79" t="n"/>
    </row>
    <row r="203" hidden="1" ht="17.1" customHeight="1" s="37">
      <c r="A203" s="551" t="n"/>
      <c r="B203" s="150" t="inlineStr">
        <is>
          <t>T</t>
        </is>
      </c>
      <c r="C203" s="550">
        <f>C202+1</f>
        <v/>
      </c>
      <c r="G203" s="216" t="n"/>
      <c r="H203" s="57" t="n"/>
      <c r="O203" s="214" t="n"/>
      <c r="X203" s="20" t="n"/>
      <c r="AF203" s="450" t="n"/>
      <c r="AN203" s="45" t="n"/>
      <c r="AP203" s="45" t="n"/>
      <c r="AQ203" s="12" t="n"/>
      <c r="AR203" s="216" t="n">
        <v>40</v>
      </c>
      <c r="AS203" s="216" t="n"/>
      <c r="AT203" s="216" t="n"/>
      <c r="AU203" s="216">
        <f>N203+O203 + 0</f>
        <v/>
      </c>
      <c r="AW203" s="2">
        <f>SUM(AH203:AI203,AJ203/2,AK203:AL203)</f>
        <v/>
      </c>
      <c r="AX203" s="2">
        <f>AM203*0.5+SUM(AN203:AP203)</f>
        <v/>
      </c>
      <c r="AY203" s="39">
        <f>SUM(-AR203+AS203*0.01+AT203*0.5+AU203)</f>
        <v/>
      </c>
      <c r="AZ203" s="39">
        <f>'0分'!AF200</f>
        <v/>
      </c>
      <c r="BA203" s="39">
        <f>SUM(AY203,AX203,AW203)</f>
        <v/>
      </c>
      <c r="BB203" s="250" t="n"/>
      <c r="BC203" s="79">
        <f t="array" ref="BC203">SUMPRODUCT(--(NOT(ISBLANK('0₦'!D203:M203))), '0₦'!D$2:M$2) +  SUMPRODUCT(--(NOT(ISBLANK('0₦'!Q203:T203))), '0₦'!Q$2:T$2)</f>
        <v/>
      </c>
      <c r="BD203" s="250">
        <f t="array" ref="BD203">SUMPRODUCT(--(NOT(ISBLANK('0₦'!N203:P203))),'0₦'!N$2:P$2)+'0₦'!AY203</f>
        <v/>
      </c>
      <c r="BE203" s="79">
        <f t="array" ref="BE203">SUMPRODUCT(--(NOT(ISBLANK('0₦'!AA203:AC203))),'0₦'!AA$2:AC$2) + BF203</f>
        <v/>
      </c>
      <c r="BF203" s="79" t="n"/>
      <c r="BG203" s="79">
        <f t="array" ref="BG203">SUMPRODUCT(--(NOT(ISBLANK('0₦'!U203:Z203))), '0₦'!U$2:Z$2)</f>
        <v/>
      </c>
      <c r="BH203" s="79" t="n"/>
      <c r="BI203" s="79">
        <f>SUM(BG203:BH203)</f>
        <v/>
      </c>
      <c r="BJ203" s="79" t="n"/>
      <c r="BK203" s="79" t="n"/>
      <c r="BL203" s="79" t="n"/>
      <c r="BM203" s="79" t="n"/>
      <c r="BN203" s="79" t="n"/>
      <c r="BO203" s="79" t="n"/>
      <c r="BP203" s="79" t="n"/>
      <c r="BQ203" s="79" t="n"/>
      <c r="BR203" s="79" t="n"/>
      <c r="BS203" s="79" t="n"/>
      <c r="BT203" s="79" t="n"/>
      <c r="BU203" s="79" t="n"/>
      <c r="BV203" s="79" t="n"/>
      <c r="BW203" s="79" t="n"/>
      <c r="BX203" s="79" t="n"/>
      <c r="BY203" s="79" t="n"/>
      <c r="BZ203" s="79" t="n"/>
      <c r="CA203" s="79" t="n"/>
    </row>
    <row r="204" hidden="1" ht="17.1" customHeight="1" s="37">
      <c r="A204" s="551" t="n"/>
      <c r="B204" s="150" t="inlineStr">
        <is>
          <t>W</t>
        </is>
      </c>
      <c r="C204" s="550">
        <f>C203+1</f>
        <v/>
      </c>
      <c r="G204" s="216" t="n"/>
      <c r="H204" s="57" t="n"/>
      <c r="O204" s="216" t="n"/>
      <c r="X204" s="20" t="n"/>
      <c r="AF204" s="450" t="n"/>
      <c r="AN204" s="45" t="n"/>
      <c r="AP204" s="45" t="n"/>
      <c r="AQ204" s="12" t="n"/>
      <c r="AR204" s="216" t="n">
        <v>40</v>
      </c>
      <c r="AS204" s="216" t="n"/>
      <c r="AT204" s="216" t="n"/>
      <c r="AU204" s="216">
        <f>N204+O204 + 0</f>
        <v/>
      </c>
      <c r="AW204" s="2">
        <f>SUM(AH204:AI204,AJ204/2,AK204:AL204)</f>
        <v/>
      </c>
      <c r="AX204" s="2">
        <f>AM204*0.5+SUM(AN204:AP204)</f>
        <v/>
      </c>
      <c r="AY204" s="39">
        <f>SUM(-AR204+AS204*0.01+AT204*0.5+AU204)</f>
        <v/>
      </c>
      <c r="AZ204" s="39">
        <f>'0分'!AF201</f>
        <v/>
      </c>
      <c r="BA204" s="39">
        <f>SUM(AY204,AX204,AW204)</f>
        <v/>
      </c>
      <c r="BB204" s="250" t="n"/>
      <c r="BC204" s="79">
        <f t="array" ref="BC204">SUMPRODUCT(--(NOT(ISBLANK('0₦'!D204:M204))), '0₦'!D$2:M$2) +  SUMPRODUCT(--(NOT(ISBLANK('0₦'!Q204:T204))), '0₦'!Q$2:T$2)</f>
        <v/>
      </c>
      <c r="BD204" s="250">
        <f t="array" ref="BD204">SUMPRODUCT(--(NOT(ISBLANK('0₦'!N204:P204))),'0₦'!N$2:P$2)+'0₦'!AY204</f>
        <v/>
      </c>
      <c r="BE204" s="79">
        <f t="array" ref="BE204">SUMPRODUCT(--(NOT(ISBLANK('0₦'!AA204:AC204))),'0₦'!AA$2:AC$2) + BF204</f>
        <v/>
      </c>
      <c r="BF204" s="79" t="n"/>
      <c r="BG204" s="79">
        <f t="array" ref="BG204">SUMPRODUCT(--(NOT(ISBLANK('0₦'!U204:Z204))), '0₦'!U$2:Z$2)</f>
        <v/>
      </c>
      <c r="BH204" s="79" t="n"/>
      <c r="BI204" s="79">
        <f>SUM(BG204:BH204)</f>
        <v/>
      </c>
      <c r="BJ204" s="79" t="n"/>
      <c r="BK204" s="79" t="n"/>
      <c r="BL204" s="79" t="n"/>
      <c r="BM204" s="79" t="n"/>
      <c r="BN204" s="79" t="n"/>
      <c r="BO204" s="79" t="n"/>
      <c r="BP204" s="79" t="n"/>
      <c r="BQ204" s="79" t="n"/>
      <c r="BR204" s="79" t="n"/>
      <c r="BS204" s="79" t="n"/>
      <c r="BT204" s="79" t="n"/>
      <c r="BU204" s="79" t="n"/>
      <c r="BV204" s="79" t="n"/>
      <c r="BW204" s="79" t="n"/>
      <c r="BX204" s="79" t="n"/>
      <c r="BY204" s="79" t="n"/>
      <c r="BZ204" s="79" t="n"/>
      <c r="CA204" s="79" t="n"/>
    </row>
    <row r="205" hidden="1" ht="17.1" customHeight="1" s="37">
      <c r="A205" s="551" t="n"/>
      <c r="B205" s="150" t="inlineStr">
        <is>
          <t>Th</t>
        </is>
      </c>
      <c r="C205" s="550">
        <f>C204+1</f>
        <v/>
      </c>
      <c r="G205" s="216" t="n"/>
      <c r="H205" s="57" t="n"/>
      <c r="O205" s="216" t="n"/>
      <c r="X205" s="20" t="n"/>
      <c r="AF205" s="450" t="n"/>
      <c r="AN205" s="45" t="n"/>
      <c r="AP205" s="45" t="n"/>
      <c r="AQ205" s="12" t="n"/>
      <c r="AR205" s="216" t="n">
        <v>40</v>
      </c>
      <c r="AS205" s="216" t="n"/>
      <c r="AT205" s="216" t="n"/>
      <c r="AU205" s="216">
        <f>N205+O205 + 0</f>
        <v/>
      </c>
      <c r="AW205" s="2">
        <f>SUM(AH205:AI205,AJ205/2,AK205:AL205)</f>
        <v/>
      </c>
      <c r="AX205" s="2">
        <f>AM205*0.5+SUM(AN205:AP205)</f>
        <v/>
      </c>
      <c r="AY205" s="39">
        <f>SUM(-AR205+AS205*0.01+AT205*0.5+AU205)</f>
        <v/>
      </c>
      <c r="AZ205" s="39">
        <f>'0分'!AF202</f>
        <v/>
      </c>
      <c r="BA205" s="39">
        <f>SUM(AY205,AX205,AW205)</f>
        <v/>
      </c>
      <c r="BB205" s="250" t="n"/>
      <c r="BC205" s="79">
        <f t="array" ref="BC205">SUMPRODUCT(--(NOT(ISBLANK('0₦'!D205:M205))), '0₦'!D$2:M$2) +  SUMPRODUCT(--(NOT(ISBLANK('0₦'!Q205:T205))), '0₦'!Q$2:T$2)</f>
        <v/>
      </c>
      <c r="BD205" s="250">
        <f t="array" ref="BD205">SUMPRODUCT(--(NOT(ISBLANK('0₦'!N205:P205))),'0₦'!N$2:P$2)+'0₦'!AY205</f>
        <v/>
      </c>
      <c r="BE205" s="79">
        <f t="array" ref="BE205">SUMPRODUCT(--(NOT(ISBLANK('0₦'!AA205:AC205))),'0₦'!AA$2:AC$2) + BF205</f>
        <v/>
      </c>
      <c r="BF205" s="79" t="n"/>
      <c r="BG205" s="79">
        <f t="array" ref="BG205">SUMPRODUCT(--(NOT(ISBLANK('0₦'!U205:Z205))), '0₦'!U$2:Z$2)</f>
        <v/>
      </c>
      <c r="BH205" s="79" t="n"/>
      <c r="BI205" s="79">
        <f>SUM(BG205:BH205)</f>
        <v/>
      </c>
      <c r="BJ205" s="79" t="n"/>
      <c r="BK205" s="79" t="n"/>
      <c r="BL205" s="79" t="n"/>
      <c r="BM205" s="79" t="n"/>
      <c r="BN205" s="79" t="n"/>
      <c r="BO205" s="79" t="n"/>
      <c r="BP205" s="79" t="n"/>
      <c r="BQ205" s="79" t="n"/>
      <c r="BR205" s="79" t="n"/>
      <c r="BS205" s="79" t="n"/>
      <c r="BT205" s="79" t="n"/>
      <c r="BU205" s="79" t="n"/>
      <c r="BV205" s="79" t="n"/>
      <c r="BW205" s="79" t="n"/>
      <c r="BX205" s="79" t="n"/>
      <c r="BY205" s="79" t="n"/>
      <c r="BZ205" s="79" t="n"/>
      <c r="CA205" s="79" t="n"/>
    </row>
    <row r="206" hidden="1" ht="18" customHeight="1" s="37">
      <c r="A206" s="551" t="n"/>
      <c r="B206" s="150" t="inlineStr">
        <is>
          <t>F</t>
        </is>
      </c>
      <c r="C206" s="550">
        <f>C205+1</f>
        <v/>
      </c>
      <c r="G206" s="216" t="n"/>
      <c r="H206" s="57" t="n"/>
      <c r="O206" s="216" t="n"/>
      <c r="X206" s="20" t="n"/>
      <c r="AF206" s="450" t="n"/>
      <c r="AN206" s="45" t="n"/>
      <c r="AP206" s="45" t="n"/>
      <c r="AQ206" s="12" t="n"/>
      <c r="AR206" s="216" t="n">
        <v>40</v>
      </c>
      <c r="AS206" s="216" t="n"/>
      <c r="AT206" s="216" t="n"/>
      <c r="AU206" s="216">
        <f>N206+O206 + 0</f>
        <v/>
      </c>
      <c r="AW206" s="2">
        <f>SUM(AH206:AI206,AJ206/2,AK206:AL206)</f>
        <v/>
      </c>
      <c r="AX206" s="2">
        <f>AM206*0.5+SUM(AN206:AP206)</f>
        <v/>
      </c>
      <c r="AY206" s="39">
        <f>SUM(-AR206+AS206*0.01+AT206*0.5+AU206)</f>
        <v/>
      </c>
      <c r="AZ206" s="39">
        <f>'0分'!AF203</f>
        <v/>
      </c>
      <c r="BA206" s="39">
        <f>SUM(AY206,AX206,AW206)</f>
        <v/>
      </c>
      <c r="BB206" s="250" t="n"/>
      <c r="BC206" s="79">
        <f t="array" ref="BC206">SUMPRODUCT(--(NOT(ISBLANK('0₦'!D206:M206))), '0₦'!D$2:M$2) +  SUMPRODUCT(--(NOT(ISBLANK('0₦'!Q206:T206))), '0₦'!Q$2:T$2)</f>
        <v/>
      </c>
      <c r="BD206" s="250">
        <f t="array" ref="BD206">SUMPRODUCT(--(NOT(ISBLANK('0₦'!N206:P206))),'0₦'!N$2:P$2)+'0₦'!AY206</f>
        <v/>
      </c>
      <c r="BE206" s="79">
        <f t="array" ref="BE206">SUMPRODUCT(--(NOT(ISBLANK('0₦'!AA206:AC206))),'0₦'!AA$2:AC$2) + BF206</f>
        <v/>
      </c>
      <c r="BF206" s="79" t="n"/>
      <c r="BG206" s="79">
        <f t="array" ref="BG206">SUMPRODUCT(--(NOT(ISBLANK('0₦'!U206:Z206))), '0₦'!U$2:Z$2)</f>
        <v/>
      </c>
      <c r="BH206" s="79" t="n"/>
      <c r="BI206" s="79">
        <f>SUM(BG206:BH206)</f>
        <v/>
      </c>
      <c r="BJ206" s="79" t="n"/>
      <c r="BK206" s="79" t="n"/>
      <c r="BL206" s="79" t="n"/>
      <c r="BM206" s="79" t="n"/>
      <c r="BN206" s="79" t="n"/>
      <c r="BO206" s="79" t="n"/>
      <c r="BP206" s="79" t="n"/>
      <c r="BQ206" s="79" t="n"/>
      <c r="BR206" s="79" t="n"/>
      <c r="BS206" s="79" t="n"/>
      <c r="BT206" s="79" t="n"/>
      <c r="BU206" s="79" t="n"/>
      <c r="BV206" s="79" t="n"/>
      <c r="BW206" s="79" t="n"/>
      <c r="BX206" s="79" t="n"/>
      <c r="BY206" s="79" t="n"/>
      <c r="BZ206" s="79" t="n"/>
      <c r="CA206" s="79" t="n"/>
    </row>
    <row r="207" hidden="1" ht="17.1" customHeight="1" s="37">
      <c r="A207" s="552" t="n"/>
      <c r="B207" s="150" t="inlineStr">
        <is>
          <t>S</t>
        </is>
      </c>
      <c r="C207" s="550">
        <f>C206+1</f>
        <v/>
      </c>
      <c r="G207" s="216" t="n"/>
      <c r="H207" s="57" t="n"/>
      <c r="O207" s="216" t="n"/>
      <c r="T207" s="38" t="n"/>
      <c r="U207" s="38" t="n"/>
      <c r="X207" s="20" t="n"/>
      <c r="AF207" s="450" t="n"/>
      <c r="AN207" s="45" t="n"/>
      <c r="AP207" s="45" t="n"/>
      <c r="AQ207" s="12" t="n"/>
      <c r="AR207" s="216" t="n">
        <v>40</v>
      </c>
      <c r="AS207" s="216" t="n"/>
      <c r="AT207" s="216" t="n"/>
      <c r="AU207" s="216">
        <f>N207+O207 + 0</f>
        <v/>
      </c>
      <c r="AW207" s="2">
        <f>SUM(AH207:AI207,AJ207/2,AK207:AL207)</f>
        <v/>
      </c>
      <c r="AX207" s="2">
        <f>AM207*0.5+SUM(AN207:AP207)</f>
        <v/>
      </c>
      <c r="AY207" s="39">
        <f>SUM(-AR207+AS207*0.01+AT207*0.5+AU207)</f>
        <v/>
      </c>
      <c r="AZ207" s="39">
        <f>'0分'!AF204</f>
        <v/>
      </c>
      <c r="BA207" s="39">
        <f>SUM(AY207,AX207,AW207)</f>
        <v/>
      </c>
      <c r="BB207" s="250" t="n"/>
      <c r="BC207" s="79">
        <f t="array" ref="BC207">SUMPRODUCT(--(NOT(ISBLANK('0₦'!D207:M207))), '0₦'!D$2:M$2) +  SUMPRODUCT(--(NOT(ISBLANK('0₦'!Q207:T207))), '0₦'!Q$2:T$2)</f>
        <v/>
      </c>
      <c r="BD207" s="250">
        <f t="array" ref="BD207">SUMPRODUCT(--(NOT(ISBLANK('0₦'!N207:P207))),'0₦'!N$2:P$2)+'0₦'!AY207</f>
        <v/>
      </c>
      <c r="BE207" s="79">
        <f t="array" ref="BE207">SUMPRODUCT(--(NOT(ISBLANK('0₦'!AA207:AC207))),'0₦'!AA$2:AC$2) + BF207</f>
        <v/>
      </c>
      <c r="BF207" s="79" t="n"/>
      <c r="BG207" s="79">
        <f t="array" ref="BG207">SUMPRODUCT(--(NOT(ISBLANK('0₦'!U207:Z207))), '0₦'!U$2:Z$2)</f>
        <v/>
      </c>
      <c r="BH207" s="79" t="n"/>
      <c r="BI207" s="79">
        <f>SUM(BG207:BH207)</f>
        <v/>
      </c>
      <c r="BJ207" s="79" t="n"/>
      <c r="BK207" s="79" t="n"/>
      <c r="BL207" s="79" t="n"/>
      <c r="BM207" s="79" t="n"/>
      <c r="BN207" s="79" t="n"/>
      <c r="BO207" s="79" t="n"/>
      <c r="BP207" s="79" t="n"/>
      <c r="BQ207" s="79" t="n"/>
      <c r="BR207" s="79" t="n"/>
      <c r="BS207" s="79" t="n"/>
      <c r="BT207" s="79" t="n"/>
      <c r="BU207" s="79" t="n"/>
      <c r="BV207" s="79" t="n"/>
      <c r="BW207" s="79" t="n"/>
      <c r="BX207" s="79" t="n"/>
      <c r="BY207" s="79" t="n"/>
      <c r="BZ207" s="79" t="n"/>
      <c r="CA207" s="79" t="n"/>
    </row>
    <row r="208" hidden="1" ht="17.1" customHeight="1" s="37">
      <c r="A208" s="462">
        <f>A201+0.1</f>
        <v/>
      </c>
      <c r="B208" s="150" t="inlineStr">
        <is>
          <t>S</t>
        </is>
      </c>
      <c r="C208" s="550">
        <f>C207+1</f>
        <v/>
      </c>
      <c r="G208" s="216" t="n"/>
      <c r="H208" s="57" t="n"/>
      <c r="O208" s="216" t="n"/>
      <c r="X208" s="20" t="n"/>
      <c r="AF208" s="450" t="n"/>
      <c r="AN208" s="45" t="n"/>
      <c r="AP208" s="45" t="n"/>
      <c r="AQ208" s="12" t="n"/>
      <c r="AR208" s="216" t="n">
        <v>40</v>
      </c>
      <c r="AS208" s="216" t="n"/>
      <c r="AT208" s="216" t="n"/>
      <c r="AU208" s="216">
        <f>N208+O208 + 0</f>
        <v/>
      </c>
      <c r="AW208" s="2">
        <f>SUM(AH208:AI208,AJ208/2,AK208:AL208)</f>
        <v/>
      </c>
      <c r="AX208" s="2">
        <f>AM208*0.5+SUM(AN208:AP208)</f>
        <v/>
      </c>
      <c r="AY208" s="39">
        <f>SUM(-AR208+AS208*0.01+AT208*0.5+AU208)</f>
        <v/>
      </c>
      <c r="AZ208" s="39">
        <f>'0分'!AF205</f>
        <v/>
      </c>
      <c r="BA208" s="39">
        <f>SUM(AY208,AX208,AW208)</f>
        <v/>
      </c>
      <c r="BB208" s="250" t="n"/>
      <c r="BC208" s="79">
        <f t="array" ref="BC208">SUMPRODUCT(--(NOT(ISBLANK('0₦'!D208:M208))), '0₦'!D$2:M$2) +  SUMPRODUCT(--(NOT(ISBLANK('0₦'!Q208:T208))), '0₦'!Q$2:T$2)</f>
        <v/>
      </c>
      <c r="BD208" s="250">
        <f t="array" ref="BD208">SUMPRODUCT(--(NOT(ISBLANK('0₦'!N208:P208))),'0₦'!N$2:P$2)+'0₦'!AY208</f>
        <v/>
      </c>
      <c r="BE208" s="79">
        <f t="array" ref="BE208">SUMPRODUCT(--(NOT(ISBLANK('0₦'!AA208:AC208))),'0₦'!AA$2:AC$2) + BF208</f>
        <v/>
      </c>
      <c r="BF208" s="79" t="n"/>
      <c r="BG208" s="79">
        <f t="array" ref="BG208">SUMPRODUCT(--(NOT(ISBLANK('0₦'!U208:Z208))), '0₦'!U$2:Z$2)</f>
        <v/>
      </c>
      <c r="BH208" s="79" t="n"/>
      <c r="BI208" s="79">
        <f>SUM(BG208:BH208)</f>
        <v/>
      </c>
      <c r="BJ208" s="79" t="n"/>
      <c r="BK208" s="79" t="n"/>
      <c r="BL208" s="79" t="n"/>
      <c r="BM208" s="79" t="n"/>
      <c r="BN208" s="79" t="n"/>
      <c r="BO208" s="79" t="n"/>
      <c r="BP208" s="79" t="n"/>
      <c r="BQ208" s="79" t="n"/>
      <c r="BR208" s="79" t="n"/>
      <c r="BS208" s="79" t="n"/>
      <c r="BT208" s="79" t="n"/>
      <c r="BU208" s="79" t="n"/>
      <c r="BV208" s="79" t="n"/>
      <c r="BW208" s="79" t="n"/>
      <c r="BX208" s="79" t="n"/>
      <c r="BY208" s="79" t="n"/>
      <c r="BZ208" s="79" t="n"/>
      <c r="CA208" s="79" t="n"/>
    </row>
    <row r="209" hidden="1" ht="17.1" customHeight="1" s="37">
      <c r="A209" s="551" t="n"/>
      <c r="B209" s="150" t="inlineStr">
        <is>
          <t>M</t>
        </is>
      </c>
      <c r="C209" s="550">
        <f>C208+1</f>
        <v/>
      </c>
      <c r="G209" s="216" t="n"/>
      <c r="H209" s="57" t="n"/>
      <c r="O209" s="216" t="n"/>
      <c r="X209" s="20" t="n"/>
      <c r="AF209" s="450" t="n"/>
      <c r="AN209" s="45" t="n"/>
      <c r="AP209" s="45" t="n"/>
      <c r="AQ209" s="12" t="n"/>
      <c r="AR209" s="216" t="n">
        <v>40</v>
      </c>
      <c r="AS209" s="216" t="n"/>
      <c r="AT209" s="216" t="n"/>
      <c r="AU209" s="216">
        <f>N209+O209 + 0</f>
        <v/>
      </c>
      <c r="AW209" s="2">
        <f>SUM(AH209:AI209,AJ209/2,AK209:AL209)</f>
        <v/>
      </c>
      <c r="AX209" s="2">
        <f>AM209*0.5+SUM(AN209:AP209)</f>
        <v/>
      </c>
      <c r="AY209" s="39">
        <f>SUM(-AR209+AS209*0.01+AT209*0.5+AU209)</f>
        <v/>
      </c>
      <c r="AZ209" s="39">
        <f>'0分'!AF206</f>
        <v/>
      </c>
      <c r="BA209" s="39">
        <f>SUM(AY209,AX209,AW209)</f>
        <v/>
      </c>
      <c r="BB209" s="250" t="n"/>
      <c r="BC209" s="79">
        <f t="array" ref="BC209">SUMPRODUCT(--(NOT(ISBLANK('0₦'!D209:M209))), '0₦'!D$2:M$2) +  SUMPRODUCT(--(NOT(ISBLANK('0₦'!Q209:T209))), '0₦'!Q$2:T$2)</f>
        <v/>
      </c>
      <c r="BD209" s="250">
        <f t="array" ref="BD209">SUMPRODUCT(--(NOT(ISBLANK('0₦'!N209:P209))),'0₦'!N$2:P$2)+'0₦'!AY209</f>
        <v/>
      </c>
      <c r="BE209" s="79">
        <f t="array" ref="BE209">SUMPRODUCT(--(NOT(ISBLANK('0₦'!AA209:AC209))),'0₦'!AA$2:AC$2) + BF209</f>
        <v/>
      </c>
      <c r="BF209" s="79" t="n"/>
      <c r="BG209" s="79">
        <f t="array" ref="BG209">SUMPRODUCT(--(NOT(ISBLANK('0₦'!U209:Z209))), '0₦'!U$2:Z$2)</f>
        <v/>
      </c>
      <c r="BH209" s="79" t="n"/>
      <c r="BI209" s="79">
        <f>SUM(BG209:BH209)</f>
        <v/>
      </c>
      <c r="BJ209" s="79" t="n"/>
      <c r="BK209" s="79" t="n"/>
      <c r="BL209" s="79" t="n"/>
      <c r="BM209" s="79" t="n"/>
      <c r="BN209" s="79" t="n"/>
      <c r="BO209" s="79" t="n"/>
      <c r="BP209" s="79" t="n"/>
      <c r="BQ209" s="79" t="n"/>
      <c r="BR209" s="79" t="n"/>
      <c r="BS209" s="79" t="n"/>
      <c r="BT209" s="79" t="n"/>
      <c r="BU209" s="79" t="n"/>
      <c r="BV209" s="79" t="n"/>
      <c r="BW209" s="79" t="n"/>
      <c r="BX209" s="79" t="n"/>
      <c r="BY209" s="79" t="n"/>
      <c r="BZ209" s="79" t="n"/>
      <c r="CA209" s="79" t="n"/>
    </row>
    <row r="210" hidden="1" ht="17.1" customHeight="1" s="37">
      <c r="A210" s="551" t="n"/>
      <c r="B210" s="150" t="inlineStr">
        <is>
          <t>T</t>
        </is>
      </c>
      <c r="C210" s="550">
        <f>C209+1</f>
        <v/>
      </c>
      <c r="G210" s="216" t="n"/>
      <c r="H210" s="57" t="n"/>
      <c r="O210" s="216" t="n"/>
      <c r="X210" s="20" t="n"/>
      <c r="AF210" s="450" t="n"/>
      <c r="AN210" s="45" t="n"/>
      <c r="AP210" s="45" t="n"/>
      <c r="AQ210" s="12" t="n"/>
      <c r="AR210" s="216" t="n">
        <v>40</v>
      </c>
      <c r="AS210" s="216" t="n"/>
      <c r="AT210" s="216" t="n"/>
      <c r="AU210" s="216">
        <f>N210+O210 + 0</f>
        <v/>
      </c>
      <c r="AW210" s="2">
        <f>SUM(AH210:AI210,AJ210/2,AK210:AL210)</f>
        <v/>
      </c>
      <c r="AX210" s="2">
        <f>AM210*0.5+SUM(AN210:AP210)</f>
        <v/>
      </c>
      <c r="AY210" s="39">
        <f>SUM(-AR210+AS210*0.01+AT210*0.5+AU210)</f>
        <v/>
      </c>
      <c r="AZ210" s="39">
        <f>'0分'!AF207</f>
        <v/>
      </c>
      <c r="BA210" s="39">
        <f>SUM(AY210,AX210,AW210)</f>
        <v/>
      </c>
      <c r="BB210" s="250" t="n"/>
      <c r="BC210" s="79">
        <f t="array" ref="BC210">SUMPRODUCT(--(NOT(ISBLANK('0₦'!D210:M210))), '0₦'!D$2:M$2) +  SUMPRODUCT(--(NOT(ISBLANK('0₦'!Q210:T210))), '0₦'!Q$2:T$2)</f>
        <v/>
      </c>
      <c r="BD210" s="250">
        <f t="array" ref="BD210">SUMPRODUCT(--(NOT(ISBLANK('0₦'!N210:P210))),'0₦'!N$2:P$2)+'0₦'!AY210</f>
        <v/>
      </c>
      <c r="BE210" s="79">
        <f t="array" ref="BE210">SUMPRODUCT(--(NOT(ISBLANK('0₦'!AA210:AC210))),'0₦'!AA$2:AC$2) + BF210</f>
        <v/>
      </c>
      <c r="BF210" s="79" t="n"/>
      <c r="BG210" s="79">
        <f t="array" ref="BG210">SUMPRODUCT(--(NOT(ISBLANK('0₦'!U210:Z210))), '0₦'!U$2:Z$2)</f>
        <v/>
      </c>
      <c r="BH210" s="79" t="n"/>
      <c r="BI210" s="79">
        <f>SUM(BG210:BH210)</f>
        <v/>
      </c>
      <c r="BJ210" s="79" t="n"/>
      <c r="BK210" s="79" t="n"/>
      <c r="BL210" s="79" t="n"/>
      <c r="BM210" s="79" t="n"/>
      <c r="BN210" s="79" t="n"/>
      <c r="BO210" s="79" t="n"/>
      <c r="BP210" s="79" t="n"/>
      <c r="BQ210" s="79" t="n"/>
      <c r="BR210" s="79" t="n"/>
      <c r="BS210" s="79" t="n"/>
      <c r="BT210" s="79" t="n"/>
      <c r="BU210" s="79" t="n"/>
      <c r="BV210" s="79" t="n"/>
      <c r="BW210" s="79" t="n"/>
      <c r="BX210" s="79" t="n"/>
      <c r="BY210" s="79" t="n"/>
      <c r="BZ210" s="79" t="n"/>
      <c r="CA210" s="79" t="n"/>
    </row>
    <row r="211" hidden="1" ht="17.1" customHeight="1" s="37">
      <c r="A211" s="551" t="n"/>
      <c r="B211" s="150" t="inlineStr">
        <is>
          <t>W</t>
        </is>
      </c>
      <c r="C211" s="550">
        <f>C210+1</f>
        <v/>
      </c>
      <c r="G211" s="216" t="n"/>
      <c r="H211" s="57" t="n"/>
      <c r="O211" s="216" t="n"/>
      <c r="X211" s="20" t="n"/>
      <c r="AF211" s="450" t="n"/>
      <c r="AN211" s="45" t="n"/>
      <c r="AP211" s="45" t="n"/>
      <c r="AQ211" s="12" t="n"/>
      <c r="AR211" s="216" t="n">
        <v>40</v>
      </c>
      <c r="AS211" s="216" t="n"/>
      <c r="AT211" s="216" t="n"/>
      <c r="AU211" s="216">
        <f>N211+O211 + 0</f>
        <v/>
      </c>
      <c r="AW211" s="2">
        <f>SUM(AH211:AI211,AJ211/2,AK211:AL211)</f>
        <v/>
      </c>
      <c r="AX211" s="2">
        <f>AM211*0.5+SUM(AN211:AP211)</f>
        <v/>
      </c>
      <c r="AY211" s="39">
        <f>SUM(-AR211+AS211*0.01+AT211*0.5+AU211)</f>
        <v/>
      </c>
      <c r="AZ211" s="39">
        <f>'0分'!AF208</f>
        <v/>
      </c>
      <c r="BA211" s="39">
        <f>SUM(AY211,AX211,AW211)</f>
        <v/>
      </c>
      <c r="BB211" s="250" t="n"/>
      <c r="BC211" s="79">
        <f t="array" ref="BC211">SUMPRODUCT(--(NOT(ISBLANK('0₦'!D211:M211))), '0₦'!D$2:M$2) +  SUMPRODUCT(--(NOT(ISBLANK('0₦'!Q211:T211))), '0₦'!Q$2:T$2)</f>
        <v/>
      </c>
      <c r="BD211" s="250">
        <f t="array" ref="BD211">SUMPRODUCT(--(NOT(ISBLANK('0₦'!N211:P211))),'0₦'!N$2:P$2)+'0₦'!AY211</f>
        <v/>
      </c>
      <c r="BE211" s="79">
        <f t="array" ref="BE211">SUMPRODUCT(--(NOT(ISBLANK('0₦'!AA211:AC211))),'0₦'!AA$2:AC$2) + BF211</f>
        <v/>
      </c>
      <c r="BF211" s="79" t="n"/>
      <c r="BG211" s="79">
        <f t="array" ref="BG211">SUMPRODUCT(--(NOT(ISBLANK('0₦'!U211:Z211))), '0₦'!U$2:Z$2)</f>
        <v/>
      </c>
      <c r="BH211" s="79" t="n"/>
      <c r="BI211" s="79">
        <f>SUM(BG211:BH211)</f>
        <v/>
      </c>
      <c r="BJ211" s="79" t="n"/>
      <c r="BK211" s="79" t="n"/>
      <c r="BL211" s="79" t="n"/>
      <c r="BM211" s="79" t="n"/>
      <c r="BN211" s="79" t="n"/>
      <c r="BO211" s="79" t="n"/>
      <c r="BP211" s="79" t="n"/>
      <c r="BQ211" s="79" t="n"/>
      <c r="BR211" s="79" t="n"/>
      <c r="BS211" s="79" t="n"/>
      <c r="BT211" s="79" t="n"/>
      <c r="BU211" s="79" t="n"/>
      <c r="BV211" s="79" t="n"/>
      <c r="BW211" s="79" t="n"/>
      <c r="BX211" s="79" t="n"/>
      <c r="BY211" s="79" t="n"/>
      <c r="BZ211" s="79" t="n"/>
      <c r="CA211" s="79" t="n"/>
    </row>
    <row r="212" hidden="1" ht="18" customHeight="1" s="37">
      <c r="A212" s="551" t="n"/>
      <c r="B212" s="150" t="inlineStr">
        <is>
          <t>Th</t>
        </is>
      </c>
      <c r="C212" s="550">
        <f>C211+1</f>
        <v/>
      </c>
      <c r="G212" s="216" t="n"/>
      <c r="H212" s="57" t="n"/>
      <c r="O212" s="216" t="n"/>
      <c r="X212" s="20" t="n"/>
      <c r="AF212" s="450" t="n"/>
      <c r="AN212" s="45" t="n"/>
      <c r="AP212" s="45" t="n"/>
      <c r="AQ212" s="12" t="n"/>
      <c r="AR212" s="216" t="n">
        <v>40</v>
      </c>
      <c r="AS212" s="216" t="n"/>
      <c r="AT212" s="216" t="n"/>
      <c r="AU212" s="216">
        <f>N212+O212 + 0</f>
        <v/>
      </c>
      <c r="AW212" s="2">
        <f>SUM(AH212:AI212,AJ212/2,AK212:AL212)</f>
        <v/>
      </c>
      <c r="AX212" s="2">
        <f>AM212*0.5+SUM(AN212:AP212)</f>
        <v/>
      </c>
      <c r="AY212" s="39">
        <f>SUM(-AR212+AS212*0.01+AT212*0.5+AU212)</f>
        <v/>
      </c>
      <c r="AZ212" s="39">
        <f>'0分'!AF209</f>
        <v/>
      </c>
      <c r="BA212" s="39">
        <f>SUM(AY212,AX212,AW212)</f>
        <v/>
      </c>
      <c r="BB212" s="250" t="n"/>
      <c r="BC212" s="79">
        <f t="array" ref="BC212">SUMPRODUCT(--(NOT(ISBLANK('0₦'!D212:M212))), '0₦'!D$2:M$2) +  SUMPRODUCT(--(NOT(ISBLANK('0₦'!Q212:T212))), '0₦'!Q$2:T$2)</f>
        <v/>
      </c>
      <c r="BD212" s="250">
        <f t="array" ref="BD212">SUMPRODUCT(--(NOT(ISBLANK('0₦'!N212:P212))),'0₦'!N$2:P$2)+'0₦'!AY212</f>
        <v/>
      </c>
      <c r="BE212" s="79">
        <f t="array" ref="BE212">SUMPRODUCT(--(NOT(ISBLANK('0₦'!AA212:AC212))),'0₦'!AA$2:AC$2) + BF212</f>
        <v/>
      </c>
      <c r="BF212" s="79" t="n"/>
      <c r="BG212" s="79">
        <f t="array" ref="BG212">SUMPRODUCT(--(NOT(ISBLANK('0₦'!U212:Z212))), '0₦'!U$2:Z$2)</f>
        <v/>
      </c>
      <c r="BH212" s="79" t="n"/>
      <c r="BI212" s="79">
        <f>SUM(BG212:BH212)</f>
        <v/>
      </c>
      <c r="BJ212" s="79" t="n"/>
      <c r="BK212" s="79" t="n"/>
      <c r="BL212" s="79" t="n"/>
      <c r="BM212" s="79" t="n"/>
      <c r="BN212" s="79" t="n"/>
      <c r="BO212" s="79" t="n"/>
      <c r="BP212" s="79" t="n"/>
      <c r="BQ212" s="79" t="n"/>
      <c r="BR212" s="79" t="n"/>
      <c r="BS212" s="79" t="n"/>
      <c r="BT212" s="79" t="n"/>
      <c r="BU212" s="79" t="n"/>
      <c r="BV212" s="79" t="n"/>
      <c r="BW212" s="79" t="n"/>
      <c r="BX212" s="79" t="n"/>
      <c r="BY212" s="79" t="n"/>
      <c r="BZ212" s="79" t="n"/>
      <c r="CA212" s="79" t="n"/>
    </row>
    <row r="213" hidden="1" ht="17.1" customHeight="1" s="37">
      <c r="A213" s="551" t="n"/>
      <c r="B213" s="150" t="inlineStr">
        <is>
          <t>F</t>
        </is>
      </c>
      <c r="C213" s="550">
        <f>C212+1</f>
        <v/>
      </c>
      <c r="G213" s="216" t="n"/>
      <c r="H213" s="57" t="n"/>
      <c r="O213" s="216" t="n"/>
      <c r="X213" s="20" t="n"/>
      <c r="AF213" s="450" t="n"/>
      <c r="AN213" s="45" t="n"/>
      <c r="AP213" s="45" t="n"/>
      <c r="AQ213" s="12" t="n"/>
      <c r="AR213" s="216" t="n">
        <v>40</v>
      </c>
      <c r="AS213" s="216" t="n"/>
      <c r="AT213" s="216" t="n"/>
      <c r="AU213" s="216">
        <f>N213+O213 + 0</f>
        <v/>
      </c>
      <c r="AW213" s="2">
        <f>SUM(AH213:AI213,AJ213/2,AK213:AL213)</f>
        <v/>
      </c>
      <c r="AX213" s="2">
        <f>AM213*0.5+SUM(AN213:AP213)</f>
        <v/>
      </c>
      <c r="AY213" s="39">
        <f>SUM(-AR213+AS213*0.01+AT213*0.5+AU213)</f>
        <v/>
      </c>
      <c r="AZ213" s="39">
        <f>'0分'!AF210</f>
        <v/>
      </c>
      <c r="BA213" s="39">
        <f>SUM(AY213,AX213,AW213)</f>
        <v/>
      </c>
      <c r="BB213" s="250" t="n"/>
      <c r="BC213" s="79">
        <f t="array" ref="BC213">SUMPRODUCT(--(NOT(ISBLANK('0₦'!D213:M213))), '0₦'!D$2:M$2) +  SUMPRODUCT(--(NOT(ISBLANK('0₦'!Q213:T213))), '0₦'!Q$2:T$2)</f>
        <v/>
      </c>
      <c r="BD213" s="250">
        <f t="array" ref="BD213">SUMPRODUCT(--(NOT(ISBLANK('0₦'!N213:P213))),'0₦'!N$2:P$2)+'0₦'!AY213</f>
        <v/>
      </c>
      <c r="BE213" s="79">
        <f t="array" ref="BE213">SUMPRODUCT(--(NOT(ISBLANK('0₦'!AA213:AC213))),'0₦'!AA$2:AC$2) + BF213</f>
        <v/>
      </c>
      <c r="BF213" s="79" t="n"/>
      <c r="BG213" s="79">
        <f t="array" ref="BG213">SUMPRODUCT(--(NOT(ISBLANK('0₦'!U213:Z213))), '0₦'!U$2:Z$2)</f>
        <v/>
      </c>
      <c r="BH213" s="79" t="n"/>
      <c r="BI213" s="79">
        <f>SUM(BG213:BH213)</f>
        <v/>
      </c>
      <c r="BJ213" s="79" t="n"/>
      <c r="BK213" s="79" t="n"/>
      <c r="BL213" s="79" t="n"/>
      <c r="BM213" s="79" t="n"/>
      <c r="BN213" s="79" t="n"/>
      <c r="BO213" s="79" t="n"/>
      <c r="BP213" s="79" t="n"/>
      <c r="BQ213" s="79" t="n"/>
      <c r="BR213" s="79" t="n"/>
      <c r="BS213" s="79" t="n"/>
      <c r="BT213" s="79" t="n"/>
      <c r="BU213" s="79" t="n"/>
      <c r="BV213" s="79" t="n"/>
      <c r="BW213" s="79" t="n"/>
      <c r="BX213" s="79" t="n"/>
      <c r="BY213" s="79" t="n"/>
      <c r="BZ213" s="79" t="n"/>
      <c r="CA213" s="79" t="n"/>
    </row>
    <row r="214" hidden="1" ht="17.1" customHeight="1" s="37">
      <c r="A214" s="552" t="n"/>
      <c r="B214" s="150" t="inlineStr">
        <is>
          <t>S</t>
        </is>
      </c>
      <c r="C214" s="550">
        <f>C213+1</f>
        <v/>
      </c>
      <c r="G214" s="216" t="n"/>
      <c r="H214" s="57" t="n"/>
      <c r="O214" s="216" t="n"/>
      <c r="X214" s="20" t="n"/>
      <c r="AF214" s="450" t="n"/>
      <c r="AN214" s="45" t="n"/>
      <c r="AP214" s="45" t="n"/>
      <c r="AQ214" s="12" t="n"/>
      <c r="AR214" s="216" t="n">
        <v>40</v>
      </c>
      <c r="AS214" s="216" t="n"/>
      <c r="AT214" s="216" t="n"/>
      <c r="AU214" s="216">
        <f>N214+O214 + 0</f>
        <v/>
      </c>
      <c r="AW214" s="2">
        <f>SUM(AH214:AI214,AJ214/2,AK214:AL214)</f>
        <v/>
      </c>
      <c r="AX214" s="2">
        <f>AM214*0.5+SUM(AN214:AP214)</f>
        <v/>
      </c>
      <c r="AY214" s="39">
        <f>SUM(-AR214+AS214*0.01+AT214*0.5+AU214)</f>
        <v/>
      </c>
      <c r="AZ214" s="39">
        <f>'0分'!AF211</f>
        <v/>
      </c>
      <c r="BA214" s="39">
        <f>SUM(AY214,AX214,AW214)</f>
        <v/>
      </c>
      <c r="BB214" s="250" t="n"/>
      <c r="BC214" s="79">
        <f t="array" ref="BC214">SUMPRODUCT(--(NOT(ISBLANK('0₦'!D214:M214))), '0₦'!D$2:M$2) +  SUMPRODUCT(--(NOT(ISBLANK('0₦'!Q214:T214))), '0₦'!Q$2:T$2)</f>
        <v/>
      </c>
      <c r="BD214" s="250">
        <f t="array" ref="BD214">SUMPRODUCT(--(NOT(ISBLANK('0₦'!N214:P214))),'0₦'!N$2:P$2)+'0₦'!AY214</f>
        <v/>
      </c>
      <c r="BE214" s="79">
        <f t="array" ref="BE214">SUMPRODUCT(--(NOT(ISBLANK('0₦'!AA214:AC214))),'0₦'!AA$2:AC$2) + BF214</f>
        <v/>
      </c>
      <c r="BF214" s="79" t="n"/>
      <c r="BG214" s="79">
        <f t="array" ref="BG214">SUMPRODUCT(--(NOT(ISBLANK('0₦'!U214:Z214))), '0₦'!U$2:Z$2)</f>
        <v/>
      </c>
      <c r="BH214" s="79" t="n"/>
      <c r="BI214" s="79">
        <f>SUM(BG214:BH214)</f>
        <v/>
      </c>
      <c r="BJ214" s="79" t="n"/>
      <c r="BK214" s="79" t="n"/>
      <c r="BL214" s="79" t="n"/>
      <c r="BM214" s="79" t="n"/>
      <c r="BN214" s="79" t="n"/>
      <c r="BO214" s="79" t="n"/>
      <c r="BP214" s="79" t="n"/>
      <c r="BQ214" s="79" t="n"/>
      <c r="BR214" s="79" t="n"/>
      <c r="BS214" s="79" t="n"/>
      <c r="BT214" s="79" t="n"/>
      <c r="BU214" s="79" t="n"/>
      <c r="BV214" s="79" t="n"/>
      <c r="BW214" s="79" t="n"/>
      <c r="BX214" s="79" t="n"/>
      <c r="BY214" s="79" t="n"/>
      <c r="BZ214" s="79" t="n"/>
      <c r="CA214" s="79" t="n"/>
    </row>
    <row r="215" hidden="1" ht="17.1" customHeight="1" s="37">
      <c r="A215" s="462">
        <f>A187+1</f>
        <v/>
      </c>
      <c r="B215" s="150" t="inlineStr">
        <is>
          <t>S</t>
        </is>
      </c>
      <c r="C215" s="550">
        <f>C214+1</f>
        <v/>
      </c>
      <c r="G215" s="216" t="n"/>
      <c r="H215" s="57" t="n"/>
      <c r="O215" s="216" t="n"/>
      <c r="X215" s="20" t="n"/>
      <c r="AF215" s="450" t="n"/>
      <c r="AN215" s="45" t="n"/>
      <c r="AP215" s="45" t="n"/>
      <c r="AQ215" s="12" t="n"/>
      <c r="AR215" s="216" t="n">
        <v>40</v>
      </c>
      <c r="AS215" s="216" t="n"/>
      <c r="AT215" s="216" t="n"/>
      <c r="AU215" s="216">
        <f>N215+O215 + 0</f>
        <v/>
      </c>
      <c r="AW215" s="2">
        <f>SUM(AH215:AI215,AJ215/2,AK215:AL215)</f>
        <v/>
      </c>
      <c r="AX215" s="2">
        <f>AM215*0.5+SUM(AN215:AP215)</f>
        <v/>
      </c>
      <c r="AY215" s="39">
        <f>SUM(-AR215+AS215*0.01+AT215*0.5+AU215)</f>
        <v/>
      </c>
      <c r="AZ215" s="39">
        <f>'0分'!AF212</f>
        <v/>
      </c>
      <c r="BA215" s="39">
        <f>SUM(AY215,AX215,AW215)</f>
        <v/>
      </c>
      <c r="BB215" s="250" t="n"/>
      <c r="BC215" s="79">
        <f t="array" ref="BC215">SUMPRODUCT(--(NOT(ISBLANK('0₦'!D215:M215))), '0₦'!D$2:M$2) +  SUMPRODUCT(--(NOT(ISBLANK('0₦'!Q215:T215))), '0₦'!Q$2:T$2)</f>
        <v/>
      </c>
      <c r="BD215" s="250">
        <f t="array" ref="BD215">SUMPRODUCT(--(NOT(ISBLANK('0₦'!N215:P215))),'0₦'!N$2:P$2)+'0₦'!AY215</f>
        <v/>
      </c>
      <c r="BE215" s="79">
        <f t="array" ref="BE215">SUMPRODUCT(--(NOT(ISBLANK('0₦'!AA215:AC215))),'0₦'!AA$2:AC$2) + BF215</f>
        <v/>
      </c>
      <c r="BF215" s="79" t="n"/>
      <c r="BG215" s="79">
        <f t="array" ref="BG215">SUMPRODUCT(--(NOT(ISBLANK('0₦'!U215:Z215))), '0₦'!U$2:Z$2)</f>
        <v/>
      </c>
      <c r="BH215" s="79" t="n"/>
      <c r="BI215" s="79">
        <f>SUM(BG215:BH215)</f>
        <v/>
      </c>
      <c r="BJ215" s="79" t="n"/>
      <c r="BK215" s="79" t="n"/>
      <c r="BL215" s="79" t="n"/>
      <c r="BM215" s="79" t="n"/>
      <c r="BN215" s="79" t="n"/>
      <c r="BO215" s="79" t="n"/>
      <c r="BP215" s="79" t="n"/>
      <c r="BQ215" s="79" t="n"/>
      <c r="BR215" s="79" t="n"/>
      <c r="BS215" s="79" t="n"/>
      <c r="BT215" s="79" t="n"/>
      <c r="BU215" s="79" t="n"/>
      <c r="BV215" s="79" t="n"/>
      <c r="BW215" s="79" t="n"/>
      <c r="BX215" s="79" t="n"/>
      <c r="BY215" s="79" t="n"/>
      <c r="BZ215" s="79" t="n"/>
      <c r="CA215" s="79" t="n"/>
    </row>
    <row r="216" hidden="1" ht="18" customHeight="1" s="37">
      <c r="A216" s="551" t="n"/>
      <c r="B216" s="150" t="inlineStr">
        <is>
          <t>M</t>
        </is>
      </c>
      <c r="C216" s="550">
        <f>C215+1</f>
        <v/>
      </c>
      <c r="G216" s="216" t="n"/>
      <c r="H216" s="57" t="n"/>
      <c r="O216" s="216" t="n"/>
      <c r="Q216" s="38" t="n"/>
      <c r="X216" s="20" t="n"/>
      <c r="AF216" s="450" t="n"/>
      <c r="AN216" s="45" t="n"/>
      <c r="AP216" s="45" t="n"/>
      <c r="AQ216" s="12" t="n"/>
      <c r="AR216" s="216" t="n">
        <v>40</v>
      </c>
      <c r="AS216" s="216" t="n"/>
      <c r="AT216" s="216" t="n"/>
      <c r="AU216" s="216">
        <f>N216+O216 + 0</f>
        <v/>
      </c>
      <c r="AW216" s="2">
        <f>SUM(AH216:AI216,AJ216/2,AK216:AL216)</f>
        <v/>
      </c>
      <c r="AX216" s="2">
        <f>AM216*0.5+SUM(AN216:AP216)</f>
        <v/>
      </c>
      <c r="AY216" s="39">
        <f>SUM(-AR216+AS216*0.01+AT216*0.5+AU216)</f>
        <v/>
      </c>
      <c r="AZ216" s="39">
        <f>'0分'!AF213</f>
        <v/>
      </c>
      <c r="BA216" s="39">
        <f>SUM(AY216,AX216,AW216)</f>
        <v/>
      </c>
      <c r="BB216" s="250" t="n"/>
      <c r="BC216" s="79">
        <f t="array" ref="BC216">SUMPRODUCT(--(NOT(ISBLANK('0₦'!D216:M216))), '0₦'!D$2:M$2) +  SUMPRODUCT(--(NOT(ISBLANK('0₦'!Q216:T216))), '0₦'!Q$2:T$2)</f>
        <v/>
      </c>
      <c r="BD216" s="250">
        <f t="array" ref="BD216">SUMPRODUCT(--(NOT(ISBLANK('0₦'!N216:P216))),'0₦'!N$2:P$2)+'0₦'!AY216</f>
        <v/>
      </c>
      <c r="BE216" s="79">
        <f t="array" ref="BE216">SUMPRODUCT(--(NOT(ISBLANK('0₦'!AA216:AC216))),'0₦'!AA$2:AC$2) + BF216</f>
        <v/>
      </c>
      <c r="BF216" s="79" t="n"/>
      <c r="BG216" s="79">
        <f t="array" ref="BG216">SUMPRODUCT(--(NOT(ISBLANK('0₦'!U216:Z216))), '0₦'!U$2:Z$2)</f>
        <v/>
      </c>
      <c r="BH216" s="79" t="n"/>
      <c r="BI216" s="79">
        <f>SUM(BG216:BH216)</f>
        <v/>
      </c>
      <c r="BJ216" s="79" t="n"/>
      <c r="BK216" s="79" t="n"/>
      <c r="BL216" s="79" t="n"/>
      <c r="BM216" s="79" t="n"/>
      <c r="BN216" s="79" t="n"/>
      <c r="BO216" s="79" t="n"/>
      <c r="BP216" s="79" t="n"/>
      <c r="BQ216" s="79" t="n"/>
      <c r="BR216" s="79" t="n"/>
      <c r="BS216" s="79" t="n"/>
      <c r="BT216" s="79" t="n"/>
      <c r="BU216" s="79" t="n"/>
      <c r="BV216" s="79" t="n"/>
      <c r="BW216" s="79" t="n"/>
      <c r="BX216" s="79" t="n"/>
      <c r="BY216" s="79" t="n"/>
      <c r="BZ216" s="79" t="n"/>
      <c r="CA216" s="79" t="n"/>
    </row>
    <row r="217" hidden="1" ht="17.1" customHeight="1" s="37">
      <c r="A217" s="551" t="n"/>
      <c r="B217" s="150" t="inlineStr">
        <is>
          <t>T</t>
        </is>
      </c>
      <c r="C217" s="550">
        <f>C216+1</f>
        <v/>
      </c>
      <c r="G217" s="216" t="n"/>
      <c r="H217" s="57" t="n"/>
      <c r="O217" s="216" t="n"/>
      <c r="X217" s="20" t="n"/>
      <c r="AF217" s="450" t="n"/>
      <c r="AN217" s="45" t="n"/>
      <c r="AP217" s="45" t="n"/>
      <c r="AQ217" s="12" t="n"/>
      <c r="AR217" s="216" t="n">
        <v>40</v>
      </c>
      <c r="AS217" s="216" t="n"/>
      <c r="AT217" s="216" t="n"/>
      <c r="AU217" s="216">
        <f>N217+O217 + 0</f>
        <v/>
      </c>
      <c r="AW217" s="2">
        <f>SUM(AH217:AI217,AJ217/2,AK217:AL217)</f>
        <v/>
      </c>
      <c r="AX217" s="2">
        <f>AM217*0.5+SUM(AN217:AP217)</f>
        <v/>
      </c>
      <c r="AY217" s="39">
        <f>SUM(-AR217+AS217*0.01+AT217*0.5+AU217)</f>
        <v/>
      </c>
      <c r="AZ217" s="39">
        <f>'0分'!AF214</f>
        <v/>
      </c>
      <c r="BA217" s="39">
        <f>SUM(AY217,AX217,AW217)</f>
        <v/>
      </c>
      <c r="BB217" s="250" t="n"/>
      <c r="BC217" s="79">
        <f t="array" ref="BC217">SUMPRODUCT(--(NOT(ISBLANK('0₦'!D217:M217))), '0₦'!D$2:M$2) +  SUMPRODUCT(--(NOT(ISBLANK('0₦'!Q217:T217))), '0₦'!Q$2:T$2)</f>
        <v/>
      </c>
      <c r="BD217" s="250">
        <f t="array" ref="BD217">SUMPRODUCT(--(NOT(ISBLANK('0₦'!N217:P217))),'0₦'!N$2:P$2)+'0₦'!AY217</f>
        <v/>
      </c>
      <c r="BE217" s="79">
        <f t="array" ref="BE217">SUMPRODUCT(--(NOT(ISBLANK('0₦'!AA217:AC217))),'0₦'!AA$2:AC$2) + BF217</f>
        <v/>
      </c>
      <c r="BF217" s="79" t="n"/>
      <c r="BG217" s="79">
        <f t="array" ref="BG217">SUMPRODUCT(--(NOT(ISBLANK('0₦'!U217:Z217))), '0₦'!U$2:Z$2)</f>
        <v/>
      </c>
      <c r="BH217" s="79" t="n"/>
      <c r="BI217" s="79">
        <f>SUM(BG217:BH217)</f>
        <v/>
      </c>
      <c r="BJ217" s="79" t="n"/>
      <c r="BK217" s="79" t="n"/>
      <c r="BL217" s="79" t="n"/>
      <c r="BM217" s="79" t="n"/>
      <c r="BN217" s="79" t="n"/>
      <c r="BO217" s="79" t="n"/>
      <c r="BP217" s="79" t="n"/>
      <c r="BQ217" s="79" t="n"/>
      <c r="BR217" s="79" t="n"/>
      <c r="BS217" s="79" t="n"/>
      <c r="BT217" s="79" t="n"/>
      <c r="BU217" s="79" t="n"/>
      <c r="BV217" s="79" t="n"/>
      <c r="BW217" s="79" t="n"/>
      <c r="BX217" s="79" t="n"/>
      <c r="BY217" s="79" t="n"/>
      <c r="BZ217" s="79" t="n"/>
      <c r="CA217" s="79" t="n"/>
    </row>
    <row r="218" hidden="1" ht="17.1" customHeight="1" s="37">
      <c r="A218" s="551" t="n"/>
      <c r="B218" s="150" t="inlineStr">
        <is>
          <t>W</t>
        </is>
      </c>
      <c r="C218" s="550">
        <f>C217+1</f>
        <v/>
      </c>
      <c r="G218" s="216" t="n"/>
      <c r="H218" s="57" t="n"/>
      <c r="O218" s="216" t="n"/>
      <c r="X218" s="20" t="n"/>
      <c r="AF218" s="450" t="n"/>
      <c r="AN218" s="45" t="n"/>
      <c r="AP218" s="45" t="n"/>
      <c r="AQ218" s="12" t="n"/>
      <c r="AR218" s="216" t="n">
        <v>40</v>
      </c>
      <c r="AS218" s="216" t="n"/>
      <c r="AT218" s="216" t="n"/>
      <c r="AU218" s="216">
        <f>N218+O218 + 0</f>
        <v/>
      </c>
      <c r="AW218" s="2">
        <f>SUM(AH218:AI218,AJ218/2,AK218:AL218)</f>
        <v/>
      </c>
      <c r="AX218" s="2">
        <f>AM218*0.5+SUM(AN218:AP218)</f>
        <v/>
      </c>
      <c r="AY218" s="39">
        <f>SUM(-AR218+AS218*0.01+AT218*0.5+AU218)</f>
        <v/>
      </c>
      <c r="AZ218" s="39">
        <f>'0分'!AF215</f>
        <v/>
      </c>
      <c r="BA218" s="39">
        <f>SUM(AY218,AX218,AW218)</f>
        <v/>
      </c>
      <c r="BB218" s="250" t="n"/>
      <c r="BC218" s="79">
        <f t="array" ref="BC218">SUMPRODUCT(--(NOT(ISBLANK('0₦'!D218:M218))), '0₦'!D$2:M$2) +  SUMPRODUCT(--(NOT(ISBLANK('0₦'!Q218:T218))), '0₦'!Q$2:T$2)</f>
        <v/>
      </c>
      <c r="BD218" s="250">
        <f t="array" ref="BD218">SUMPRODUCT(--(NOT(ISBLANK('0₦'!N218:P218))),'0₦'!N$2:P$2)+'0₦'!AY218</f>
        <v/>
      </c>
      <c r="BE218" s="79">
        <f t="array" ref="BE218">SUMPRODUCT(--(NOT(ISBLANK('0₦'!AA218:AC218))),'0₦'!AA$2:AC$2) + BF218</f>
        <v/>
      </c>
      <c r="BF218" s="79" t="n"/>
      <c r="BG218" s="79">
        <f t="array" ref="BG218">SUMPRODUCT(--(NOT(ISBLANK('0₦'!U218:Z218))), '0₦'!U$2:Z$2)</f>
        <v/>
      </c>
      <c r="BH218" s="79" t="n"/>
      <c r="BI218" s="79">
        <f>SUM(BG218:BH218)</f>
        <v/>
      </c>
      <c r="BJ218" s="79" t="n"/>
      <c r="BK218" s="79" t="n"/>
      <c r="BL218" s="79" t="n"/>
      <c r="BM218" s="79" t="n"/>
      <c r="BN218" s="79" t="n"/>
      <c r="BO218" s="79" t="n"/>
      <c r="BP218" s="79" t="n"/>
      <c r="BQ218" s="79" t="n"/>
      <c r="BR218" s="79" t="n"/>
      <c r="BS218" s="79" t="n"/>
      <c r="BT218" s="79" t="n"/>
      <c r="BU218" s="79" t="n"/>
      <c r="BV218" s="79" t="n"/>
      <c r="BW218" s="79" t="n"/>
      <c r="BX218" s="79" t="n"/>
      <c r="BY218" s="79" t="n"/>
      <c r="BZ218" s="79" t="n"/>
      <c r="CA218" s="79" t="n"/>
    </row>
    <row r="219" hidden="1" ht="17.1" customHeight="1" s="37">
      <c r="A219" s="551" t="n"/>
      <c r="B219" s="150" t="inlineStr">
        <is>
          <t>Th</t>
        </is>
      </c>
      <c r="C219" s="550">
        <f>C218+1</f>
        <v/>
      </c>
      <c r="G219" s="216" t="n"/>
      <c r="H219" s="57" t="n"/>
      <c r="O219" s="216" t="n"/>
      <c r="X219" s="20" t="n"/>
      <c r="AF219" s="450" t="n"/>
      <c r="AN219" s="45" t="n"/>
      <c r="AP219" s="45" t="n"/>
      <c r="AQ219" s="12" t="n"/>
      <c r="AR219" s="216" t="n">
        <v>40</v>
      </c>
      <c r="AS219" s="216" t="n"/>
      <c r="AT219" s="216" t="n"/>
      <c r="AU219" s="216">
        <f>N219+O219 + 0</f>
        <v/>
      </c>
      <c r="AW219" s="2">
        <f>SUM(AH219:AI219,AJ219/2,AK219:AL219)</f>
        <v/>
      </c>
      <c r="AX219" s="2">
        <f>AM219*0.5+SUM(AN219:AP219)</f>
        <v/>
      </c>
      <c r="AY219" s="39">
        <f>SUM(-AR219+AS219*0.01+AT219*0.5+AU219)</f>
        <v/>
      </c>
      <c r="AZ219" s="39">
        <f>'0分'!AF216</f>
        <v/>
      </c>
      <c r="BA219" s="39">
        <f>SUM(AY219,AX219,AW219)</f>
        <v/>
      </c>
      <c r="BB219" s="250" t="n"/>
      <c r="BC219" s="79">
        <f t="array" ref="BC219">SUMPRODUCT(--(NOT(ISBLANK('0₦'!D219:M219))), '0₦'!D$2:M$2) +  SUMPRODUCT(--(NOT(ISBLANK('0₦'!Q219:T219))), '0₦'!Q$2:T$2)</f>
        <v/>
      </c>
      <c r="BD219" s="250">
        <f t="array" ref="BD219">SUMPRODUCT(--(NOT(ISBLANK('0₦'!N219:P219))),'0₦'!N$2:P$2)+'0₦'!AY219</f>
        <v/>
      </c>
      <c r="BE219" s="79">
        <f t="array" ref="BE219">SUMPRODUCT(--(NOT(ISBLANK('0₦'!AA219:AC219))),'0₦'!AA$2:AC$2) + BF219</f>
        <v/>
      </c>
      <c r="BF219" s="79" t="n"/>
      <c r="BG219" s="79">
        <f t="array" ref="BG219">SUMPRODUCT(--(NOT(ISBLANK('0₦'!U219:Z219))), '0₦'!U$2:Z$2)</f>
        <v/>
      </c>
      <c r="BH219" s="79" t="n"/>
      <c r="BI219" s="79">
        <f>SUM(BG219:BH219)</f>
        <v/>
      </c>
      <c r="BJ219" s="79" t="n"/>
      <c r="BK219" s="79" t="n"/>
      <c r="BL219" s="79" t="n"/>
      <c r="BM219" s="79" t="n"/>
      <c r="BN219" s="79" t="n"/>
      <c r="BO219" s="79" t="n"/>
      <c r="BP219" s="79" t="n"/>
      <c r="BQ219" s="79" t="n"/>
      <c r="BR219" s="79" t="n"/>
      <c r="BS219" s="79" t="n"/>
      <c r="BT219" s="79" t="n"/>
      <c r="BU219" s="79" t="n"/>
      <c r="BV219" s="79" t="n"/>
      <c r="BW219" s="79" t="n"/>
      <c r="BX219" s="79" t="n"/>
      <c r="BY219" s="79" t="n"/>
      <c r="BZ219" s="79" t="n"/>
      <c r="CA219" s="79" t="n"/>
    </row>
    <row r="220" hidden="1" ht="17.1" customHeight="1" s="37">
      <c r="A220" s="551" t="n"/>
      <c r="B220" s="150" t="inlineStr">
        <is>
          <t>F</t>
        </is>
      </c>
      <c r="C220" s="550">
        <f>C219+1</f>
        <v/>
      </c>
      <c r="G220" s="216" t="n"/>
      <c r="H220" s="57" t="n"/>
      <c r="O220" s="216" t="n"/>
      <c r="X220" s="20" t="n"/>
      <c r="AF220" s="450" t="n"/>
      <c r="AN220" s="45" t="n"/>
      <c r="AP220" s="45" t="n"/>
      <c r="AQ220" s="12" t="n"/>
      <c r="AR220" s="216" t="n">
        <v>40</v>
      </c>
      <c r="AS220" s="216" t="n"/>
      <c r="AT220" s="216" t="n"/>
      <c r="AU220" s="216">
        <f>N220+O220 + 0</f>
        <v/>
      </c>
      <c r="AW220" s="2">
        <f>SUM(AH220:AI220,AJ220/2,AK220:AL220)</f>
        <v/>
      </c>
      <c r="AX220" s="2">
        <f>AM220*0.5+SUM(AN220:AP220)</f>
        <v/>
      </c>
      <c r="AY220" s="39">
        <f>SUM(-AR220+AS220*0.01+AT220*0.5+AU220)</f>
        <v/>
      </c>
      <c r="AZ220" s="39">
        <f>'0分'!AF217</f>
        <v/>
      </c>
      <c r="BA220" s="39">
        <f>SUM(AY220,AX220,AW220)</f>
        <v/>
      </c>
      <c r="BB220" s="250" t="n"/>
      <c r="BC220" s="79">
        <f t="array" ref="BC220">SUMPRODUCT(--(NOT(ISBLANK('0₦'!D220:M220))), '0₦'!D$2:M$2) +  SUMPRODUCT(--(NOT(ISBLANK('0₦'!Q220:T220))), '0₦'!Q$2:T$2)</f>
        <v/>
      </c>
      <c r="BD220" s="250">
        <f t="array" ref="BD220">SUMPRODUCT(--(NOT(ISBLANK('0₦'!N220:P220))),'0₦'!N$2:P$2)+'0₦'!AY220</f>
        <v/>
      </c>
      <c r="BE220" s="79">
        <f t="array" ref="BE220">SUMPRODUCT(--(NOT(ISBLANK('0₦'!AA220:AC220))),'0₦'!AA$2:AC$2) + BF220</f>
        <v/>
      </c>
      <c r="BF220" s="79" t="n"/>
      <c r="BG220" s="79">
        <f t="array" ref="BG220">SUMPRODUCT(--(NOT(ISBLANK('0₦'!U220:Z220))), '0₦'!U$2:Z$2)</f>
        <v/>
      </c>
      <c r="BH220" s="79" t="n"/>
      <c r="BI220" s="79">
        <f>SUM(BG220:BH220)</f>
        <v/>
      </c>
      <c r="BJ220" s="79" t="n"/>
      <c r="BK220" s="79" t="n"/>
      <c r="BL220" s="79" t="n"/>
      <c r="BM220" s="79" t="n"/>
      <c r="BN220" s="79" t="n"/>
      <c r="BO220" s="79" t="n"/>
      <c r="BP220" s="79" t="n"/>
      <c r="BQ220" s="79" t="n"/>
      <c r="BR220" s="79" t="n"/>
      <c r="BS220" s="79" t="n"/>
      <c r="BT220" s="79" t="n"/>
      <c r="BU220" s="79" t="n"/>
      <c r="BV220" s="79" t="n"/>
      <c r="BW220" s="79" t="n"/>
      <c r="BX220" s="79" t="n"/>
      <c r="BY220" s="79" t="n"/>
      <c r="BZ220" s="79" t="n"/>
      <c r="CA220" s="79" t="n"/>
    </row>
    <row r="221" hidden="1" ht="15.95" customHeight="1" s="37">
      <c r="A221" s="552" t="n"/>
      <c r="B221" s="150" t="inlineStr">
        <is>
          <t>S</t>
        </is>
      </c>
      <c r="C221" s="550">
        <f>C220+1</f>
        <v/>
      </c>
      <c r="G221" s="216" t="n"/>
      <c r="H221" s="57" t="n"/>
      <c r="O221" s="216" t="n"/>
      <c r="X221" s="20" t="n"/>
      <c r="AF221" s="450" t="n"/>
      <c r="AN221" s="45" t="n"/>
      <c r="AP221" s="45" t="n"/>
      <c r="AQ221" s="12" t="n"/>
      <c r="AR221" s="216" t="n">
        <v>40</v>
      </c>
      <c r="AS221" s="216" t="n"/>
      <c r="AT221" s="216" t="n"/>
      <c r="AU221" s="216">
        <f>N221+O221 + 0</f>
        <v/>
      </c>
      <c r="AW221" s="2">
        <f>SUM(AH221:AI221,AJ221/2,AK221:AL221)</f>
        <v/>
      </c>
      <c r="AX221" s="2">
        <f>AM221*0.5+SUM(AN221:AP221)</f>
        <v/>
      </c>
      <c r="AY221" s="39">
        <f>SUM(-AR221+AS221*0.01+AT221*0.5+AU221)</f>
        <v/>
      </c>
      <c r="AZ221" s="39">
        <f>'0分'!AF218</f>
        <v/>
      </c>
      <c r="BA221" s="39">
        <f>SUM(AY221,AX221,AW221)</f>
        <v/>
      </c>
      <c r="BB221" s="250" t="n"/>
      <c r="BC221" s="79">
        <f t="array" ref="BC221">SUMPRODUCT(--(NOT(ISBLANK('0₦'!D221:M221))), '0₦'!D$2:M$2) +  SUMPRODUCT(--(NOT(ISBLANK('0₦'!Q221:T221))), '0₦'!Q$2:T$2)</f>
        <v/>
      </c>
      <c r="BD221" s="250">
        <f t="array" ref="BD221">SUMPRODUCT(--(NOT(ISBLANK('0₦'!N221:P221))),'0₦'!N$2:P$2)+'0₦'!AY221</f>
        <v/>
      </c>
      <c r="BE221" s="79">
        <f t="array" ref="BE221">SUMPRODUCT(--(NOT(ISBLANK('0₦'!AA221:AC221))),'0₦'!AA$2:AC$2) + BF221</f>
        <v/>
      </c>
      <c r="BF221" s="79" t="n"/>
      <c r="BG221" s="79">
        <f t="array" ref="BG221">SUMPRODUCT(--(NOT(ISBLANK('0₦'!U221:Z221))), '0₦'!U$2:Z$2)</f>
        <v/>
      </c>
      <c r="BH221" s="79" t="n"/>
      <c r="BI221" s="79">
        <f>SUM(BG221:BH221)</f>
        <v/>
      </c>
      <c r="BJ221" s="79" t="n"/>
      <c r="BK221" s="79" t="n"/>
      <c r="BL221" s="79" t="n"/>
      <c r="BM221" s="79" t="n"/>
      <c r="BN221" s="79" t="n"/>
      <c r="BO221" s="79" t="n"/>
      <c r="BP221" s="79" t="n"/>
      <c r="BQ221" s="79" t="n"/>
      <c r="BR221" s="79" t="n"/>
      <c r="BS221" s="79" t="n"/>
      <c r="BT221" s="79" t="n"/>
      <c r="BU221" s="79" t="n"/>
      <c r="BV221" s="79" t="n"/>
      <c r="BW221" s="79" t="n"/>
      <c r="BX221" s="79" t="n"/>
      <c r="BY221" s="79" t="n"/>
      <c r="BZ221" s="79" t="n"/>
      <c r="CA221" s="79" t="n"/>
    </row>
    <row r="222" hidden="1" ht="17.1" customHeight="1" s="37">
      <c r="A222" s="462">
        <f>A215+0.1</f>
        <v/>
      </c>
      <c r="B222" s="150" t="inlineStr">
        <is>
          <t>S</t>
        </is>
      </c>
      <c r="C222" s="550">
        <f>C221+1</f>
        <v/>
      </c>
      <c r="G222" s="216" t="n"/>
      <c r="H222" s="57" t="n"/>
      <c r="O222" s="214" t="n"/>
      <c r="X222" s="20" t="n"/>
      <c r="AF222" s="450" t="n"/>
      <c r="AN222" s="45" t="n"/>
      <c r="AP222" s="45" t="n"/>
      <c r="AQ222" s="12" t="n"/>
      <c r="AR222" s="216" t="n">
        <v>40</v>
      </c>
      <c r="AS222" s="216" t="n"/>
      <c r="AT222" s="216" t="n"/>
      <c r="AU222" s="216">
        <f>N222+O222 + 0</f>
        <v/>
      </c>
      <c r="AW222" s="2">
        <f>SUM(AH222:AI222,AJ222/2,AK222:AL222)</f>
        <v/>
      </c>
      <c r="AX222" s="2">
        <f>AM222*0.5+SUM(AN222:AP222)</f>
        <v/>
      </c>
      <c r="AY222" s="39">
        <f>SUM(-AR222+AS222*0.01+AT222*0.5+AU222)</f>
        <v/>
      </c>
      <c r="AZ222" s="39">
        <f>'0分'!AF219</f>
        <v/>
      </c>
      <c r="BA222" s="39">
        <f>SUM(AY222,AX222,AW222)</f>
        <v/>
      </c>
      <c r="BB222" s="250" t="n"/>
      <c r="BC222" s="79">
        <f t="array" ref="BC222">SUMPRODUCT(--(NOT(ISBLANK('0₦'!D222:M222))), '0₦'!D$2:M$2) +  SUMPRODUCT(--(NOT(ISBLANK('0₦'!Q222:T222))), '0₦'!Q$2:T$2)</f>
        <v/>
      </c>
      <c r="BD222" s="250">
        <f t="array" ref="BD222">SUMPRODUCT(--(NOT(ISBLANK('0₦'!N222:P222))),'0₦'!N$2:P$2)+'0₦'!AY222</f>
        <v/>
      </c>
      <c r="BE222" s="79">
        <f t="array" ref="BE222">SUMPRODUCT(--(NOT(ISBLANK('0₦'!AA222:AC222))),'0₦'!AA$2:AC$2) + BF222</f>
        <v/>
      </c>
      <c r="BF222" s="79" t="n"/>
      <c r="BG222" s="79">
        <f t="array" ref="BG222">SUMPRODUCT(--(NOT(ISBLANK('0₦'!U222:Z222))), '0₦'!U$2:Z$2)</f>
        <v/>
      </c>
      <c r="BH222" s="79" t="n"/>
      <c r="BI222" s="79">
        <f>SUM(BG222:BH222)</f>
        <v/>
      </c>
      <c r="BJ222" s="79" t="n"/>
      <c r="BK222" s="79" t="n"/>
      <c r="BL222" s="79" t="n"/>
      <c r="BM222" s="79" t="n"/>
      <c r="BN222" s="79" t="n"/>
      <c r="BO222" s="79" t="n"/>
      <c r="BP222" s="79" t="n"/>
      <c r="BQ222" s="79" t="n"/>
      <c r="BR222" s="79" t="n"/>
      <c r="BS222" s="79" t="n"/>
      <c r="BT222" s="79" t="n"/>
      <c r="BU222" s="79" t="n"/>
      <c r="BV222" s="79" t="n"/>
      <c r="BW222" s="79" t="n"/>
      <c r="BX222" s="79" t="n"/>
      <c r="BY222" s="79" t="n"/>
      <c r="BZ222" s="79" t="n"/>
      <c r="CA222" s="79" t="n"/>
    </row>
    <row r="223" hidden="1" ht="17.1" customHeight="1" s="37">
      <c r="A223" s="551" t="n"/>
      <c r="B223" s="150" t="inlineStr">
        <is>
          <t>M</t>
        </is>
      </c>
      <c r="C223" s="550">
        <f>C222+1</f>
        <v/>
      </c>
      <c r="G223" s="216" t="n"/>
      <c r="H223" s="57" t="n"/>
      <c r="O223" s="216" t="n"/>
      <c r="T223" s="38" t="n"/>
      <c r="X223" s="20" t="n"/>
      <c r="AF223" s="450" t="n"/>
      <c r="AN223" s="45" t="n"/>
      <c r="AP223" s="45" t="n"/>
      <c r="AQ223" s="12" t="n"/>
      <c r="AR223" s="216" t="n">
        <v>40</v>
      </c>
      <c r="AS223" s="216" t="n"/>
      <c r="AT223" s="216" t="n"/>
      <c r="AU223" s="216">
        <f>N223+O223 + 0</f>
        <v/>
      </c>
      <c r="AW223" s="2">
        <f>SUM(AH223:AI223,AJ223/2,AK223:AL223)</f>
        <v/>
      </c>
      <c r="AX223" s="2">
        <f>AM223*0.5+SUM(AN223:AP223)</f>
        <v/>
      </c>
      <c r="AY223" s="39">
        <f>SUM(-AR223+AS223*0.01+AT223*0.5+AU223)</f>
        <v/>
      </c>
      <c r="AZ223" s="39">
        <f>'0分'!AF220</f>
        <v/>
      </c>
      <c r="BA223" s="39">
        <f>SUM(AY223,AX223,AW223)</f>
        <v/>
      </c>
      <c r="BB223" s="250" t="n"/>
      <c r="BC223" s="79">
        <f t="array" ref="BC223">SUMPRODUCT(--(NOT(ISBLANK('0₦'!D223:M223))), '0₦'!D$2:M$2) +  SUMPRODUCT(--(NOT(ISBLANK('0₦'!Q223:T223))), '0₦'!Q$2:T$2)</f>
        <v/>
      </c>
      <c r="BD223" s="250">
        <f t="array" ref="BD223">SUMPRODUCT(--(NOT(ISBLANK('0₦'!N223:P223))),'0₦'!N$2:P$2)+'0₦'!AY223</f>
        <v/>
      </c>
      <c r="BE223" s="79">
        <f t="array" ref="BE223">SUMPRODUCT(--(NOT(ISBLANK('0₦'!AA223:AC223))),'0₦'!AA$2:AC$2) + BF223</f>
        <v/>
      </c>
      <c r="BF223" s="79" t="n"/>
      <c r="BG223" s="79">
        <f t="array" ref="BG223">SUMPRODUCT(--(NOT(ISBLANK('0₦'!U223:Z223))), '0₦'!U$2:Z$2)</f>
        <v/>
      </c>
      <c r="BH223" s="79" t="n"/>
      <c r="BI223" s="79">
        <f>SUM(BG223:BH223)</f>
        <v/>
      </c>
      <c r="BJ223" s="79" t="n"/>
      <c r="BK223" s="79" t="n"/>
      <c r="BL223" s="79" t="n"/>
      <c r="BM223" s="79" t="n"/>
      <c r="BN223" s="79" t="n"/>
      <c r="BO223" s="79" t="n"/>
      <c r="BP223" s="79" t="n"/>
      <c r="BQ223" s="79" t="n"/>
      <c r="BR223" s="79" t="n"/>
      <c r="BS223" s="79" t="n"/>
      <c r="BT223" s="79" t="n"/>
      <c r="BU223" s="79" t="n"/>
      <c r="BV223" s="79" t="n"/>
      <c r="BW223" s="79" t="n"/>
      <c r="BX223" s="79" t="n"/>
      <c r="BY223" s="79" t="n"/>
      <c r="BZ223" s="79" t="n"/>
      <c r="CA223" s="79" t="n"/>
    </row>
    <row r="224" hidden="1" ht="17.1" customHeight="1" s="37">
      <c r="A224" s="551" t="n"/>
      <c r="B224" s="150" t="inlineStr">
        <is>
          <t>T</t>
        </is>
      </c>
      <c r="C224" s="550">
        <f>C223+1</f>
        <v/>
      </c>
      <c r="G224" s="216" t="n"/>
      <c r="H224" s="57" t="n"/>
      <c r="O224" s="216" t="n"/>
      <c r="X224" s="20" t="n"/>
      <c r="AF224" s="450" t="n"/>
      <c r="AN224" s="45" t="n"/>
      <c r="AP224" s="45" t="n"/>
      <c r="AQ224" s="12" t="n"/>
      <c r="AR224" s="216" t="n">
        <v>40</v>
      </c>
      <c r="AS224" s="216" t="n"/>
      <c r="AT224" s="216" t="n"/>
      <c r="AU224" s="216">
        <f>N224+O224 + 0</f>
        <v/>
      </c>
      <c r="AW224" s="2">
        <f>SUM(AH224:AI224,AJ224/2,AK224:AL224)</f>
        <v/>
      </c>
      <c r="AX224" s="2">
        <f>AM224*0.5+SUM(AN224:AP224)</f>
        <v/>
      </c>
      <c r="AY224" s="39">
        <f>SUM(-AR224+AS224*0.01+AT224*0.5+AU224)</f>
        <v/>
      </c>
      <c r="AZ224" s="39">
        <f>'0分'!AF221</f>
        <v/>
      </c>
      <c r="BA224" s="39">
        <f>SUM(AY224,AX224,AW224)</f>
        <v/>
      </c>
      <c r="BB224" s="250" t="n"/>
      <c r="BC224" s="79">
        <f t="array" ref="BC224">SUMPRODUCT(--(NOT(ISBLANK('0₦'!D224:M224))), '0₦'!D$2:M$2) +  SUMPRODUCT(--(NOT(ISBLANK('0₦'!Q224:T224))), '0₦'!Q$2:T$2)</f>
        <v/>
      </c>
      <c r="BD224" s="250">
        <f t="array" ref="BD224">SUMPRODUCT(--(NOT(ISBLANK('0₦'!N224:P224))),'0₦'!N$2:P$2)+'0₦'!AY224</f>
        <v/>
      </c>
      <c r="BE224" s="79">
        <f t="array" ref="BE224">SUMPRODUCT(--(NOT(ISBLANK('0₦'!AA224:AC224))),'0₦'!AA$2:AC$2) + BF224</f>
        <v/>
      </c>
      <c r="BF224" s="79" t="n"/>
      <c r="BG224" s="79">
        <f t="array" ref="BG224">SUMPRODUCT(--(NOT(ISBLANK('0₦'!U224:Z224))), '0₦'!U$2:Z$2)</f>
        <v/>
      </c>
      <c r="BH224" s="79" t="n"/>
      <c r="BI224" s="79">
        <f>SUM(BG224:BH224)</f>
        <v/>
      </c>
      <c r="BJ224" s="79" t="n"/>
      <c r="BK224" s="79" t="n"/>
      <c r="BL224" s="79" t="n"/>
      <c r="BM224" s="79" t="n"/>
      <c r="BN224" s="79" t="n"/>
      <c r="BO224" s="79" t="n"/>
      <c r="BP224" s="79" t="n"/>
      <c r="BQ224" s="79" t="n"/>
      <c r="BR224" s="79" t="n"/>
      <c r="BS224" s="79" t="n"/>
      <c r="BT224" s="79" t="n"/>
      <c r="BU224" s="79" t="n"/>
      <c r="BV224" s="79" t="n"/>
      <c r="BW224" s="79" t="n"/>
      <c r="BX224" s="79" t="n"/>
      <c r="BY224" s="79" t="n"/>
      <c r="BZ224" s="79" t="n"/>
      <c r="CA224" s="79" t="n"/>
    </row>
    <row r="225" hidden="1" ht="17.1" customHeight="1" s="37">
      <c r="A225" s="551" t="n"/>
      <c r="B225" s="150" t="inlineStr">
        <is>
          <t>W</t>
        </is>
      </c>
      <c r="C225" s="550">
        <f>C224+1</f>
        <v/>
      </c>
      <c r="G225" s="216" t="n"/>
      <c r="H225" s="57" t="n"/>
      <c r="O225" s="216" t="n"/>
      <c r="X225" s="20" t="n"/>
      <c r="AF225" s="450" t="n"/>
      <c r="AN225" s="45" t="n"/>
      <c r="AP225" s="45" t="n"/>
      <c r="AQ225" s="12" t="n"/>
      <c r="AR225" s="216" t="n">
        <v>40</v>
      </c>
      <c r="AS225" s="216" t="n"/>
      <c r="AT225" s="216" t="n"/>
      <c r="AU225" s="216">
        <f>N225+O225 + 0</f>
        <v/>
      </c>
      <c r="AW225" s="2">
        <f>SUM(AH225:AI225,AJ225/2,AK225:AL225)</f>
        <v/>
      </c>
      <c r="AX225" s="2">
        <f>AM225*0.5+SUM(AN225:AP225)</f>
        <v/>
      </c>
      <c r="AY225" s="39">
        <f>SUM(-AR225+AS225*0.01+AT225*0.5+AU225)</f>
        <v/>
      </c>
      <c r="AZ225" s="39">
        <f>'0分'!AF222</f>
        <v/>
      </c>
      <c r="BA225" s="39">
        <f>SUM(AY225,AX225,AW225)</f>
        <v/>
      </c>
      <c r="BB225" s="250" t="n"/>
      <c r="BC225" s="79">
        <f t="array" ref="BC225">SUMPRODUCT(--(NOT(ISBLANK('0₦'!D225:M225))), '0₦'!D$2:M$2) +  SUMPRODUCT(--(NOT(ISBLANK('0₦'!Q225:T225))), '0₦'!Q$2:T$2)</f>
        <v/>
      </c>
      <c r="BD225" s="250">
        <f t="array" ref="BD225">SUMPRODUCT(--(NOT(ISBLANK('0₦'!N225:P225))),'0₦'!N$2:P$2)+'0₦'!AY225</f>
        <v/>
      </c>
      <c r="BE225" s="79">
        <f t="array" ref="BE225">SUMPRODUCT(--(NOT(ISBLANK('0₦'!AA225:AC225))),'0₦'!AA$2:AC$2) + BF225</f>
        <v/>
      </c>
      <c r="BF225" s="79" t="n"/>
      <c r="BG225" s="79">
        <f t="array" ref="BG225">SUMPRODUCT(--(NOT(ISBLANK('0₦'!U225:Z225))), '0₦'!U$2:Z$2)</f>
        <v/>
      </c>
      <c r="BH225" s="79" t="n"/>
      <c r="BI225" s="79">
        <f>SUM(BG225:BH225)</f>
        <v/>
      </c>
      <c r="BJ225" s="79" t="n"/>
      <c r="BK225" s="79" t="n"/>
      <c r="BL225" s="79" t="n"/>
      <c r="BM225" s="79" t="n"/>
      <c r="BN225" s="79" t="n"/>
      <c r="BO225" s="79" t="n"/>
      <c r="BP225" s="79" t="n"/>
      <c r="BQ225" s="79" t="n"/>
      <c r="BR225" s="79" t="n"/>
      <c r="BS225" s="79" t="n"/>
      <c r="BT225" s="79" t="n"/>
      <c r="BU225" s="79" t="n"/>
      <c r="BV225" s="79" t="n"/>
      <c r="BW225" s="79" t="n"/>
      <c r="BX225" s="79" t="n"/>
      <c r="BY225" s="79" t="n"/>
      <c r="BZ225" s="79" t="n"/>
      <c r="CA225" s="79" t="n"/>
    </row>
    <row r="226" hidden="1" ht="17.1" customHeight="1" s="37">
      <c r="A226" s="551" t="n"/>
      <c r="B226" s="150" t="inlineStr">
        <is>
          <t>Th</t>
        </is>
      </c>
      <c r="C226" s="550">
        <f>C225+1</f>
        <v/>
      </c>
      <c r="G226" s="216" t="n"/>
      <c r="H226" s="57" t="n"/>
      <c r="O226" s="216" t="n"/>
      <c r="X226" s="20" t="n"/>
      <c r="AF226" s="450" t="n"/>
      <c r="AN226" s="45" t="n"/>
      <c r="AP226" s="45" t="n"/>
      <c r="AQ226" s="12" t="n"/>
      <c r="AR226" s="216" t="n">
        <v>40</v>
      </c>
      <c r="AS226" s="216" t="n"/>
      <c r="AT226" s="216" t="n"/>
      <c r="AU226" s="216">
        <f>N226+O226 + 0</f>
        <v/>
      </c>
      <c r="AW226" s="2">
        <f>SUM(AH226:AI226,AJ226/2,AK226:AL226)</f>
        <v/>
      </c>
      <c r="AX226" s="2">
        <f>AM226*0.5+SUM(AN226:AP226)</f>
        <v/>
      </c>
      <c r="AY226" s="39">
        <f>SUM(-AR226+AS226*0.01+AT226*0.5+AU226)</f>
        <v/>
      </c>
      <c r="AZ226" s="39">
        <f>'0分'!AF223</f>
        <v/>
      </c>
      <c r="BA226" s="39">
        <f>SUM(AY226,AX226,AW226)</f>
        <v/>
      </c>
      <c r="BB226" s="250" t="n"/>
      <c r="BC226" s="79">
        <f t="array" ref="BC226">SUMPRODUCT(--(NOT(ISBLANK('0₦'!D226:M226))), '0₦'!D$2:M$2) +  SUMPRODUCT(--(NOT(ISBLANK('0₦'!Q226:T226))), '0₦'!Q$2:T$2)</f>
        <v/>
      </c>
      <c r="BD226" s="250">
        <f t="array" ref="BD226">SUMPRODUCT(--(NOT(ISBLANK('0₦'!N226:P226))),'0₦'!N$2:P$2)+'0₦'!AY226</f>
        <v/>
      </c>
      <c r="BE226" s="79">
        <f t="array" ref="BE226">SUMPRODUCT(--(NOT(ISBLANK('0₦'!AA226:AC226))),'0₦'!AA$2:AC$2) + BF226</f>
        <v/>
      </c>
      <c r="BF226" s="79" t="n"/>
      <c r="BG226" s="79">
        <f t="array" ref="BG226">SUMPRODUCT(--(NOT(ISBLANK('0₦'!U226:Z226))), '0₦'!U$2:Z$2)</f>
        <v/>
      </c>
      <c r="BH226" s="79" t="n"/>
      <c r="BI226" s="79">
        <f>SUM(BG226:BH226)</f>
        <v/>
      </c>
      <c r="BJ226" s="79" t="n"/>
      <c r="BK226" s="79" t="n"/>
      <c r="BL226" s="79" t="n"/>
      <c r="BM226" s="79" t="n"/>
      <c r="BN226" s="79" t="n"/>
      <c r="BO226" s="79" t="n"/>
      <c r="BP226" s="79" t="n"/>
      <c r="BQ226" s="79" t="n"/>
      <c r="BR226" s="79" t="n"/>
      <c r="BS226" s="79" t="n"/>
      <c r="BT226" s="79" t="n"/>
      <c r="BU226" s="79" t="n"/>
      <c r="BV226" s="79" t="n"/>
      <c r="BW226" s="79" t="n"/>
      <c r="BX226" s="79" t="n"/>
      <c r="BY226" s="79" t="n"/>
      <c r="BZ226" s="79" t="n"/>
      <c r="CA226" s="79" t="n"/>
    </row>
    <row r="227" hidden="1" ht="18.95" customHeight="1" s="37">
      <c r="A227" s="551" t="n"/>
      <c r="B227" s="150" t="inlineStr">
        <is>
          <t>F</t>
        </is>
      </c>
      <c r="C227" s="550">
        <f>C226+1</f>
        <v/>
      </c>
      <c r="G227" s="216" t="n"/>
      <c r="H227" s="57" t="n"/>
      <c r="O227" s="214" t="n"/>
      <c r="P227" s="38" t="n"/>
      <c r="X227" s="20" t="n"/>
      <c r="AF227" s="450" t="n"/>
      <c r="AN227" s="45" t="n"/>
      <c r="AP227" s="45" t="n"/>
      <c r="AQ227" s="12" t="n"/>
      <c r="AR227" s="216" t="n">
        <v>40</v>
      </c>
      <c r="AS227" s="216" t="n"/>
      <c r="AT227" s="216" t="n"/>
      <c r="AU227" s="216">
        <f>N227+O227 + 0</f>
        <v/>
      </c>
      <c r="AW227" s="2">
        <f>SUM(AH227:AI227,AJ227/2,AK227:AL227)</f>
        <v/>
      </c>
      <c r="AX227" s="2">
        <f>AM227*0.5+SUM(AN227:AP227)</f>
        <v/>
      </c>
      <c r="AY227" s="39">
        <f>SUM(-AR227+AS227*0.01+AT227*0.5+AU227)</f>
        <v/>
      </c>
      <c r="AZ227" s="39">
        <f>'0分'!AF224</f>
        <v/>
      </c>
      <c r="BA227" s="39">
        <f>SUM(AY227,AX227,AW227)</f>
        <v/>
      </c>
      <c r="BB227" s="250" t="n"/>
      <c r="BC227" s="79">
        <f t="array" ref="BC227">SUMPRODUCT(--(NOT(ISBLANK('0₦'!D227:M227))), '0₦'!D$2:M$2) +  SUMPRODUCT(--(NOT(ISBLANK('0₦'!Q227:T227))), '0₦'!Q$2:T$2)</f>
        <v/>
      </c>
      <c r="BD227" s="250">
        <f t="array" ref="BD227">SUMPRODUCT(--(NOT(ISBLANK('0₦'!N227:P227))),'0₦'!N$2:P$2)+'0₦'!AY227</f>
        <v/>
      </c>
      <c r="BE227" s="79">
        <f t="array" ref="BE227">SUMPRODUCT(--(NOT(ISBLANK('0₦'!AA227:AC227))),'0₦'!AA$2:AC$2) + BF227</f>
        <v/>
      </c>
      <c r="BF227" s="79" t="n"/>
      <c r="BG227" s="79">
        <f t="array" ref="BG227">SUMPRODUCT(--(NOT(ISBLANK('0₦'!U227:Z227))), '0₦'!U$2:Z$2)</f>
        <v/>
      </c>
      <c r="BH227" s="79" t="n"/>
      <c r="BI227" s="79">
        <f>SUM(BG227:BH227)</f>
        <v/>
      </c>
      <c r="BJ227" s="79" t="n"/>
      <c r="BK227" s="79" t="n"/>
      <c r="BL227" s="79" t="n"/>
      <c r="BM227" s="79" t="n"/>
      <c r="BN227" s="79" t="n"/>
      <c r="BO227" s="79" t="n"/>
      <c r="BP227" s="79" t="n"/>
      <c r="BQ227" s="79" t="n"/>
      <c r="BR227" s="79" t="n"/>
      <c r="BS227" s="79" t="n"/>
      <c r="BT227" s="79" t="n"/>
      <c r="BU227" s="79" t="n"/>
      <c r="BV227" s="79" t="n"/>
      <c r="BW227" s="79" t="n"/>
      <c r="BX227" s="79" t="n"/>
      <c r="BY227" s="79" t="n"/>
      <c r="BZ227" s="79" t="n"/>
      <c r="CA227" s="79" t="n"/>
    </row>
    <row r="228" hidden="1" ht="17.1" customHeight="1" s="37">
      <c r="A228" s="552" t="n"/>
      <c r="B228" s="150" t="inlineStr">
        <is>
          <t>S</t>
        </is>
      </c>
      <c r="C228" s="550">
        <f>C227+1</f>
        <v/>
      </c>
      <c r="G228" s="216" t="n"/>
      <c r="H228" s="57" t="n"/>
      <c r="O228" s="216" t="n"/>
      <c r="T228" s="38" t="n"/>
      <c r="X228" s="20" t="n"/>
      <c r="AF228" s="450" t="n"/>
      <c r="AN228" s="45" t="n"/>
      <c r="AP228" s="45" t="n"/>
      <c r="AQ228" s="12" t="n"/>
      <c r="AR228" s="216" t="n">
        <v>40</v>
      </c>
      <c r="AS228" s="216" t="n"/>
      <c r="AT228" s="216" t="n"/>
      <c r="AU228" s="216">
        <f>N228+O228 + 0</f>
        <v/>
      </c>
      <c r="AW228" s="2">
        <f>SUM(AH228:AI228,AJ228/2,AK228:AL228)</f>
        <v/>
      </c>
      <c r="AX228" s="2">
        <f>AM228*0.5+SUM(AN228:AP228)</f>
        <v/>
      </c>
      <c r="AY228" s="39">
        <f>SUM(-AR228+AS228*0.01+AT228*0.5+AU228)</f>
        <v/>
      </c>
      <c r="AZ228" s="39">
        <f>'0分'!AF225</f>
        <v/>
      </c>
      <c r="BA228" s="39">
        <f>SUM(AY228,AX228,AW228)</f>
        <v/>
      </c>
      <c r="BB228" s="250" t="n"/>
      <c r="BC228" s="79">
        <f t="array" ref="BC228">SUMPRODUCT(--(NOT(ISBLANK('0₦'!D228:M228))), '0₦'!D$2:M$2) +  SUMPRODUCT(--(NOT(ISBLANK('0₦'!Q228:T228))), '0₦'!Q$2:T$2)</f>
        <v/>
      </c>
      <c r="BD228" s="250">
        <f t="array" ref="BD228">SUMPRODUCT(--(NOT(ISBLANK('0₦'!N228:P228))),'0₦'!N$2:P$2)+'0₦'!AY228</f>
        <v/>
      </c>
      <c r="BE228" s="79">
        <f t="array" ref="BE228">SUMPRODUCT(--(NOT(ISBLANK('0₦'!AA228:AC228))),'0₦'!AA$2:AC$2) + BF228</f>
        <v/>
      </c>
      <c r="BF228" s="79" t="n"/>
      <c r="BG228" s="79">
        <f t="array" ref="BG228">SUMPRODUCT(--(NOT(ISBLANK('0₦'!U228:Z228))), '0₦'!U$2:Z$2)</f>
        <v/>
      </c>
      <c r="BH228" s="79" t="n"/>
      <c r="BI228" s="79">
        <f>SUM(BG228:BH228)</f>
        <v/>
      </c>
      <c r="BJ228" s="79" t="n"/>
      <c r="BK228" s="79" t="n"/>
      <c r="BL228" s="79" t="n"/>
      <c r="BM228" s="79" t="n"/>
      <c r="BN228" s="79" t="n"/>
      <c r="BO228" s="79" t="n"/>
      <c r="BP228" s="79" t="n"/>
      <c r="BQ228" s="79" t="n"/>
      <c r="BR228" s="79" t="n"/>
      <c r="BS228" s="79" t="n"/>
      <c r="BT228" s="79" t="n"/>
      <c r="BU228" s="79" t="n"/>
      <c r="BV228" s="79" t="n"/>
      <c r="BW228" s="79" t="n"/>
      <c r="BX228" s="79" t="n"/>
      <c r="BY228" s="79" t="n"/>
      <c r="BZ228" s="79" t="n"/>
      <c r="CA228" s="79" t="n"/>
    </row>
    <row r="229" hidden="1" ht="18" customHeight="1" s="37">
      <c r="A229" s="462">
        <f>A222+0.1</f>
        <v/>
      </c>
      <c r="B229" s="150" t="inlineStr">
        <is>
          <t>S</t>
        </is>
      </c>
      <c r="C229" s="550">
        <f>C228+1</f>
        <v/>
      </c>
      <c r="G229" s="216" t="n"/>
      <c r="H229" s="57" t="n"/>
      <c r="O229" s="216" t="n"/>
      <c r="T229" s="38" t="n"/>
      <c r="X229" s="20" t="n"/>
      <c r="AF229" s="450" t="n"/>
      <c r="AN229" s="45" t="n"/>
      <c r="AP229" s="45" t="n"/>
      <c r="AQ229" s="12" t="n"/>
      <c r="AR229" s="216" t="n">
        <v>40</v>
      </c>
      <c r="AS229" s="216" t="n"/>
      <c r="AT229" s="216" t="n"/>
      <c r="AU229" s="216">
        <f>N229+O229 + 0</f>
        <v/>
      </c>
      <c r="AW229" s="2">
        <f>SUM(AH229:AI229,AJ229/2,AK229:AL229)</f>
        <v/>
      </c>
      <c r="AX229" s="2">
        <f>AM229*0.5+SUM(AN229:AP229)</f>
        <v/>
      </c>
      <c r="AY229" s="39">
        <f>SUM(-AR229+AS229*0.01+AT229*0.5+AU229)</f>
        <v/>
      </c>
      <c r="AZ229" s="39">
        <f>'0分'!AF226</f>
        <v/>
      </c>
      <c r="BA229" s="39">
        <f>SUM(AY229,AX229,AW229)</f>
        <v/>
      </c>
      <c r="BB229" s="250" t="n"/>
      <c r="BC229" s="79">
        <f t="array" ref="BC229">SUMPRODUCT(--(NOT(ISBLANK('0₦'!D229:M229))), '0₦'!D$2:M$2) +  SUMPRODUCT(--(NOT(ISBLANK('0₦'!Q229:T229))), '0₦'!Q$2:T$2)</f>
        <v/>
      </c>
      <c r="BD229" s="250">
        <f t="array" ref="BD229">SUMPRODUCT(--(NOT(ISBLANK('0₦'!N229:P229))),'0₦'!N$2:P$2)+'0₦'!AY229</f>
        <v/>
      </c>
      <c r="BE229" s="79">
        <f t="array" ref="BE229">SUMPRODUCT(--(NOT(ISBLANK('0₦'!AA229:AC229))),'0₦'!AA$2:AC$2) + BF229</f>
        <v/>
      </c>
      <c r="BF229" s="79" t="n"/>
      <c r="BG229" s="79">
        <f t="array" ref="BG229">SUMPRODUCT(--(NOT(ISBLANK('0₦'!U229:Z229))), '0₦'!U$2:Z$2)</f>
        <v/>
      </c>
      <c r="BH229" s="79" t="n"/>
      <c r="BI229" s="79">
        <f>SUM(BG229:BH229)</f>
        <v/>
      </c>
      <c r="BJ229" s="79" t="n"/>
      <c r="BK229" s="79" t="n"/>
      <c r="BL229" s="79" t="n"/>
      <c r="BM229" s="79" t="n"/>
      <c r="BN229" s="79" t="n"/>
      <c r="BO229" s="79" t="n"/>
      <c r="BP229" s="79" t="n"/>
      <c r="BQ229" s="79" t="n"/>
      <c r="BR229" s="79" t="n"/>
      <c r="BS229" s="79" t="n"/>
      <c r="BT229" s="79" t="n"/>
      <c r="BU229" s="79" t="n"/>
      <c r="BV229" s="79" t="n"/>
      <c r="BW229" s="79" t="n"/>
      <c r="BX229" s="79" t="n"/>
      <c r="BY229" s="79" t="n"/>
      <c r="BZ229" s="79" t="n"/>
      <c r="CA229" s="79" t="n"/>
    </row>
    <row r="230" hidden="1" ht="17.1" customHeight="1" s="37">
      <c r="A230" s="551" t="n"/>
      <c r="B230" s="150" t="inlineStr">
        <is>
          <t>M</t>
        </is>
      </c>
      <c r="C230" s="550">
        <f>C229+1</f>
        <v/>
      </c>
      <c r="G230" s="216" t="n"/>
      <c r="H230" s="57" t="n"/>
      <c r="N230" s="38" t="n"/>
      <c r="O230" s="216" t="n"/>
      <c r="X230" s="20" t="n"/>
      <c r="AF230" s="450" t="n"/>
      <c r="AN230" s="45" t="n"/>
      <c r="AP230" s="45" t="n"/>
      <c r="AQ230" s="12" t="n"/>
      <c r="AR230" s="216" t="n">
        <v>40</v>
      </c>
      <c r="AS230" s="216" t="n"/>
      <c r="AT230" s="216" t="n"/>
      <c r="AU230" s="216">
        <f>N230+O230 + 0</f>
        <v/>
      </c>
      <c r="AW230" s="2">
        <f>SUM(AH230:AI230,AJ230/2,AK230:AL230)</f>
        <v/>
      </c>
      <c r="AX230" s="2">
        <f>AM230*0.5+SUM(AN230:AP230)</f>
        <v/>
      </c>
      <c r="AY230" s="39">
        <f>SUM(-AR230+AS230*0.01+AT230*0.5+AU230)</f>
        <v/>
      </c>
      <c r="AZ230" s="39">
        <f>'0分'!AF227</f>
        <v/>
      </c>
      <c r="BA230" s="39">
        <f>SUM(AY230,AX230,AW230)</f>
        <v/>
      </c>
      <c r="BB230" s="250" t="n"/>
      <c r="BC230" s="79">
        <f t="array" ref="BC230">SUMPRODUCT(--(NOT(ISBLANK('0₦'!D230:M230))), '0₦'!D$2:M$2) +  SUMPRODUCT(--(NOT(ISBLANK('0₦'!Q230:T230))), '0₦'!Q$2:T$2)</f>
        <v/>
      </c>
      <c r="BD230" s="250">
        <f t="array" ref="BD230">SUMPRODUCT(--(NOT(ISBLANK('0₦'!N230:P230))),'0₦'!N$2:P$2)+'0₦'!AY230</f>
        <v/>
      </c>
      <c r="BE230" s="79">
        <f t="array" ref="BE230">SUMPRODUCT(--(NOT(ISBLANK('0₦'!AA230:AC230))),'0₦'!AA$2:AC$2) + BF230</f>
        <v/>
      </c>
      <c r="BF230" s="79" t="n"/>
      <c r="BG230" s="79">
        <f t="array" ref="BG230">SUMPRODUCT(--(NOT(ISBLANK('0₦'!U230:Z230))), '0₦'!U$2:Z$2)</f>
        <v/>
      </c>
      <c r="BH230" s="79" t="n"/>
      <c r="BI230" s="79">
        <f>SUM(BG230:BH230)</f>
        <v/>
      </c>
      <c r="BJ230" s="79" t="n"/>
      <c r="BK230" s="79" t="n"/>
      <c r="BL230" s="79" t="n"/>
      <c r="BM230" s="79" t="n"/>
      <c r="BN230" s="79" t="n"/>
      <c r="BO230" s="79" t="n"/>
      <c r="BP230" s="79" t="n"/>
      <c r="BQ230" s="79" t="n"/>
      <c r="BR230" s="79" t="n"/>
      <c r="BS230" s="79" t="n"/>
      <c r="BT230" s="79" t="n"/>
      <c r="BU230" s="79" t="n"/>
      <c r="BV230" s="79" t="n"/>
      <c r="BW230" s="79" t="n"/>
      <c r="BX230" s="79" t="n"/>
      <c r="BY230" s="79" t="n"/>
      <c r="BZ230" s="79" t="n"/>
      <c r="CA230" s="79" t="n"/>
    </row>
    <row r="231" hidden="1" ht="17.1" customHeight="1" s="37">
      <c r="A231" s="551" t="n"/>
      <c r="B231" s="150" t="inlineStr">
        <is>
          <t>T</t>
        </is>
      </c>
      <c r="C231" s="550">
        <f>C230+1</f>
        <v/>
      </c>
      <c r="G231" s="216" t="n"/>
      <c r="H231" s="57" t="n"/>
      <c r="L231" s="38" t="n"/>
      <c r="O231" s="216" t="n"/>
      <c r="T231" s="38" t="n"/>
      <c r="X231" s="20" t="n"/>
      <c r="AF231" s="450" t="n"/>
      <c r="AN231" s="45" t="n"/>
      <c r="AP231" s="45" t="n"/>
      <c r="AQ231" s="12" t="n"/>
      <c r="AR231" s="216" t="n">
        <v>40</v>
      </c>
      <c r="AS231" s="216" t="n"/>
      <c r="AT231" s="216" t="n"/>
      <c r="AU231" s="216">
        <f>N231+O231 + 0</f>
        <v/>
      </c>
      <c r="AW231" s="2">
        <f>SUM(AH231:AI231,AJ231/2,AK231:AL231)</f>
        <v/>
      </c>
      <c r="AX231" s="2">
        <f>AM231*0.5+SUM(AN231:AP231)</f>
        <v/>
      </c>
      <c r="AY231" s="39">
        <f>SUM(-AR231+AS231*0.01+AT231*0.5+AU231)</f>
        <v/>
      </c>
      <c r="AZ231" s="39">
        <f>'0分'!AF228</f>
        <v/>
      </c>
      <c r="BA231" s="39">
        <f>SUM(AY231,AX231,AW231)</f>
        <v/>
      </c>
      <c r="BB231" s="250" t="n"/>
      <c r="BC231" s="79">
        <f t="array" ref="BC231">SUMPRODUCT(--(NOT(ISBLANK('0₦'!D231:M231))), '0₦'!D$2:M$2) +  SUMPRODUCT(--(NOT(ISBLANK('0₦'!Q231:T231))), '0₦'!Q$2:T$2)</f>
        <v/>
      </c>
      <c r="BD231" s="250">
        <f t="array" ref="BD231">SUMPRODUCT(--(NOT(ISBLANK('0₦'!N231:P231))),'0₦'!N$2:P$2)+'0₦'!AY231</f>
        <v/>
      </c>
      <c r="BE231" s="79">
        <f t="array" ref="BE231">SUMPRODUCT(--(NOT(ISBLANK('0₦'!AA231:AC231))),'0₦'!AA$2:AC$2) + BF231</f>
        <v/>
      </c>
      <c r="BF231" s="79" t="n"/>
      <c r="BG231" s="79">
        <f t="array" ref="BG231">SUMPRODUCT(--(NOT(ISBLANK('0₦'!U231:Z231))), '0₦'!U$2:Z$2)</f>
        <v/>
      </c>
      <c r="BH231" s="79" t="n"/>
      <c r="BI231" s="79">
        <f>SUM(BG231:BH231)</f>
        <v/>
      </c>
      <c r="BJ231" s="79" t="n"/>
      <c r="BK231" s="79" t="n"/>
      <c r="BL231" s="79" t="n"/>
      <c r="BM231" s="79" t="n"/>
      <c r="BN231" s="79" t="n"/>
      <c r="BO231" s="79" t="n"/>
      <c r="BP231" s="79" t="n"/>
      <c r="BQ231" s="79" t="n"/>
      <c r="BR231" s="79" t="n"/>
      <c r="BS231" s="79" t="n"/>
      <c r="BT231" s="79" t="n"/>
      <c r="BU231" s="79" t="n"/>
      <c r="BV231" s="79" t="n"/>
      <c r="BW231" s="79" t="n"/>
      <c r="BX231" s="79" t="n"/>
      <c r="BY231" s="79" t="n"/>
      <c r="BZ231" s="79" t="n"/>
      <c r="CA231" s="79" t="n"/>
    </row>
    <row r="232" hidden="1" ht="17.1" customHeight="1" s="37">
      <c r="A232" s="551" t="n"/>
      <c r="B232" s="150" t="inlineStr">
        <is>
          <t>W</t>
        </is>
      </c>
      <c r="C232" s="550">
        <f>C231+1</f>
        <v/>
      </c>
      <c r="G232" s="216" t="n"/>
      <c r="H232" s="57" t="n"/>
      <c r="O232" s="216" t="n"/>
      <c r="X232" s="20" t="n"/>
      <c r="AF232" s="450" t="n"/>
      <c r="AN232" s="45" t="n"/>
      <c r="AP232" s="45" t="n"/>
      <c r="AQ232" s="12" t="n"/>
      <c r="AR232" s="216" t="n">
        <v>40</v>
      </c>
      <c r="AS232" s="216" t="n"/>
      <c r="AT232" s="216" t="n"/>
      <c r="AU232" s="216">
        <f>N232+O232 + 0</f>
        <v/>
      </c>
      <c r="AW232" s="2">
        <f>SUM(AH232:AI232,AJ232/2,AK232:AL232)</f>
        <v/>
      </c>
      <c r="AX232" s="2">
        <f>AM232*0.5+SUM(AN232:AP232)</f>
        <v/>
      </c>
      <c r="AY232" s="39">
        <f>SUM(-AR232+AS232*0.01+AT232*0.5+AU232)</f>
        <v/>
      </c>
      <c r="AZ232" s="39">
        <f>'0分'!AF229</f>
        <v/>
      </c>
      <c r="BA232" s="39">
        <f>SUM(AY232,AX232,AW232)</f>
        <v/>
      </c>
      <c r="BB232" s="250" t="n"/>
      <c r="BC232" s="79">
        <f t="array" ref="BC232">SUMPRODUCT(--(NOT(ISBLANK('0₦'!D232:M232))), '0₦'!D$2:M$2) +  SUMPRODUCT(--(NOT(ISBLANK('0₦'!Q232:T232))), '0₦'!Q$2:T$2)</f>
        <v/>
      </c>
      <c r="BD232" s="250">
        <f t="array" ref="BD232">SUMPRODUCT(--(NOT(ISBLANK('0₦'!N232:P232))),'0₦'!N$2:P$2)+'0₦'!AY232</f>
        <v/>
      </c>
      <c r="BE232" s="79">
        <f t="array" ref="BE232">SUMPRODUCT(--(NOT(ISBLANK('0₦'!AA232:AC232))),'0₦'!AA$2:AC$2) + BF232</f>
        <v/>
      </c>
      <c r="BF232" s="79" t="n"/>
      <c r="BG232" s="79">
        <f t="array" ref="BG232">SUMPRODUCT(--(NOT(ISBLANK('0₦'!U232:Z232))), '0₦'!U$2:Z$2)</f>
        <v/>
      </c>
      <c r="BH232" s="79" t="n"/>
      <c r="BI232" s="79">
        <f>SUM(BG232:BH232)</f>
        <v/>
      </c>
      <c r="BJ232" s="79" t="n"/>
      <c r="BK232" s="79" t="n"/>
      <c r="BL232" s="79" t="n"/>
      <c r="BM232" s="79" t="n"/>
      <c r="BN232" s="79" t="n"/>
      <c r="BO232" s="79" t="n"/>
      <c r="BP232" s="79" t="n"/>
      <c r="BQ232" s="79" t="n"/>
      <c r="BR232" s="79" t="n"/>
      <c r="BS232" s="79" t="n"/>
      <c r="BT232" s="79" t="n"/>
      <c r="BU232" s="79" t="n"/>
      <c r="BV232" s="79" t="n"/>
      <c r="BW232" s="79" t="n"/>
      <c r="BX232" s="79" t="n"/>
      <c r="BY232" s="79" t="n"/>
      <c r="BZ232" s="79" t="n"/>
      <c r="CA232" s="79" t="n"/>
    </row>
    <row r="233" hidden="1" ht="17.1" customHeight="1" s="37">
      <c r="A233" s="551" t="n"/>
      <c r="B233" s="150" t="inlineStr">
        <is>
          <t>Th</t>
        </is>
      </c>
      <c r="C233" s="550">
        <f>C232+1</f>
        <v/>
      </c>
      <c r="G233" s="216" t="n"/>
      <c r="H233" s="57" t="n"/>
      <c r="O233" s="216" t="n"/>
      <c r="T233" s="512" t="n"/>
      <c r="X233" s="20" t="n"/>
      <c r="AF233" s="450" t="n"/>
      <c r="AN233" s="45" t="n"/>
      <c r="AP233" s="45" t="n"/>
      <c r="AQ233" s="12" t="n"/>
      <c r="AR233" s="216" t="n">
        <v>40</v>
      </c>
      <c r="AS233" s="216" t="n"/>
      <c r="AT233" s="216" t="n"/>
      <c r="AU233" s="216">
        <f>N233+O233 + 0</f>
        <v/>
      </c>
      <c r="AW233" s="2">
        <f>SUM(AH233:AI233,AJ233/2,AK233:AL233)</f>
        <v/>
      </c>
      <c r="AX233" s="2">
        <f>AM233*0.5+SUM(AN233:AP233)</f>
        <v/>
      </c>
      <c r="AY233" s="39">
        <f>SUM(-AR233+AS233*0.01+AT233*0.5+AU233)</f>
        <v/>
      </c>
      <c r="AZ233" s="39">
        <f>'0分'!AF230</f>
        <v/>
      </c>
      <c r="BA233" s="39">
        <f>SUM(AY233,AX233,AW233)</f>
        <v/>
      </c>
      <c r="BB233" s="250" t="n"/>
      <c r="BC233" s="79">
        <f t="array" ref="BC233">SUMPRODUCT(--(NOT(ISBLANK('0₦'!D233:M233))), '0₦'!D$2:M$2) +  SUMPRODUCT(--(NOT(ISBLANK('0₦'!Q233:T233))), '0₦'!Q$2:T$2)</f>
        <v/>
      </c>
      <c r="BD233" s="250">
        <f t="array" ref="BD233">SUMPRODUCT(--(NOT(ISBLANK('0₦'!N233:P233))),'0₦'!N$2:P$2)+'0₦'!AY233</f>
        <v/>
      </c>
      <c r="BE233" s="79">
        <f t="array" ref="BE233">SUMPRODUCT(--(NOT(ISBLANK('0₦'!AA233:AC233))),'0₦'!AA$2:AC$2) + BF233</f>
        <v/>
      </c>
      <c r="BF233" s="79" t="n"/>
      <c r="BG233" s="79">
        <f t="array" ref="BG233">SUMPRODUCT(--(NOT(ISBLANK('0₦'!U233:Z233))), '0₦'!U$2:Z$2)</f>
        <v/>
      </c>
      <c r="BH233" s="79" t="n"/>
      <c r="BI233" s="79">
        <f>SUM(BG233:BH233)</f>
        <v/>
      </c>
      <c r="BJ233" s="79" t="n"/>
      <c r="BK233" s="79" t="n"/>
      <c r="BL233" s="79" t="n"/>
      <c r="BM233" s="79" t="n"/>
      <c r="BN233" s="79" t="n"/>
      <c r="BO233" s="79" t="n"/>
      <c r="BP233" s="79" t="n"/>
      <c r="BQ233" s="79" t="n"/>
      <c r="BR233" s="79" t="n"/>
      <c r="BS233" s="79" t="n"/>
      <c r="BT233" s="79" t="n"/>
      <c r="BU233" s="79" t="n"/>
      <c r="BV233" s="79" t="n"/>
      <c r="BW233" s="79" t="n"/>
      <c r="BX233" s="79" t="n"/>
      <c r="BY233" s="79" t="n"/>
      <c r="BZ233" s="79" t="n"/>
      <c r="CA233" s="79" t="n"/>
    </row>
    <row r="234" hidden="1" ht="18.95" customHeight="1" s="37">
      <c r="A234" s="551" t="n"/>
      <c r="B234" s="150" t="inlineStr">
        <is>
          <t>F</t>
        </is>
      </c>
      <c r="C234" s="550">
        <f>C233+1</f>
        <v/>
      </c>
      <c r="G234" s="216" t="n"/>
      <c r="H234" s="57" t="n"/>
      <c r="O234" s="216" t="n"/>
      <c r="X234" s="20" t="n"/>
      <c r="AF234" s="450" t="n"/>
      <c r="AN234" s="45" t="n"/>
      <c r="AP234" s="45" t="n"/>
      <c r="AQ234" s="12" t="n"/>
      <c r="AR234" s="216" t="n">
        <v>40</v>
      </c>
      <c r="AS234" s="216" t="n"/>
      <c r="AT234" s="216" t="n"/>
      <c r="AU234" s="216">
        <f>N234+O234 + 0</f>
        <v/>
      </c>
      <c r="AW234" s="2">
        <f>SUM(AH234:AI234,AJ234/2,AK234:AL234)</f>
        <v/>
      </c>
      <c r="AX234" s="2">
        <f>AM234*0.5+SUM(AN234:AP234)</f>
        <v/>
      </c>
      <c r="AY234" s="39">
        <f>SUM(-AR234+AS234*0.01+AT234*0.5+AU234)</f>
        <v/>
      </c>
      <c r="AZ234" s="39">
        <f>'0分'!AF231</f>
        <v/>
      </c>
      <c r="BA234" s="39">
        <f>SUM(AY234,AX234,AW234)</f>
        <v/>
      </c>
      <c r="BB234" s="250" t="n"/>
      <c r="BC234" s="79">
        <f t="array" ref="BC234">SUMPRODUCT(--(NOT(ISBLANK('0₦'!D234:M234))), '0₦'!D$2:M$2) +  SUMPRODUCT(--(NOT(ISBLANK('0₦'!Q234:T234))), '0₦'!Q$2:T$2)</f>
        <v/>
      </c>
      <c r="BD234" s="250">
        <f t="array" ref="BD234">SUMPRODUCT(--(NOT(ISBLANK('0₦'!N234:P234))),'0₦'!N$2:P$2)+'0₦'!AY234</f>
        <v/>
      </c>
      <c r="BE234" s="79">
        <f t="array" ref="BE234">SUMPRODUCT(--(NOT(ISBLANK('0₦'!AA234:AC234))),'0₦'!AA$2:AC$2) + BF234</f>
        <v/>
      </c>
      <c r="BF234" s="79" t="n"/>
      <c r="BG234" s="79">
        <f t="array" ref="BG234">SUMPRODUCT(--(NOT(ISBLANK('0₦'!U234:Z234))), '0₦'!U$2:Z$2)</f>
        <v/>
      </c>
      <c r="BH234" s="79" t="n"/>
      <c r="BI234" s="79">
        <f>SUM(BG234:BH234)</f>
        <v/>
      </c>
      <c r="BJ234" s="79" t="n"/>
      <c r="BK234" s="79" t="n"/>
      <c r="BL234" s="79" t="n"/>
      <c r="BM234" s="79" t="n"/>
      <c r="BN234" s="79" t="n"/>
      <c r="BO234" s="79" t="n"/>
      <c r="BP234" s="79" t="n"/>
      <c r="BQ234" s="79" t="n"/>
      <c r="BR234" s="79" t="n"/>
      <c r="BS234" s="79" t="n"/>
      <c r="BT234" s="79" t="n"/>
      <c r="BU234" s="79" t="n"/>
      <c r="BV234" s="79" t="n"/>
      <c r="BW234" s="79" t="n"/>
      <c r="BX234" s="79" t="n"/>
      <c r="BY234" s="79" t="n"/>
      <c r="BZ234" s="79" t="n"/>
      <c r="CA234" s="79" t="n"/>
    </row>
    <row r="235" hidden="1" ht="17.1" customHeight="1" s="37">
      <c r="A235" s="552" t="n"/>
      <c r="B235" s="150" t="inlineStr">
        <is>
          <t>S</t>
        </is>
      </c>
      <c r="C235" s="550">
        <f>C234+1</f>
        <v/>
      </c>
      <c r="G235" s="216" t="n"/>
      <c r="H235" s="57" t="n"/>
      <c r="O235" s="216" t="n"/>
      <c r="X235" s="20" t="n"/>
      <c r="AF235" s="450" t="n"/>
      <c r="AN235" s="45" t="n"/>
      <c r="AP235" s="45" t="n"/>
      <c r="AQ235" s="12" t="n"/>
      <c r="AR235" s="216" t="n">
        <v>40</v>
      </c>
      <c r="AS235" s="216" t="n"/>
      <c r="AT235" s="216" t="n"/>
      <c r="AU235" s="216">
        <f>N235+O235 + 0</f>
        <v/>
      </c>
      <c r="AW235" s="2">
        <f>SUM(AH235:AI235,AJ235/2,AK235:AL235)</f>
        <v/>
      </c>
      <c r="AX235" s="2">
        <f>AM235*0.5+SUM(AN235:AP235)</f>
        <v/>
      </c>
      <c r="AY235" s="39">
        <f>SUM(-AR235+AS235*0.01+AT235*0.5+AU235)</f>
        <v/>
      </c>
      <c r="AZ235" s="39">
        <f>'0分'!AF232</f>
        <v/>
      </c>
      <c r="BA235" s="39">
        <f>SUM(AY235,AX235,AW235)</f>
        <v/>
      </c>
      <c r="BB235" s="250" t="n"/>
      <c r="BC235" s="79">
        <f t="array" ref="BC235">SUMPRODUCT(--(NOT(ISBLANK('0₦'!D235:M235))), '0₦'!D$2:M$2) +  SUMPRODUCT(--(NOT(ISBLANK('0₦'!Q235:T235))), '0₦'!Q$2:T$2)</f>
        <v/>
      </c>
      <c r="BD235" s="250">
        <f t="array" ref="BD235">SUMPRODUCT(--(NOT(ISBLANK('0₦'!N235:P235))),'0₦'!N$2:P$2)+'0₦'!AY235</f>
        <v/>
      </c>
      <c r="BE235" s="79">
        <f t="array" ref="BE235">SUMPRODUCT(--(NOT(ISBLANK('0₦'!AA235:AC235))),'0₦'!AA$2:AC$2) + BF235</f>
        <v/>
      </c>
      <c r="BF235" s="79" t="n"/>
      <c r="BG235" s="79">
        <f t="array" ref="BG235">SUMPRODUCT(--(NOT(ISBLANK('0₦'!U235:Z235))), '0₦'!U$2:Z$2)</f>
        <v/>
      </c>
      <c r="BH235" s="79" t="n"/>
      <c r="BI235" s="79">
        <f>SUM(BG235:BH235)</f>
        <v/>
      </c>
      <c r="BJ235" s="79" t="n"/>
      <c r="BK235" s="79" t="n"/>
      <c r="BL235" s="79" t="n"/>
      <c r="BM235" s="79" t="n"/>
      <c r="BN235" s="79" t="n"/>
      <c r="BO235" s="79" t="n"/>
      <c r="BP235" s="79" t="n"/>
      <c r="BQ235" s="79" t="n"/>
      <c r="BR235" s="79" t="n"/>
      <c r="BS235" s="79" t="n"/>
      <c r="BT235" s="79" t="n"/>
      <c r="BU235" s="79" t="n"/>
      <c r="BV235" s="79" t="n"/>
      <c r="BW235" s="79" t="n"/>
      <c r="BX235" s="79" t="n"/>
      <c r="BY235" s="79" t="n"/>
      <c r="BZ235" s="79" t="n"/>
      <c r="CA235" s="79" t="n"/>
    </row>
    <row r="236" hidden="1" ht="17.1" customHeight="1" s="37">
      <c r="A236" s="462">
        <f>A229+0.1</f>
        <v/>
      </c>
      <c r="B236" s="150" t="inlineStr">
        <is>
          <t>S</t>
        </is>
      </c>
      <c r="C236" s="550">
        <f>C235+1</f>
        <v/>
      </c>
      <c r="G236" s="216" t="n"/>
      <c r="H236" s="57" t="n"/>
      <c r="O236" s="216" t="n"/>
      <c r="X236" s="20" t="n"/>
      <c r="AF236" s="450" t="n"/>
      <c r="AN236" s="45" t="n"/>
      <c r="AP236" s="45" t="n"/>
      <c r="AQ236" s="12" t="n"/>
      <c r="AR236" s="216" t="n">
        <v>40</v>
      </c>
      <c r="AS236" s="216" t="n"/>
      <c r="AT236" s="216" t="n"/>
      <c r="AU236" s="216">
        <f>N236+O236 + 0</f>
        <v/>
      </c>
      <c r="AW236" s="2">
        <f>SUM(AH236:AI236,AJ236/2,AK236:AL236)</f>
        <v/>
      </c>
      <c r="AX236" s="2">
        <f>AM236*0.5+SUM(AN236:AP236)</f>
        <v/>
      </c>
      <c r="AY236" s="39">
        <f>SUM(-AR236+AS236*0.01+AT236*0.5+AU236)</f>
        <v/>
      </c>
      <c r="AZ236" s="39">
        <f>'0分'!AF233</f>
        <v/>
      </c>
      <c r="BA236" s="39">
        <f>SUM(AY236,AX236,AW236)</f>
        <v/>
      </c>
      <c r="BB236" s="250" t="n"/>
      <c r="BC236" s="79">
        <f t="array" ref="BC236">SUMPRODUCT(--(NOT(ISBLANK('0₦'!D236:M236))), '0₦'!D$2:M$2) +  SUMPRODUCT(--(NOT(ISBLANK('0₦'!Q236:T236))), '0₦'!Q$2:T$2)</f>
        <v/>
      </c>
      <c r="BD236" s="250">
        <f t="array" ref="BD236">SUMPRODUCT(--(NOT(ISBLANK('0₦'!N236:P236))),'0₦'!N$2:P$2)+'0₦'!AY236</f>
        <v/>
      </c>
      <c r="BE236" s="79">
        <f t="array" ref="BE236">SUMPRODUCT(--(NOT(ISBLANK('0₦'!AA236:AC236))),'0₦'!AA$2:AC$2) + BF236</f>
        <v/>
      </c>
      <c r="BF236" s="79" t="n"/>
      <c r="BG236" s="79">
        <f t="array" ref="BG236">SUMPRODUCT(--(NOT(ISBLANK('0₦'!U236:Z236))), '0₦'!U$2:Z$2)</f>
        <v/>
      </c>
      <c r="BH236" s="79" t="n"/>
      <c r="BI236" s="79">
        <f>SUM(BG236:BH236)</f>
        <v/>
      </c>
      <c r="BJ236" s="79" t="n"/>
      <c r="BK236" s="79" t="n"/>
      <c r="BL236" s="79" t="n"/>
      <c r="BM236" s="79" t="n"/>
      <c r="BN236" s="79" t="n"/>
      <c r="BO236" s="79" t="n"/>
      <c r="BP236" s="79" t="n"/>
      <c r="BQ236" s="79" t="n"/>
      <c r="BR236" s="79" t="n"/>
      <c r="BS236" s="79" t="n"/>
      <c r="BT236" s="79" t="n"/>
      <c r="BU236" s="79" t="n"/>
      <c r="BV236" s="79" t="n"/>
      <c r="BW236" s="79" t="n"/>
      <c r="BX236" s="79" t="n"/>
      <c r="BY236" s="79" t="n"/>
      <c r="BZ236" s="79" t="n"/>
      <c r="CA236" s="79" t="n"/>
    </row>
    <row r="237" hidden="1" ht="17.1" customHeight="1" s="37">
      <c r="A237" s="551" t="n"/>
      <c r="B237" s="150" t="inlineStr">
        <is>
          <t>M</t>
        </is>
      </c>
      <c r="C237" s="550">
        <f>C236+1</f>
        <v/>
      </c>
      <c r="G237" s="216" t="n"/>
      <c r="H237" s="57" t="n"/>
      <c r="O237" s="216" t="n"/>
      <c r="X237" s="20" t="n"/>
      <c r="AF237" s="450" t="n"/>
      <c r="AN237" s="45" t="n"/>
      <c r="AP237" s="45" t="n"/>
      <c r="AQ237" s="12" t="n"/>
      <c r="AR237" s="216" t="n">
        <v>40</v>
      </c>
      <c r="AS237" s="216" t="n"/>
      <c r="AT237" s="216" t="n"/>
      <c r="AU237" s="216">
        <f>N237+O237 + 0</f>
        <v/>
      </c>
      <c r="AW237" s="2">
        <f>SUM(AH237:AI237,AJ237/2,AK237:AL237)</f>
        <v/>
      </c>
      <c r="AX237" s="2">
        <f>AM237*0.5+SUM(AN237:AP237)</f>
        <v/>
      </c>
      <c r="AY237" s="39">
        <f>SUM(-AR237+AS237*0.01+AT237*0.5+AU237)</f>
        <v/>
      </c>
      <c r="AZ237" s="39">
        <f>'0分'!AF234</f>
        <v/>
      </c>
      <c r="BA237" s="39">
        <f>SUM(AY237,AX237,AW237)</f>
        <v/>
      </c>
      <c r="BB237" s="250" t="n"/>
      <c r="BC237" s="79">
        <f t="array" ref="BC237">SUMPRODUCT(--(NOT(ISBLANK('0₦'!D237:M237))), '0₦'!D$2:M$2) +  SUMPRODUCT(--(NOT(ISBLANK('0₦'!Q237:T237))), '0₦'!Q$2:T$2)</f>
        <v/>
      </c>
      <c r="BD237" s="250">
        <f t="array" ref="BD237">SUMPRODUCT(--(NOT(ISBLANK('0₦'!N237:P237))),'0₦'!N$2:P$2)+'0₦'!AY237</f>
        <v/>
      </c>
      <c r="BE237" s="79">
        <f t="array" ref="BE237">SUMPRODUCT(--(NOT(ISBLANK('0₦'!AA237:AC237))),'0₦'!AA$2:AC$2) + BF237</f>
        <v/>
      </c>
      <c r="BF237" s="79" t="n"/>
      <c r="BG237" s="79">
        <f t="array" ref="BG237">SUMPRODUCT(--(NOT(ISBLANK('0₦'!U237:Z237))), '0₦'!U$2:Z$2)</f>
        <v/>
      </c>
      <c r="BH237" s="79" t="n"/>
      <c r="BI237" s="79">
        <f>SUM(BG237:BH237)</f>
        <v/>
      </c>
      <c r="BJ237" s="79" t="n"/>
      <c r="BK237" s="79" t="n"/>
      <c r="BL237" s="79" t="n"/>
      <c r="BM237" s="79" t="n"/>
      <c r="BN237" s="79" t="n"/>
      <c r="BO237" s="79" t="n"/>
      <c r="BP237" s="79" t="n"/>
      <c r="BQ237" s="79" t="n"/>
      <c r="BR237" s="79" t="n"/>
      <c r="BS237" s="79" t="n"/>
      <c r="BT237" s="79" t="n"/>
      <c r="BU237" s="79" t="n"/>
      <c r="BV237" s="79" t="n"/>
      <c r="BW237" s="79" t="n"/>
      <c r="BX237" s="79" t="n"/>
      <c r="BY237" s="79" t="n"/>
      <c r="BZ237" s="79" t="n"/>
      <c r="CA237" s="79" t="n"/>
    </row>
    <row r="238" hidden="1" ht="17.1" customHeight="1" s="37">
      <c r="A238" s="551" t="n"/>
      <c r="B238" s="150" t="inlineStr">
        <is>
          <t>T</t>
        </is>
      </c>
      <c r="C238" s="550">
        <f>C237+1</f>
        <v/>
      </c>
      <c r="G238" s="216" t="n"/>
      <c r="H238" s="57" t="n"/>
      <c r="M238" s="38" t="n"/>
      <c r="O238" s="216" t="n"/>
      <c r="P238" s="38" t="n"/>
      <c r="R238" s="38" t="n"/>
      <c r="X238" s="20" t="n"/>
      <c r="AF238" s="450" t="n"/>
      <c r="AN238" s="45" t="n"/>
      <c r="AP238" s="45" t="n"/>
      <c r="AQ238" s="12" t="n"/>
      <c r="AR238" s="216" t="n">
        <v>40</v>
      </c>
      <c r="AS238" s="216" t="n"/>
      <c r="AT238" s="216" t="n"/>
      <c r="AU238" s="216">
        <f>N238+O238 + 0</f>
        <v/>
      </c>
      <c r="AW238" s="2">
        <f>SUM(AH238:AI238,AJ238/2,AK238:AL238)</f>
        <v/>
      </c>
      <c r="AX238" s="2">
        <f>AM238*0.5+SUM(AN238:AP238)</f>
        <v/>
      </c>
      <c r="AY238" s="39">
        <f>SUM(-AR238+AS238*0.01+AT238*0.5+AU238)</f>
        <v/>
      </c>
      <c r="AZ238" s="39">
        <f>'0分'!AF235</f>
        <v/>
      </c>
      <c r="BA238" s="39">
        <f>SUM(AY238,AX238,AW238)</f>
        <v/>
      </c>
      <c r="BB238" s="250" t="n"/>
      <c r="BC238" s="79">
        <f t="array" ref="BC238">SUMPRODUCT(--(NOT(ISBLANK('0₦'!D238:M238))), '0₦'!D$2:M$2) +  SUMPRODUCT(--(NOT(ISBLANK('0₦'!Q238:T238))), '0₦'!Q$2:T$2)</f>
        <v/>
      </c>
      <c r="BD238" s="250">
        <f t="array" ref="BD238">SUMPRODUCT(--(NOT(ISBLANK('0₦'!N238:P238))),'0₦'!N$2:P$2)+'0₦'!AY238</f>
        <v/>
      </c>
      <c r="BE238" s="79">
        <f t="array" ref="BE238">SUMPRODUCT(--(NOT(ISBLANK('0₦'!AA238:AC238))),'0₦'!AA$2:AC$2) + BF238</f>
        <v/>
      </c>
      <c r="BF238" s="79" t="n"/>
      <c r="BG238" s="79">
        <f t="array" ref="BG238">SUMPRODUCT(--(NOT(ISBLANK('0₦'!U238:Z238))), '0₦'!U$2:Z$2)</f>
        <v/>
      </c>
      <c r="BH238" s="79" t="n"/>
      <c r="BI238" s="79">
        <f>SUM(BG238:BH238)</f>
        <v/>
      </c>
      <c r="BJ238" s="79" t="n"/>
      <c r="BK238" s="79" t="n"/>
      <c r="BL238" s="79" t="n"/>
      <c r="BM238" s="79" t="n"/>
      <c r="BN238" s="79" t="n"/>
      <c r="BO238" s="79" t="n"/>
      <c r="BP238" s="79" t="n"/>
      <c r="BQ238" s="79" t="n"/>
      <c r="BR238" s="79" t="n"/>
      <c r="BS238" s="79" t="n"/>
      <c r="BT238" s="79" t="n"/>
      <c r="BU238" s="79" t="n"/>
      <c r="BV238" s="79" t="n"/>
      <c r="BW238" s="79" t="n"/>
      <c r="BX238" s="79" t="n"/>
      <c r="BY238" s="79" t="n"/>
      <c r="BZ238" s="79" t="n"/>
      <c r="CA238" s="79" t="n"/>
    </row>
    <row r="239" hidden="1" ht="17.1" customHeight="1" s="37">
      <c r="A239" s="551" t="n"/>
      <c r="B239" s="150" t="inlineStr">
        <is>
          <t>W</t>
        </is>
      </c>
      <c r="C239" s="550">
        <f>C238+1</f>
        <v/>
      </c>
      <c r="G239" s="216" t="n"/>
      <c r="H239" s="57" t="n"/>
      <c r="O239" s="214" t="n"/>
      <c r="X239" s="20" t="n"/>
      <c r="AF239" s="450" t="n"/>
      <c r="AN239" s="45" t="n"/>
      <c r="AP239" s="45" t="n"/>
      <c r="AQ239" s="12" t="n"/>
      <c r="AR239" s="216" t="n">
        <v>40</v>
      </c>
      <c r="AS239" s="216" t="n"/>
      <c r="AT239" s="216" t="n"/>
      <c r="AU239" s="216">
        <f>N239+O239 + 0</f>
        <v/>
      </c>
      <c r="AW239" s="2">
        <f>SUM(AH239:AI239,AJ239/2,AK239:AL239)</f>
        <v/>
      </c>
      <c r="AX239" s="2">
        <f>AM239*0.5+SUM(AN239:AP239)</f>
        <v/>
      </c>
      <c r="AY239" s="39">
        <f>SUM(-AR239+AS239*0.01+AT239*0.5+AU239)</f>
        <v/>
      </c>
      <c r="AZ239" s="39">
        <f>'0分'!AF236</f>
        <v/>
      </c>
      <c r="BA239" s="39">
        <f>SUM(AY239,AX239,AW239)</f>
        <v/>
      </c>
      <c r="BB239" s="250" t="n"/>
      <c r="BC239" s="79">
        <f t="array" ref="BC239">SUMPRODUCT(--(NOT(ISBLANK('0₦'!D239:M239))), '0₦'!D$2:M$2) +  SUMPRODUCT(--(NOT(ISBLANK('0₦'!Q239:T239))), '0₦'!Q$2:T$2)</f>
        <v/>
      </c>
      <c r="BD239" s="250">
        <f t="array" ref="BD239">SUMPRODUCT(--(NOT(ISBLANK('0₦'!N239:P239))),'0₦'!N$2:P$2)+'0₦'!AY239</f>
        <v/>
      </c>
      <c r="BE239" s="79">
        <f t="array" ref="BE239">SUMPRODUCT(--(NOT(ISBLANK('0₦'!AA239:AC239))),'0₦'!AA$2:AC$2) + BF239</f>
        <v/>
      </c>
      <c r="BF239" s="79" t="n"/>
      <c r="BG239" s="79">
        <f t="array" ref="BG239">SUMPRODUCT(--(NOT(ISBLANK('0₦'!U239:Z239))), '0₦'!U$2:Z$2)</f>
        <v/>
      </c>
      <c r="BH239" s="79" t="n"/>
      <c r="BI239" s="79">
        <f>SUM(BG239:BH239)</f>
        <v/>
      </c>
      <c r="BJ239" s="79" t="n"/>
      <c r="BK239" s="79" t="n"/>
      <c r="BL239" s="79" t="n"/>
      <c r="BM239" s="79" t="n"/>
      <c r="BN239" s="79" t="n"/>
      <c r="BO239" s="79" t="n"/>
      <c r="BP239" s="79" t="n"/>
      <c r="BQ239" s="79" t="n"/>
      <c r="BR239" s="79" t="n"/>
      <c r="BS239" s="79" t="n"/>
      <c r="BT239" s="79" t="n"/>
      <c r="BU239" s="79" t="n"/>
      <c r="BV239" s="79" t="n"/>
      <c r="BW239" s="79" t="n"/>
      <c r="BX239" s="79" t="n"/>
      <c r="BY239" s="79" t="n"/>
      <c r="BZ239" s="79" t="n"/>
      <c r="CA239" s="79" t="n"/>
    </row>
    <row r="240" hidden="1" ht="18" customHeight="1" s="37">
      <c r="A240" s="551" t="n"/>
      <c r="B240" s="150" t="inlineStr">
        <is>
          <t>Th</t>
        </is>
      </c>
      <c r="C240" s="550">
        <f>C239+1</f>
        <v/>
      </c>
      <c r="G240" s="216" t="n"/>
      <c r="H240" s="57" t="n"/>
      <c r="O240" s="216" t="n"/>
      <c r="X240" s="20" t="n"/>
      <c r="AF240" s="450" t="n"/>
      <c r="AN240" s="45" t="n"/>
      <c r="AP240" s="45" t="n"/>
      <c r="AQ240" s="12" t="n"/>
      <c r="AR240" s="216" t="n">
        <v>40</v>
      </c>
      <c r="AS240" s="216" t="n"/>
      <c r="AT240" s="216" t="n"/>
      <c r="AU240" s="216">
        <f>N240+O240 + 0</f>
        <v/>
      </c>
      <c r="AW240" s="2">
        <f>SUM(AH240:AI240,AJ240/2,AK240:AL240)</f>
        <v/>
      </c>
      <c r="AX240" s="2">
        <f>AM240*0.5+SUM(AN240:AP240)</f>
        <v/>
      </c>
      <c r="AY240" s="39">
        <f>SUM(-AR240+AS240*0.01+AT240*0.5+AU240)</f>
        <v/>
      </c>
      <c r="AZ240" s="39">
        <f>'0分'!AF237</f>
        <v/>
      </c>
      <c r="BA240" s="39">
        <f>SUM(AY240,AX240,AW240)</f>
        <v/>
      </c>
      <c r="BB240" s="250" t="n"/>
      <c r="BC240" s="79">
        <f t="array" ref="BC240">SUMPRODUCT(--(NOT(ISBLANK('0₦'!D240:M240))), '0₦'!D$2:M$2) +  SUMPRODUCT(--(NOT(ISBLANK('0₦'!Q240:T240))), '0₦'!Q$2:T$2)</f>
        <v/>
      </c>
      <c r="BD240" s="250">
        <f t="array" ref="BD240">SUMPRODUCT(--(NOT(ISBLANK('0₦'!N240:P240))),'0₦'!N$2:P$2)+'0₦'!AY240</f>
        <v/>
      </c>
      <c r="BE240" s="79">
        <f t="array" ref="BE240">SUMPRODUCT(--(NOT(ISBLANK('0₦'!AA240:AC240))),'0₦'!AA$2:AC$2) + BF240</f>
        <v/>
      </c>
      <c r="BF240" s="79" t="n"/>
      <c r="BG240" s="79">
        <f t="array" ref="BG240">SUMPRODUCT(--(NOT(ISBLANK('0₦'!U240:Z240))), '0₦'!U$2:Z$2)</f>
        <v/>
      </c>
      <c r="BH240" s="79" t="n"/>
      <c r="BI240" s="79">
        <f>SUM(BG240:BH240)</f>
        <v/>
      </c>
      <c r="BJ240" s="79" t="n"/>
      <c r="BK240" s="79" t="n"/>
      <c r="BL240" s="79" t="n"/>
      <c r="BM240" s="79" t="n"/>
      <c r="BN240" s="79" t="n"/>
      <c r="BO240" s="79" t="n"/>
      <c r="BP240" s="79" t="n"/>
      <c r="BQ240" s="79" t="n"/>
      <c r="BR240" s="79" t="n"/>
      <c r="BS240" s="79" t="n"/>
      <c r="BT240" s="79" t="n"/>
      <c r="BU240" s="79" t="n"/>
      <c r="BV240" s="79" t="n"/>
      <c r="BW240" s="79" t="n"/>
      <c r="BX240" s="79" t="n"/>
      <c r="BY240" s="79" t="n"/>
      <c r="BZ240" s="79" t="n"/>
      <c r="CA240" s="79" t="n"/>
    </row>
    <row r="241" hidden="1" ht="20.1" customHeight="1" s="37">
      <c r="A241" s="551" t="n"/>
      <c r="B241" s="150" t="inlineStr">
        <is>
          <t>F</t>
        </is>
      </c>
      <c r="C241" s="550">
        <f>C240+1</f>
        <v/>
      </c>
      <c r="G241" s="216" t="n"/>
      <c r="H241" s="57" t="n"/>
      <c r="O241" s="216" t="n"/>
      <c r="T241" s="38" t="n"/>
      <c r="X241" s="20" t="n"/>
      <c r="AF241" s="450" t="n"/>
      <c r="AN241" s="45" t="n"/>
      <c r="AP241" s="45" t="n"/>
      <c r="AQ241" s="12" t="n"/>
      <c r="AR241" s="216" t="n">
        <v>40</v>
      </c>
      <c r="AS241" s="216" t="n"/>
      <c r="AT241" s="216" t="n"/>
      <c r="AU241" s="216">
        <f>N241+O241 + 0</f>
        <v/>
      </c>
      <c r="AW241" s="2">
        <f>SUM(AH241:AI241,AJ241/2,AK241:AL241)</f>
        <v/>
      </c>
      <c r="AX241" s="2">
        <f>AM241*0.5+SUM(AN241:AP241)</f>
        <v/>
      </c>
      <c r="AY241" s="39">
        <f>SUM(-AR241+AS241*0.01+AT241*0.5+AU241)</f>
        <v/>
      </c>
      <c r="AZ241" s="39">
        <f>'0分'!AF238</f>
        <v/>
      </c>
      <c r="BA241" s="39">
        <f>SUM(AY241,AX241,AW241)</f>
        <v/>
      </c>
      <c r="BB241" s="250" t="n"/>
      <c r="BC241" s="79">
        <f t="array" ref="BC241">SUMPRODUCT(--(NOT(ISBLANK('0₦'!D241:M241))), '0₦'!D$2:M$2) +  SUMPRODUCT(--(NOT(ISBLANK('0₦'!Q241:T241))), '0₦'!Q$2:T$2)</f>
        <v/>
      </c>
      <c r="BD241" s="250">
        <f t="array" ref="BD241">SUMPRODUCT(--(NOT(ISBLANK('0₦'!N241:P241))),'0₦'!N$2:P$2)+'0₦'!AY241</f>
        <v/>
      </c>
      <c r="BE241" s="79">
        <f t="array" ref="BE241">SUMPRODUCT(--(NOT(ISBLANK('0₦'!AA241:AC241))),'0₦'!AA$2:AC$2) + BF241</f>
        <v/>
      </c>
      <c r="BF241" s="79" t="n"/>
      <c r="BG241" s="79">
        <f t="array" ref="BG241">SUMPRODUCT(--(NOT(ISBLANK('0₦'!U241:Z241))), '0₦'!U$2:Z$2)</f>
        <v/>
      </c>
      <c r="BH241" s="79" t="n"/>
      <c r="BI241" s="79">
        <f>SUM(BG241:BH241)</f>
        <v/>
      </c>
      <c r="BJ241" s="79" t="n"/>
      <c r="BK241" s="79" t="n"/>
      <c r="BL241" s="79" t="n"/>
      <c r="BM241" s="79" t="n"/>
      <c r="BN241" s="79" t="n"/>
      <c r="BO241" s="79" t="n"/>
      <c r="BP241" s="79" t="n"/>
      <c r="BQ241" s="79" t="n"/>
      <c r="BR241" s="79" t="n"/>
      <c r="BS241" s="79" t="n"/>
      <c r="BT241" s="79" t="n"/>
      <c r="BU241" s="79" t="n"/>
      <c r="BV241" s="79" t="n"/>
      <c r="BW241" s="79" t="n"/>
      <c r="BX241" s="79" t="n"/>
      <c r="BY241" s="79" t="n"/>
      <c r="BZ241" s="79" t="n"/>
      <c r="CA241" s="79" t="n"/>
    </row>
    <row r="242" hidden="1" ht="17.1" customHeight="1" s="37">
      <c r="A242" s="552" t="n"/>
      <c r="B242" s="150" t="inlineStr">
        <is>
          <t>S</t>
        </is>
      </c>
      <c r="C242" s="550">
        <f>C241+1</f>
        <v/>
      </c>
      <c r="G242" s="216" t="n"/>
      <c r="H242" s="57" t="n"/>
      <c r="O242" s="216" t="n"/>
      <c r="X242" s="20" t="n"/>
      <c r="AF242" s="450" t="n"/>
      <c r="AN242" s="45" t="n"/>
      <c r="AP242" s="45" t="n"/>
      <c r="AQ242" s="12" t="n"/>
      <c r="AR242" s="216" t="n">
        <v>40</v>
      </c>
      <c r="AS242" s="216" t="n"/>
      <c r="AT242" s="216" t="n"/>
      <c r="AU242" s="216">
        <f>N242+O242 + 0</f>
        <v/>
      </c>
      <c r="AW242" s="2">
        <f>SUM(AH242:AI242,AJ242/2,AK242:AL242)</f>
        <v/>
      </c>
      <c r="AX242" s="2">
        <f>AM242*0.5+SUM(AN242:AP242)</f>
        <v/>
      </c>
      <c r="AY242" s="39">
        <f>SUM(-AR242+AS242*0.01+AT242*0.5+AU242)</f>
        <v/>
      </c>
      <c r="AZ242" s="39">
        <f>'0分'!AF239</f>
        <v/>
      </c>
      <c r="BA242" s="39">
        <f>SUM(AY242,AX242,AW242)</f>
        <v/>
      </c>
      <c r="BB242" s="250" t="n"/>
      <c r="BC242" s="79">
        <f t="array" ref="BC242">SUMPRODUCT(--(NOT(ISBLANK('0₦'!D242:M242))), '0₦'!D$2:M$2) +  SUMPRODUCT(--(NOT(ISBLANK('0₦'!Q242:T242))), '0₦'!Q$2:T$2)</f>
        <v/>
      </c>
      <c r="BD242" s="250">
        <f t="array" ref="BD242">SUMPRODUCT(--(NOT(ISBLANK('0₦'!N242:P242))),'0₦'!N$2:P$2)+'0₦'!AY242</f>
        <v/>
      </c>
      <c r="BE242" s="79">
        <f t="array" ref="BE242">SUMPRODUCT(--(NOT(ISBLANK('0₦'!AA242:AC242))),'0₦'!AA$2:AC$2) + BF242</f>
        <v/>
      </c>
      <c r="BF242" s="79" t="n"/>
      <c r="BG242" s="79">
        <f t="array" ref="BG242">SUMPRODUCT(--(NOT(ISBLANK('0₦'!U242:Z242))), '0₦'!U$2:Z$2)</f>
        <v/>
      </c>
      <c r="BH242" s="79" t="n"/>
      <c r="BI242" s="79">
        <f>SUM(BG242:BH242)</f>
        <v/>
      </c>
      <c r="BJ242" s="79" t="n"/>
      <c r="BK242" s="79" t="n"/>
      <c r="BL242" s="79" t="n"/>
      <c r="BM242" s="79" t="n"/>
      <c r="BN242" s="79" t="n"/>
      <c r="BO242" s="79" t="n"/>
      <c r="BP242" s="79" t="n"/>
      <c r="BQ242" s="79" t="n"/>
      <c r="BR242" s="79" t="n"/>
      <c r="BS242" s="79" t="n"/>
      <c r="BT242" s="79" t="n"/>
      <c r="BU242" s="79" t="n"/>
      <c r="BV242" s="79" t="n"/>
      <c r="BW242" s="79" t="n"/>
      <c r="BX242" s="79" t="n"/>
      <c r="BY242" s="79" t="n"/>
      <c r="BZ242" s="79" t="n"/>
      <c r="CA242" s="79" t="n"/>
    </row>
    <row r="243" hidden="1" ht="17.1" customHeight="1" s="37">
      <c r="A243" s="462">
        <f>A215+1</f>
        <v/>
      </c>
      <c r="B243" s="150" t="inlineStr">
        <is>
          <t>S</t>
        </is>
      </c>
      <c r="C243" s="550">
        <f>C242+1</f>
        <v/>
      </c>
      <c r="G243" s="216" t="n"/>
      <c r="H243" s="57" t="n"/>
      <c r="O243" s="216" t="n"/>
      <c r="X243" s="20" t="n"/>
      <c r="AF243" s="450" t="n"/>
      <c r="AN243" s="45" t="n"/>
      <c r="AP243" s="45" t="n"/>
      <c r="AQ243" s="12" t="n"/>
      <c r="AR243" s="216" t="n">
        <v>40</v>
      </c>
      <c r="AS243" s="216" t="n"/>
      <c r="AT243" s="216" t="n"/>
      <c r="AU243" s="216">
        <f>N243+O243 + 0</f>
        <v/>
      </c>
      <c r="AW243" s="2">
        <f>SUM(AH243:AI243,AJ243/2,AK243:AL243)</f>
        <v/>
      </c>
      <c r="AX243" s="2">
        <f>AM243*0.5+SUM(AN243:AP243)</f>
        <v/>
      </c>
      <c r="AY243" s="39">
        <f>SUM(-AR243+AS243*0.01+AT243*0.5+AU243)</f>
        <v/>
      </c>
      <c r="AZ243" s="39">
        <f>'0分'!AF240</f>
        <v/>
      </c>
      <c r="BA243" s="39">
        <f>SUM(AY243,AX243,AW243)</f>
        <v/>
      </c>
      <c r="BB243" s="250" t="n"/>
      <c r="BC243" s="79">
        <f t="array" ref="BC243">SUMPRODUCT(--(NOT(ISBLANK('0₦'!D243:M243))), '0₦'!D$2:M$2) +  SUMPRODUCT(--(NOT(ISBLANK('0₦'!Q243:T243))), '0₦'!Q$2:T$2)</f>
        <v/>
      </c>
      <c r="BD243" s="250">
        <f t="array" ref="BD243">SUMPRODUCT(--(NOT(ISBLANK('0₦'!N243:P243))),'0₦'!N$2:P$2)+'0₦'!AY243</f>
        <v/>
      </c>
      <c r="BE243" s="79">
        <f t="array" ref="BE243">SUMPRODUCT(--(NOT(ISBLANK('0₦'!AA243:AC243))),'0₦'!AA$2:AC$2) + BF243</f>
        <v/>
      </c>
      <c r="BF243" s="79" t="n"/>
      <c r="BG243" s="79">
        <f t="array" ref="BG243">SUMPRODUCT(--(NOT(ISBLANK('0₦'!U243:Z243))), '0₦'!U$2:Z$2)</f>
        <v/>
      </c>
      <c r="BH243" s="79" t="n"/>
      <c r="BI243" s="79">
        <f>SUM(BG243:BH243)</f>
        <v/>
      </c>
      <c r="BJ243" s="79" t="n"/>
      <c r="BK243" s="79" t="n"/>
      <c r="BL243" s="79" t="n"/>
      <c r="BM243" s="79" t="n"/>
      <c r="BN243" s="79" t="n"/>
      <c r="BO243" s="79" t="n"/>
      <c r="BP243" s="79" t="n"/>
      <c r="BQ243" s="79" t="n"/>
      <c r="BR243" s="79" t="n"/>
      <c r="BS243" s="79" t="n"/>
      <c r="BT243" s="79" t="n"/>
      <c r="BU243" s="79" t="n"/>
      <c r="BV243" s="79" t="n"/>
      <c r="BW243" s="79" t="n"/>
      <c r="BX243" s="79" t="n"/>
      <c r="BY243" s="79" t="n"/>
      <c r="BZ243" s="79" t="n"/>
      <c r="CA243" s="79" t="n"/>
    </row>
    <row r="244" hidden="1" ht="17.1" customHeight="1" s="37">
      <c r="A244" s="551" t="n"/>
      <c r="B244" s="150" t="inlineStr">
        <is>
          <t>M</t>
        </is>
      </c>
      <c r="C244" s="550">
        <f>C243+1</f>
        <v/>
      </c>
      <c r="G244" s="216" t="n"/>
      <c r="H244" s="57" t="n"/>
      <c r="K244" s="38" t="n"/>
      <c r="O244" s="216" t="n"/>
      <c r="X244" s="20" t="n"/>
      <c r="AF244" s="450" t="n"/>
      <c r="AN244" s="45" t="n"/>
      <c r="AP244" s="45" t="n"/>
      <c r="AQ244" s="12" t="n"/>
      <c r="AR244" s="216" t="n">
        <v>40</v>
      </c>
      <c r="AS244" s="216" t="n"/>
      <c r="AT244" s="216" t="n"/>
      <c r="AU244" s="216">
        <f>N244+O244 + 0</f>
        <v/>
      </c>
      <c r="AW244" s="2">
        <f>SUM(AH244:AI244,AJ244/2,AK244:AL244)</f>
        <v/>
      </c>
      <c r="AX244" s="2">
        <f>AM244*0.5+SUM(AN244:AP244)</f>
        <v/>
      </c>
      <c r="AY244" s="39">
        <f>SUM(-AR244+AS244*0.01+AT244*0.5+AU244)</f>
        <v/>
      </c>
      <c r="AZ244" s="39">
        <f>'0分'!AF241</f>
        <v/>
      </c>
      <c r="BA244" s="39">
        <f>SUM(AY244,AX244,AW244)</f>
        <v/>
      </c>
      <c r="BB244" s="250" t="n"/>
      <c r="BC244" s="79">
        <f t="array" ref="BC244">SUMPRODUCT(--(NOT(ISBLANK('0₦'!D244:M244))), '0₦'!D$2:M$2) +  SUMPRODUCT(--(NOT(ISBLANK('0₦'!Q244:T244))), '0₦'!Q$2:T$2)</f>
        <v/>
      </c>
      <c r="BD244" s="250">
        <f t="array" ref="BD244">SUMPRODUCT(--(NOT(ISBLANK('0₦'!N244:P244))),'0₦'!N$2:P$2)+'0₦'!AY244</f>
        <v/>
      </c>
      <c r="BE244" s="79">
        <f t="array" ref="BE244">SUMPRODUCT(--(NOT(ISBLANK('0₦'!AA244:AC244))),'0₦'!AA$2:AC$2) + BF244</f>
        <v/>
      </c>
      <c r="BF244" s="79" t="n"/>
      <c r="BG244" s="79">
        <f t="array" ref="BG244">SUMPRODUCT(--(NOT(ISBLANK('0₦'!U244:Z244))), '0₦'!U$2:Z$2)</f>
        <v/>
      </c>
      <c r="BH244" s="79" t="n"/>
      <c r="BI244" s="79">
        <f>SUM(BG244:BH244)</f>
        <v/>
      </c>
      <c r="BJ244" s="79" t="n"/>
      <c r="BK244" s="79" t="n"/>
      <c r="BL244" s="79" t="n"/>
      <c r="BM244" s="79" t="n"/>
      <c r="BN244" s="79" t="n"/>
      <c r="BO244" s="79" t="n"/>
      <c r="BP244" s="79" t="n"/>
      <c r="BQ244" s="79" t="n"/>
      <c r="BR244" s="79" t="n"/>
      <c r="BS244" s="79" t="n"/>
      <c r="BT244" s="79" t="n"/>
      <c r="BU244" s="79" t="n"/>
      <c r="BV244" s="79" t="n"/>
      <c r="BW244" s="79" t="n"/>
      <c r="BX244" s="79" t="n"/>
      <c r="BY244" s="79" t="n"/>
      <c r="BZ244" s="79" t="n"/>
      <c r="CA244" s="79" t="n"/>
    </row>
    <row r="245" hidden="1" ht="17.1" customHeight="1" s="37">
      <c r="A245" s="551" t="n"/>
      <c r="B245" s="150" t="inlineStr">
        <is>
          <t>T</t>
        </is>
      </c>
      <c r="C245" s="550">
        <f>C244+1</f>
        <v/>
      </c>
      <c r="G245" s="216" t="n"/>
      <c r="H245" s="57" t="n"/>
      <c r="O245" s="216" t="n"/>
      <c r="X245" s="20" t="n"/>
      <c r="AF245" s="450" t="n"/>
      <c r="AN245" s="45" t="n"/>
      <c r="AP245" s="45" t="n"/>
      <c r="AQ245" s="12" t="n"/>
      <c r="AR245" s="216" t="n">
        <v>40</v>
      </c>
      <c r="AS245" s="216" t="n"/>
      <c r="AT245" s="216" t="n"/>
      <c r="AU245" s="216">
        <f>N245+O245 + 0</f>
        <v/>
      </c>
      <c r="AW245" s="2">
        <f>SUM(AH245:AI245,AJ245/2,AK245:AL245)</f>
        <v/>
      </c>
      <c r="AX245" s="2">
        <f>AM245*0.5+SUM(AN245:AP245)</f>
        <v/>
      </c>
      <c r="AY245" s="39">
        <f>SUM(-AR245+AS245*0.01+AT245*0.5+AU245)</f>
        <v/>
      </c>
      <c r="AZ245" s="39">
        <f>'0分'!AF242</f>
        <v/>
      </c>
      <c r="BA245" s="39">
        <f>SUM(AY245,AX245,AW245)</f>
        <v/>
      </c>
      <c r="BB245" s="250" t="n"/>
      <c r="BC245" s="79">
        <f t="array" ref="BC245">SUMPRODUCT(--(NOT(ISBLANK('0₦'!D245:M245))), '0₦'!D$2:M$2) +  SUMPRODUCT(--(NOT(ISBLANK('0₦'!Q245:T245))), '0₦'!Q$2:T$2)</f>
        <v/>
      </c>
      <c r="BD245" s="250">
        <f t="array" ref="BD245">SUMPRODUCT(--(NOT(ISBLANK('0₦'!N245:P245))),'0₦'!N$2:P$2)+'0₦'!AY245</f>
        <v/>
      </c>
      <c r="BE245" s="79">
        <f t="array" ref="BE245">SUMPRODUCT(--(NOT(ISBLANK('0₦'!AA245:AC245))),'0₦'!AA$2:AC$2) + BF245</f>
        <v/>
      </c>
      <c r="BF245" s="79" t="n"/>
      <c r="BG245" s="79">
        <f t="array" ref="BG245">SUMPRODUCT(--(NOT(ISBLANK('0₦'!U245:Z245))), '0₦'!U$2:Z$2)</f>
        <v/>
      </c>
      <c r="BH245" s="79" t="n"/>
      <c r="BI245" s="79">
        <f>SUM(BG245:BH245)</f>
        <v/>
      </c>
      <c r="BJ245" s="79" t="n"/>
      <c r="BK245" s="79" t="n"/>
      <c r="BL245" s="79" t="n"/>
      <c r="BM245" s="79" t="n"/>
      <c r="BN245" s="79" t="n"/>
      <c r="BO245" s="79" t="n"/>
      <c r="BP245" s="79" t="n"/>
      <c r="BQ245" s="79" t="n"/>
      <c r="BR245" s="79" t="n"/>
      <c r="BS245" s="79" t="n"/>
      <c r="BT245" s="79" t="n"/>
      <c r="BU245" s="79" t="n"/>
      <c r="BV245" s="79" t="n"/>
      <c r="BW245" s="79" t="n"/>
      <c r="BX245" s="79" t="n"/>
      <c r="BY245" s="79" t="n"/>
      <c r="BZ245" s="79" t="n"/>
      <c r="CA245" s="79" t="n"/>
    </row>
    <row r="246" hidden="1" ht="17.1" customHeight="1" s="37">
      <c r="A246" s="551" t="n"/>
      <c r="B246" s="150" t="inlineStr">
        <is>
          <t>W</t>
        </is>
      </c>
      <c r="C246" s="550">
        <f>C245+1</f>
        <v/>
      </c>
      <c r="G246" s="216" t="n"/>
      <c r="H246" s="57" t="n"/>
      <c r="O246" s="216" t="n"/>
      <c r="X246" s="20" t="n"/>
      <c r="AF246" s="450" t="n"/>
      <c r="AN246" s="45" t="n"/>
      <c r="AP246" s="45" t="n"/>
      <c r="AQ246" s="12" t="n"/>
      <c r="AR246" s="216" t="n">
        <v>40</v>
      </c>
      <c r="AS246" s="216" t="n"/>
      <c r="AT246" s="216" t="n"/>
      <c r="AU246" s="216">
        <f>N246+O246 + 0</f>
        <v/>
      </c>
      <c r="AW246" s="2">
        <f>SUM(AH246:AI246,AJ246/2,AK246:AL246)</f>
        <v/>
      </c>
      <c r="AX246" s="2">
        <f>AM246*0.5+SUM(AN246:AP246)</f>
        <v/>
      </c>
      <c r="AY246" s="39">
        <f>SUM(-AR246+AS246*0.01+AT246*0.5+AU246)</f>
        <v/>
      </c>
      <c r="AZ246" s="39">
        <f>'0分'!AF243</f>
        <v/>
      </c>
      <c r="BA246" s="39">
        <f>SUM(AY246,AX246,AW246)</f>
        <v/>
      </c>
      <c r="BB246" s="250" t="n"/>
      <c r="BC246" s="79">
        <f t="array" ref="BC246">SUMPRODUCT(--(NOT(ISBLANK('0₦'!D246:M246))), '0₦'!D$2:M$2) +  SUMPRODUCT(--(NOT(ISBLANK('0₦'!Q246:T246))), '0₦'!Q$2:T$2)</f>
        <v/>
      </c>
      <c r="BD246" s="250">
        <f t="array" ref="BD246">SUMPRODUCT(--(NOT(ISBLANK('0₦'!N246:P246))),'0₦'!N$2:P$2)+'0₦'!AY246</f>
        <v/>
      </c>
      <c r="BE246" s="79">
        <f t="array" ref="BE246">SUMPRODUCT(--(NOT(ISBLANK('0₦'!AA246:AC246))),'0₦'!AA$2:AC$2) + BF246</f>
        <v/>
      </c>
      <c r="BF246" s="79" t="n"/>
      <c r="BG246" s="79">
        <f t="array" ref="BG246">SUMPRODUCT(--(NOT(ISBLANK('0₦'!U246:Z246))), '0₦'!U$2:Z$2)</f>
        <v/>
      </c>
      <c r="BH246" s="79" t="n"/>
      <c r="BI246" s="79">
        <f>SUM(BG246:BH246)</f>
        <v/>
      </c>
      <c r="BJ246" s="79" t="n"/>
      <c r="BK246" s="79" t="n"/>
      <c r="BL246" s="79" t="n"/>
      <c r="BM246" s="79" t="n"/>
      <c r="BN246" s="79" t="n"/>
      <c r="BO246" s="79" t="n"/>
      <c r="BP246" s="79" t="n"/>
      <c r="BQ246" s="79" t="n"/>
      <c r="BR246" s="79" t="n"/>
      <c r="BS246" s="79" t="n"/>
      <c r="BT246" s="79" t="n"/>
      <c r="BU246" s="79" t="n"/>
      <c r="BV246" s="79" t="n"/>
      <c r="BW246" s="79" t="n"/>
      <c r="BX246" s="79" t="n"/>
      <c r="BY246" s="79" t="n"/>
      <c r="BZ246" s="79" t="n"/>
      <c r="CA246" s="79" t="n"/>
    </row>
    <row r="247" hidden="1" ht="17.1" customHeight="1" s="37">
      <c r="A247" s="551" t="n"/>
      <c r="B247" s="150" t="inlineStr">
        <is>
          <t>Th</t>
        </is>
      </c>
      <c r="C247" s="550">
        <f>C246+1</f>
        <v/>
      </c>
      <c r="G247" s="216" t="n"/>
      <c r="H247" s="57" t="n"/>
      <c r="O247" s="214" t="n"/>
      <c r="P247" s="38" t="n"/>
      <c r="R247" s="38" t="n"/>
      <c r="X247" s="20" t="n"/>
      <c r="AF247" s="450" t="n"/>
      <c r="AN247" s="45" t="n"/>
      <c r="AP247" s="45" t="n"/>
      <c r="AQ247" s="12" t="n"/>
      <c r="AR247" s="216" t="n">
        <v>40</v>
      </c>
      <c r="AS247" s="216" t="n"/>
      <c r="AT247" s="216" t="n"/>
      <c r="AU247" s="216">
        <f>N247+O247 + 0</f>
        <v/>
      </c>
      <c r="AW247" s="2">
        <f>SUM(AH247:AI247,AJ247/2,AK247:AL247)</f>
        <v/>
      </c>
      <c r="AX247" s="2">
        <f>AM247*0.5+SUM(AN247:AP247)</f>
        <v/>
      </c>
      <c r="AY247" s="39">
        <f>SUM(-AR247+AS247*0.01+AT247*0.5+AU247)</f>
        <v/>
      </c>
      <c r="AZ247" s="39">
        <f>'0分'!AF244</f>
        <v/>
      </c>
      <c r="BA247" s="39">
        <f>SUM(AY247,AX247,AW247)</f>
        <v/>
      </c>
      <c r="BB247" s="250" t="n"/>
      <c r="BC247" s="79">
        <f t="array" ref="BC247">SUMPRODUCT(--(NOT(ISBLANK('0₦'!D247:M247))), '0₦'!D$2:M$2) +  SUMPRODUCT(--(NOT(ISBLANK('0₦'!Q247:T247))), '0₦'!Q$2:T$2)</f>
        <v/>
      </c>
      <c r="BD247" s="250">
        <f t="array" ref="BD247">SUMPRODUCT(--(NOT(ISBLANK('0₦'!N247:P247))),'0₦'!N$2:P$2)+'0₦'!AY247</f>
        <v/>
      </c>
      <c r="BE247" s="79">
        <f t="array" ref="BE247">SUMPRODUCT(--(NOT(ISBLANK('0₦'!AA247:AC247))),'0₦'!AA$2:AC$2) + BF247</f>
        <v/>
      </c>
      <c r="BF247" s="79" t="n"/>
      <c r="BG247" s="79">
        <f t="array" ref="BG247">SUMPRODUCT(--(NOT(ISBLANK('0₦'!U247:Z247))), '0₦'!U$2:Z$2)</f>
        <v/>
      </c>
      <c r="BH247" s="79" t="n"/>
      <c r="BI247" s="79">
        <f>SUM(BG247:BH247)</f>
        <v/>
      </c>
      <c r="BJ247" s="79" t="n"/>
      <c r="BK247" s="79" t="n"/>
      <c r="BL247" s="79" t="n"/>
      <c r="BM247" s="79" t="n"/>
      <c r="BN247" s="79" t="n"/>
      <c r="BO247" s="79" t="n"/>
      <c r="BP247" s="79" t="n"/>
      <c r="BQ247" s="79" t="n"/>
      <c r="BR247" s="79" t="n"/>
      <c r="BS247" s="79" t="n"/>
      <c r="BT247" s="79" t="n"/>
      <c r="BU247" s="79" t="n"/>
      <c r="BV247" s="79" t="n"/>
      <c r="BW247" s="79" t="n"/>
      <c r="BX247" s="79" t="n"/>
      <c r="BY247" s="79" t="n"/>
      <c r="BZ247" s="79" t="n"/>
      <c r="CA247" s="79" t="n"/>
    </row>
    <row r="248" hidden="1" ht="17.1" customHeight="1" s="37">
      <c r="A248" s="551" t="n"/>
      <c r="B248" s="150" t="inlineStr">
        <is>
          <t>F</t>
        </is>
      </c>
      <c r="C248" s="550">
        <f>C247+1</f>
        <v/>
      </c>
      <c r="G248" s="216" t="n"/>
      <c r="H248" s="57" t="n"/>
      <c r="O248" s="216" t="n"/>
      <c r="X248" s="20" t="n"/>
      <c r="AF248" s="450" t="n"/>
      <c r="AN248" s="45" t="n"/>
      <c r="AP248" s="45" t="n"/>
      <c r="AQ248" s="12" t="n"/>
      <c r="AR248" s="216" t="n">
        <v>40</v>
      </c>
      <c r="AS248" s="216" t="n"/>
      <c r="AT248" s="216" t="n"/>
      <c r="AU248" s="216">
        <f>N248+O248 + 0</f>
        <v/>
      </c>
      <c r="AW248" s="2">
        <f>SUM(AH248:AI248,AJ248/2,AK248:AL248)</f>
        <v/>
      </c>
      <c r="AX248" s="2">
        <f>AM248*0.5+SUM(AN248:AP248)</f>
        <v/>
      </c>
      <c r="AY248" s="39">
        <f>SUM(-AR248+AS248*0.01+AT248*0.5+AU248)</f>
        <v/>
      </c>
      <c r="AZ248" s="39">
        <f>'0分'!AF245</f>
        <v/>
      </c>
      <c r="BA248" s="39">
        <f>SUM(AY248,AX248,AW248)</f>
        <v/>
      </c>
      <c r="BB248" s="250" t="n"/>
      <c r="BC248" s="79">
        <f t="array" ref="BC248">SUMPRODUCT(--(NOT(ISBLANK('0₦'!D248:M248))), '0₦'!D$2:M$2) +  SUMPRODUCT(--(NOT(ISBLANK('0₦'!Q248:T248))), '0₦'!Q$2:T$2)</f>
        <v/>
      </c>
      <c r="BD248" s="250">
        <f t="array" ref="BD248">SUMPRODUCT(--(NOT(ISBLANK('0₦'!N248:P248))),'0₦'!N$2:P$2)+'0₦'!AY248</f>
        <v/>
      </c>
      <c r="BE248" s="79">
        <f t="array" ref="BE248">SUMPRODUCT(--(NOT(ISBLANK('0₦'!AA248:AC248))),'0₦'!AA$2:AC$2) + BF248</f>
        <v/>
      </c>
      <c r="BF248" s="79" t="n"/>
      <c r="BG248" s="79">
        <f t="array" ref="BG248">SUMPRODUCT(--(NOT(ISBLANK('0₦'!U248:Z248))), '0₦'!U$2:Z$2)</f>
        <v/>
      </c>
      <c r="BH248" s="79" t="n"/>
      <c r="BI248" s="79">
        <f>SUM(BG248:BH248)</f>
        <v/>
      </c>
      <c r="BJ248" s="79" t="n"/>
      <c r="BK248" s="79" t="n"/>
      <c r="BL248" s="79" t="n"/>
      <c r="BM248" s="79" t="n"/>
      <c r="BN248" s="79" t="n"/>
      <c r="BO248" s="79" t="n"/>
      <c r="BP248" s="79" t="n"/>
      <c r="BQ248" s="79" t="n"/>
      <c r="BR248" s="79" t="n"/>
      <c r="BS248" s="79" t="n"/>
      <c r="BT248" s="79" t="n"/>
      <c r="BU248" s="79" t="n"/>
      <c r="BV248" s="79" t="n"/>
      <c r="BW248" s="79" t="n"/>
      <c r="BX248" s="79" t="n"/>
      <c r="BY248" s="79" t="n"/>
      <c r="BZ248" s="79" t="n"/>
      <c r="CA248" s="79" t="n"/>
    </row>
    <row r="249" hidden="1" ht="17.1" customHeight="1" s="37">
      <c r="A249" s="552" t="n"/>
      <c r="B249" s="150" t="inlineStr">
        <is>
          <t>S</t>
        </is>
      </c>
      <c r="C249" s="550">
        <f>C248+1</f>
        <v/>
      </c>
      <c r="G249" s="216" t="n"/>
      <c r="H249" s="57" t="n"/>
      <c r="O249" s="216" t="n"/>
      <c r="X249" s="20" t="n"/>
      <c r="AF249" s="450" t="n"/>
      <c r="AN249" s="45" t="n"/>
      <c r="AP249" s="45" t="n"/>
      <c r="AQ249" s="12" t="n"/>
      <c r="AR249" s="216" t="n">
        <v>40</v>
      </c>
      <c r="AS249" s="216" t="n"/>
      <c r="AT249" s="216" t="n"/>
      <c r="AU249" s="216">
        <f>N249+O249 + 0</f>
        <v/>
      </c>
      <c r="AW249" s="2">
        <f>SUM(AH249:AI249,AJ249/2,AK249:AL249)</f>
        <v/>
      </c>
      <c r="AX249" s="2">
        <f>AM249*0.5+SUM(AN249:AP249)</f>
        <v/>
      </c>
      <c r="AY249" s="39">
        <f>SUM(-AR249+AS249*0.01+AT249*0.5+AU249)</f>
        <v/>
      </c>
      <c r="AZ249" s="39">
        <f>'0分'!AF246</f>
        <v/>
      </c>
      <c r="BA249" s="39">
        <f>SUM(AY249,AX249,AW249)</f>
        <v/>
      </c>
      <c r="BB249" s="250" t="n"/>
      <c r="BC249" s="79">
        <f t="array" ref="BC249">SUMPRODUCT(--(NOT(ISBLANK('0₦'!D249:M249))), '0₦'!D$2:M$2) +  SUMPRODUCT(--(NOT(ISBLANK('0₦'!Q249:T249))), '0₦'!Q$2:T$2)</f>
        <v/>
      </c>
      <c r="BD249" s="250">
        <f t="array" ref="BD249">SUMPRODUCT(--(NOT(ISBLANK('0₦'!N249:P249))),'0₦'!N$2:P$2)+'0₦'!AY249</f>
        <v/>
      </c>
      <c r="BE249" s="79">
        <f t="array" ref="BE249">SUMPRODUCT(--(NOT(ISBLANK('0₦'!AA249:AC249))),'0₦'!AA$2:AC$2) + BF249</f>
        <v/>
      </c>
      <c r="BF249" s="79" t="n"/>
      <c r="BG249" s="79">
        <f t="array" ref="BG249">SUMPRODUCT(--(NOT(ISBLANK('0₦'!U249:Z249))), '0₦'!U$2:Z$2)</f>
        <v/>
      </c>
      <c r="BH249" s="79" t="n"/>
      <c r="BI249" s="79">
        <f>SUM(BG249:BH249)</f>
        <v/>
      </c>
      <c r="BJ249" s="79" t="n"/>
      <c r="BK249" s="79" t="n"/>
      <c r="BL249" s="79" t="n"/>
      <c r="BM249" s="79" t="n"/>
      <c r="BN249" s="79" t="n"/>
      <c r="BO249" s="79" t="n"/>
      <c r="BP249" s="79" t="n"/>
      <c r="BQ249" s="79" t="n"/>
      <c r="BR249" s="79" t="n"/>
      <c r="BS249" s="79" t="n"/>
      <c r="BT249" s="79" t="n"/>
      <c r="BU249" s="79" t="n"/>
      <c r="BV249" s="79" t="n"/>
      <c r="BW249" s="79" t="n"/>
      <c r="BX249" s="79" t="n"/>
      <c r="BY249" s="79" t="n"/>
      <c r="BZ249" s="79" t="n"/>
      <c r="CA249" s="79" t="n"/>
    </row>
    <row r="250" hidden="1" ht="17.1" customHeight="1" s="37">
      <c r="A250" s="462">
        <f>A243+0.1</f>
        <v/>
      </c>
      <c r="B250" s="150" t="inlineStr">
        <is>
          <t>S</t>
        </is>
      </c>
      <c r="C250" s="550">
        <f>C249+1</f>
        <v/>
      </c>
      <c r="G250" s="216" t="n"/>
      <c r="H250" s="57" t="n"/>
      <c r="O250" s="216" t="n"/>
      <c r="T250" s="38" t="n"/>
      <c r="X250" s="20" t="n"/>
      <c r="AF250" s="450" t="n"/>
      <c r="AN250" s="45" t="n"/>
      <c r="AP250" s="45" t="n"/>
      <c r="AQ250" s="12" t="n"/>
      <c r="AR250" s="216" t="n">
        <v>40</v>
      </c>
      <c r="AS250" s="216" t="n"/>
      <c r="AT250" s="216" t="n"/>
      <c r="AU250" s="216">
        <f>N250+O250 + 0</f>
        <v/>
      </c>
      <c r="AW250" s="2">
        <f>SUM(AH250:AI250,AJ250/2,AK250:AL250)</f>
        <v/>
      </c>
      <c r="AX250" s="2">
        <f>AM250*0.5+SUM(AN250:AP250)</f>
        <v/>
      </c>
      <c r="AY250" s="39">
        <f>SUM(-AR250+AS250*0.01+AT250*0.5+AU250)</f>
        <v/>
      </c>
      <c r="AZ250" s="39">
        <f>'0分'!AF247</f>
        <v/>
      </c>
      <c r="BA250" s="39">
        <f>SUM(AY250,AX250,AW250)</f>
        <v/>
      </c>
      <c r="BB250" s="250" t="n"/>
      <c r="BC250" s="79">
        <f t="array" ref="BC250">SUMPRODUCT(--(NOT(ISBLANK('0₦'!D250:M250))), '0₦'!D$2:M$2) +  SUMPRODUCT(--(NOT(ISBLANK('0₦'!Q250:T250))), '0₦'!Q$2:T$2)</f>
        <v/>
      </c>
      <c r="BD250" s="250">
        <f t="array" ref="BD250">SUMPRODUCT(--(NOT(ISBLANK('0₦'!N250:P250))),'0₦'!N$2:P$2)+'0₦'!AY250</f>
        <v/>
      </c>
      <c r="BE250" s="79">
        <f t="array" ref="BE250">SUMPRODUCT(--(NOT(ISBLANK('0₦'!AA250:AC250))),'0₦'!AA$2:AC$2) + BF250</f>
        <v/>
      </c>
      <c r="BF250" s="79" t="n"/>
      <c r="BG250" s="79">
        <f t="array" ref="BG250">SUMPRODUCT(--(NOT(ISBLANK('0₦'!U250:Z250))), '0₦'!U$2:Z$2)</f>
        <v/>
      </c>
      <c r="BH250" s="79" t="n"/>
      <c r="BI250" s="79">
        <f>SUM(BG250:BH250)</f>
        <v/>
      </c>
      <c r="BJ250" s="79" t="n"/>
      <c r="BK250" s="79" t="n"/>
      <c r="BL250" s="79" t="n"/>
      <c r="BM250" s="79" t="n"/>
      <c r="BN250" s="79" t="n"/>
      <c r="BO250" s="79" t="n"/>
      <c r="BP250" s="79" t="n"/>
      <c r="BQ250" s="79" t="n"/>
      <c r="BR250" s="79" t="n"/>
      <c r="BS250" s="79" t="n"/>
      <c r="BT250" s="79" t="n"/>
      <c r="BU250" s="79" t="n"/>
      <c r="BV250" s="79" t="n"/>
      <c r="BW250" s="79" t="n"/>
      <c r="BX250" s="79" t="n"/>
      <c r="BY250" s="79" t="n"/>
      <c r="BZ250" s="79" t="n"/>
      <c r="CA250" s="79" t="n"/>
    </row>
    <row r="251" hidden="1" ht="17.1" customHeight="1" s="37">
      <c r="A251" s="551" t="n"/>
      <c r="B251" s="150" t="inlineStr">
        <is>
          <t>M</t>
        </is>
      </c>
      <c r="C251" s="550">
        <f>C250+1</f>
        <v/>
      </c>
      <c r="G251" s="216" t="n"/>
      <c r="H251" s="57" t="n"/>
      <c r="O251" s="216" t="n"/>
      <c r="X251" s="20" t="n"/>
      <c r="AF251" s="450" t="n"/>
      <c r="AN251" s="45" t="n"/>
      <c r="AP251" s="45" t="n"/>
      <c r="AQ251" s="12" t="n"/>
      <c r="AR251" s="216" t="n">
        <v>40</v>
      </c>
      <c r="AS251" s="216" t="n"/>
      <c r="AT251" s="216" t="n"/>
      <c r="AU251" s="216">
        <f>N251+O251 + 0</f>
        <v/>
      </c>
      <c r="AW251" s="2">
        <f>SUM(AH251:AI251,AJ251/2,AK251:AL251)</f>
        <v/>
      </c>
      <c r="AX251" s="2">
        <f>AM251*0.5+SUM(AN251:AP251)</f>
        <v/>
      </c>
      <c r="AY251" s="39">
        <f>SUM(-AR251+AS251*0.01+AT251*0.5+AU251)</f>
        <v/>
      </c>
      <c r="AZ251" s="39">
        <f>'0分'!AF248</f>
        <v/>
      </c>
      <c r="BA251" s="39">
        <f>SUM(AY251,AX251,AW251)</f>
        <v/>
      </c>
      <c r="BB251" s="250" t="n"/>
      <c r="BC251" s="79">
        <f t="array" ref="BC251">SUMPRODUCT(--(NOT(ISBLANK('0₦'!D251:M251))), '0₦'!D$2:M$2) +  SUMPRODUCT(--(NOT(ISBLANK('0₦'!Q251:T251))), '0₦'!Q$2:T$2)</f>
        <v/>
      </c>
      <c r="BD251" s="250">
        <f t="array" ref="BD251">SUMPRODUCT(--(NOT(ISBLANK('0₦'!N251:P251))),'0₦'!N$2:P$2)+'0₦'!AY251</f>
        <v/>
      </c>
      <c r="BE251" s="79">
        <f t="array" ref="BE251">SUMPRODUCT(--(NOT(ISBLANK('0₦'!AA251:AC251))),'0₦'!AA$2:AC$2) + BF251</f>
        <v/>
      </c>
      <c r="BF251" s="79" t="n"/>
      <c r="BG251" s="79">
        <f t="array" ref="BG251">SUMPRODUCT(--(NOT(ISBLANK('0₦'!U251:Z251))), '0₦'!U$2:Z$2)</f>
        <v/>
      </c>
      <c r="BH251" s="79" t="n"/>
      <c r="BI251" s="79">
        <f>SUM(BG251:BH251)</f>
        <v/>
      </c>
      <c r="BJ251" s="79" t="n"/>
      <c r="BK251" s="79" t="n"/>
      <c r="BL251" s="79" t="n"/>
      <c r="BM251" s="79" t="n"/>
      <c r="BN251" s="79" t="n"/>
      <c r="BO251" s="79" t="n"/>
      <c r="BP251" s="79" t="n"/>
      <c r="BQ251" s="79" t="n"/>
      <c r="BR251" s="79" t="n"/>
      <c r="BS251" s="79" t="n"/>
      <c r="BT251" s="79" t="n"/>
      <c r="BU251" s="79" t="n"/>
      <c r="BV251" s="79" t="n"/>
      <c r="BW251" s="79" t="n"/>
      <c r="BX251" s="79" t="n"/>
      <c r="BY251" s="79" t="n"/>
      <c r="BZ251" s="79" t="n"/>
      <c r="CA251" s="79" t="n"/>
    </row>
    <row r="252" hidden="1" ht="17.1" customHeight="1" s="37">
      <c r="A252" s="551" t="n"/>
      <c r="B252" s="150" t="inlineStr">
        <is>
          <t>T</t>
        </is>
      </c>
      <c r="C252" s="550">
        <f>C251+1</f>
        <v/>
      </c>
      <c r="G252" s="216" t="n"/>
      <c r="H252" s="57" t="n"/>
      <c r="O252" s="216" t="n"/>
      <c r="X252" s="20" t="n"/>
      <c r="AF252" s="450" t="n"/>
      <c r="AN252" s="45" t="n"/>
      <c r="AP252" s="45" t="n"/>
      <c r="AQ252" s="12" t="n"/>
      <c r="AR252" s="216" t="n">
        <v>40</v>
      </c>
      <c r="AS252" s="216" t="n"/>
      <c r="AT252" s="216" t="n"/>
      <c r="AU252" s="216">
        <f>N252+O252 + 0</f>
        <v/>
      </c>
      <c r="AW252" s="2">
        <f>SUM(AH252:AI252,AJ252/2,AK252:AL252)</f>
        <v/>
      </c>
      <c r="AX252" s="2">
        <f>AM252*0.5+SUM(AN252:AP252)</f>
        <v/>
      </c>
      <c r="AY252" s="39">
        <f>SUM(-AR252+AS252*0.01+AT252*0.5+AU252)</f>
        <v/>
      </c>
      <c r="AZ252" s="39">
        <f>'0分'!AF249</f>
        <v/>
      </c>
      <c r="BA252" s="39">
        <f>SUM(AY252,AX252,AW252)</f>
        <v/>
      </c>
      <c r="BB252" s="250" t="n"/>
      <c r="BC252" s="79">
        <f t="array" ref="BC252">SUMPRODUCT(--(NOT(ISBLANK('0₦'!D252:M252))), '0₦'!D$2:M$2) +  SUMPRODUCT(--(NOT(ISBLANK('0₦'!Q252:T252))), '0₦'!Q$2:T$2)</f>
        <v/>
      </c>
      <c r="BD252" s="250">
        <f t="array" ref="BD252">SUMPRODUCT(--(NOT(ISBLANK('0₦'!N252:P252))),'0₦'!N$2:P$2)+'0₦'!AY252</f>
        <v/>
      </c>
      <c r="BE252" s="79">
        <f t="array" ref="BE252">SUMPRODUCT(--(NOT(ISBLANK('0₦'!AA252:AC252))),'0₦'!AA$2:AC$2) + BF252</f>
        <v/>
      </c>
      <c r="BF252" s="79" t="n"/>
      <c r="BG252" s="79">
        <f t="array" ref="BG252">SUMPRODUCT(--(NOT(ISBLANK('0₦'!U252:Z252))), '0₦'!U$2:Z$2)</f>
        <v/>
      </c>
      <c r="BH252" s="79" t="n"/>
      <c r="BI252" s="79">
        <f>SUM(BG252:BH252)</f>
        <v/>
      </c>
      <c r="BJ252" s="79" t="n"/>
      <c r="BK252" s="79" t="n"/>
      <c r="BL252" s="79" t="n"/>
      <c r="BM252" s="79" t="n"/>
      <c r="BN252" s="79" t="n"/>
      <c r="BO252" s="79" t="n"/>
      <c r="BP252" s="79" t="n"/>
      <c r="BQ252" s="79" t="n"/>
      <c r="BR252" s="79" t="n"/>
      <c r="BS252" s="79" t="n"/>
      <c r="BT252" s="79" t="n"/>
      <c r="BU252" s="79" t="n"/>
      <c r="BV252" s="79" t="n"/>
      <c r="BW252" s="79" t="n"/>
      <c r="BX252" s="79" t="n"/>
      <c r="BY252" s="79" t="n"/>
      <c r="BZ252" s="79" t="n"/>
      <c r="CA252" s="79" t="n"/>
    </row>
    <row r="253" hidden="1" ht="17.1" customHeight="1" s="37">
      <c r="A253" s="551" t="n"/>
      <c r="B253" s="150" t="inlineStr">
        <is>
          <t>W</t>
        </is>
      </c>
      <c r="C253" s="550">
        <f>C252+1</f>
        <v/>
      </c>
      <c r="G253" s="216" t="n"/>
      <c r="H253" s="57" t="n"/>
      <c r="O253" s="216" t="n"/>
      <c r="X253" s="20" t="n"/>
      <c r="AF253" s="450" t="n"/>
      <c r="AN253" s="45" t="n"/>
      <c r="AP253" s="45" t="n"/>
      <c r="AQ253" s="12" t="n"/>
      <c r="AR253" s="216" t="n">
        <v>40</v>
      </c>
      <c r="AS253" s="216" t="n"/>
      <c r="AT253" s="216" t="n"/>
      <c r="AU253" s="216">
        <f>N253+O253 + 0</f>
        <v/>
      </c>
      <c r="AW253" s="2">
        <f>SUM(AH253:AI253,AJ253/2,AK253:AL253)</f>
        <v/>
      </c>
      <c r="AX253" s="2">
        <f>AM253*0.5+SUM(AN253:AP253)</f>
        <v/>
      </c>
      <c r="AY253" s="39">
        <f>SUM(-AR253+AS253*0.01+AT253*0.5+AU253)</f>
        <v/>
      </c>
      <c r="AZ253" s="39">
        <f>'0分'!AF250</f>
        <v/>
      </c>
      <c r="BA253" s="39">
        <f>SUM(AY253,AX253,AW253)</f>
        <v/>
      </c>
      <c r="BB253" s="250" t="n"/>
      <c r="BC253" s="79">
        <f t="array" ref="BC253">SUMPRODUCT(--(NOT(ISBLANK('0₦'!D253:M253))), '0₦'!D$2:M$2) +  SUMPRODUCT(--(NOT(ISBLANK('0₦'!Q253:T253))), '0₦'!Q$2:T$2)</f>
        <v/>
      </c>
      <c r="BD253" s="250">
        <f t="array" ref="BD253">SUMPRODUCT(--(NOT(ISBLANK('0₦'!N253:P253))),'0₦'!N$2:P$2)+'0₦'!AY253</f>
        <v/>
      </c>
      <c r="BE253" s="79">
        <f t="array" ref="BE253">SUMPRODUCT(--(NOT(ISBLANK('0₦'!AA253:AC253))),'0₦'!AA$2:AC$2) + BF253</f>
        <v/>
      </c>
      <c r="BF253" s="79" t="n"/>
      <c r="BG253" s="79">
        <f t="array" ref="BG253">SUMPRODUCT(--(NOT(ISBLANK('0₦'!U253:Z253))), '0₦'!U$2:Z$2)</f>
        <v/>
      </c>
      <c r="BH253" s="79" t="n"/>
      <c r="BI253" s="79">
        <f>SUM(BG253:BH253)</f>
        <v/>
      </c>
      <c r="BJ253" s="79" t="n"/>
      <c r="BK253" s="79" t="n"/>
      <c r="BL253" s="79" t="n"/>
      <c r="BM253" s="79" t="n"/>
      <c r="BN253" s="79" t="n"/>
      <c r="BO253" s="79" t="n"/>
      <c r="BP253" s="79" t="n"/>
      <c r="BQ253" s="79" t="n"/>
      <c r="BR253" s="79" t="n"/>
      <c r="BS253" s="79" t="n"/>
      <c r="BT253" s="79" t="n"/>
      <c r="BU253" s="79" t="n"/>
      <c r="BV253" s="79" t="n"/>
      <c r="BW253" s="79" t="n"/>
      <c r="BX253" s="79" t="n"/>
      <c r="BY253" s="79" t="n"/>
      <c r="BZ253" s="79" t="n"/>
      <c r="CA253" s="79" t="n"/>
    </row>
    <row r="254" hidden="1" ht="17.1" customHeight="1" s="37">
      <c r="A254" s="551" t="n"/>
      <c r="B254" s="150" t="inlineStr">
        <is>
          <t>Th</t>
        </is>
      </c>
      <c r="C254" s="550">
        <f>C253+1</f>
        <v/>
      </c>
      <c r="G254" s="216" t="n"/>
      <c r="H254" s="57" t="n"/>
      <c r="O254" s="216" t="n"/>
      <c r="X254" s="20" t="n"/>
      <c r="AF254" s="450" t="n"/>
      <c r="AN254" s="45" t="n"/>
      <c r="AP254" s="45" t="n"/>
      <c r="AQ254" s="12" t="n"/>
      <c r="AR254" s="216" t="n">
        <v>40</v>
      </c>
      <c r="AS254" s="216" t="n"/>
      <c r="AT254" s="216" t="n"/>
      <c r="AU254" s="216">
        <f>N254+O254 + 0</f>
        <v/>
      </c>
      <c r="AW254" s="2">
        <f>SUM(AH254:AI254,AJ254/2,AK254:AL254)</f>
        <v/>
      </c>
      <c r="AX254" s="2">
        <f>AM254*0.5+SUM(AN254:AP254)</f>
        <v/>
      </c>
      <c r="AY254" s="39">
        <f>SUM(-AR254+AS254*0.01+AT254*0.5+AU254)</f>
        <v/>
      </c>
      <c r="AZ254" s="39">
        <f>'0分'!AF251</f>
        <v/>
      </c>
      <c r="BA254" s="39">
        <f>SUM(AY254,AX254,AW254)</f>
        <v/>
      </c>
      <c r="BB254" s="250" t="n"/>
      <c r="BC254" s="79">
        <f t="array" ref="BC254">SUMPRODUCT(--(NOT(ISBLANK('0₦'!D254:M254))), '0₦'!D$2:M$2) +  SUMPRODUCT(--(NOT(ISBLANK('0₦'!Q254:T254))), '0₦'!Q$2:T$2)</f>
        <v/>
      </c>
      <c r="BD254" s="250">
        <f t="array" ref="BD254">SUMPRODUCT(--(NOT(ISBLANK('0₦'!N254:P254))),'0₦'!N$2:P$2)+'0₦'!AY254</f>
        <v/>
      </c>
      <c r="BE254" s="79">
        <f t="array" ref="BE254">SUMPRODUCT(--(NOT(ISBLANK('0₦'!AA254:AC254))),'0₦'!AA$2:AC$2) + BF254</f>
        <v/>
      </c>
      <c r="BF254" s="79" t="n"/>
      <c r="BG254" s="79">
        <f t="array" ref="BG254">SUMPRODUCT(--(NOT(ISBLANK('0₦'!U254:Z254))), '0₦'!U$2:Z$2)</f>
        <v/>
      </c>
      <c r="BH254" s="79" t="n"/>
      <c r="BI254" s="79">
        <f>SUM(BG254:BH254)</f>
        <v/>
      </c>
      <c r="BJ254" s="79" t="n"/>
      <c r="BK254" s="79" t="n"/>
      <c r="BL254" s="79" t="n"/>
      <c r="BM254" s="79" t="n"/>
      <c r="BN254" s="79" t="n"/>
      <c r="BO254" s="79" t="n"/>
      <c r="BP254" s="79" t="n"/>
      <c r="BQ254" s="79" t="n"/>
      <c r="BR254" s="79" t="n"/>
      <c r="BS254" s="79" t="n"/>
      <c r="BT254" s="79" t="n"/>
      <c r="BU254" s="79" t="n"/>
      <c r="BV254" s="79" t="n"/>
      <c r="BW254" s="79" t="n"/>
      <c r="BX254" s="79" t="n"/>
      <c r="BY254" s="79" t="n"/>
      <c r="BZ254" s="79" t="n"/>
      <c r="CA254" s="79" t="n"/>
    </row>
    <row r="255" hidden="1" ht="17.1" customHeight="1" s="37">
      <c r="A255" s="551" t="n"/>
      <c r="B255" s="150" t="inlineStr">
        <is>
          <t>F</t>
        </is>
      </c>
      <c r="C255" s="550">
        <f>C254+1</f>
        <v/>
      </c>
      <c r="G255" s="216" t="n"/>
      <c r="H255" s="57" t="n"/>
      <c r="O255" s="216" t="n"/>
      <c r="X255" s="20" t="n"/>
      <c r="AF255" s="450" t="n"/>
      <c r="AN255" s="45" t="n"/>
      <c r="AP255" s="45" t="n"/>
      <c r="AQ255" s="12" t="n"/>
      <c r="AR255" s="216" t="n">
        <v>40</v>
      </c>
      <c r="AS255" s="216" t="n"/>
      <c r="AT255" s="216" t="n"/>
      <c r="AU255" s="216">
        <f>N255+O255 + 0</f>
        <v/>
      </c>
      <c r="AW255" s="2">
        <f>SUM(AH255:AI255,AJ255/2,AK255:AL255)</f>
        <v/>
      </c>
      <c r="AX255" s="2">
        <f>AM255*0.5+SUM(AN255:AP255)</f>
        <v/>
      </c>
      <c r="AY255" s="39">
        <f>SUM(-AR255+AS255*0.01+AT255*0.5+AU255)</f>
        <v/>
      </c>
      <c r="AZ255" s="39">
        <f>'0分'!AF252</f>
        <v/>
      </c>
      <c r="BA255" s="39">
        <f>SUM(AY255,AX255,AW255)</f>
        <v/>
      </c>
      <c r="BB255" s="250" t="n"/>
      <c r="BC255" s="79">
        <f t="array" ref="BC255">SUMPRODUCT(--(NOT(ISBLANK('0₦'!D255:M255))), '0₦'!D$2:M$2) +  SUMPRODUCT(--(NOT(ISBLANK('0₦'!Q255:T255))), '0₦'!Q$2:T$2)</f>
        <v/>
      </c>
      <c r="BD255" s="250">
        <f t="array" ref="BD255">SUMPRODUCT(--(NOT(ISBLANK('0₦'!N255:P255))),'0₦'!N$2:P$2)+'0₦'!AY255</f>
        <v/>
      </c>
      <c r="BE255" s="79">
        <f t="array" ref="BE255">SUMPRODUCT(--(NOT(ISBLANK('0₦'!AA255:AC255))),'0₦'!AA$2:AC$2) + BF255</f>
        <v/>
      </c>
      <c r="BF255" s="79" t="n"/>
      <c r="BG255" s="79">
        <f t="array" ref="BG255">SUMPRODUCT(--(NOT(ISBLANK('0₦'!U255:Z255))), '0₦'!U$2:Z$2)</f>
        <v/>
      </c>
      <c r="BH255" s="79" t="n"/>
      <c r="BI255" s="79">
        <f>SUM(BG255:BH255)</f>
        <v/>
      </c>
      <c r="BJ255" s="79" t="n"/>
      <c r="BK255" s="79" t="n"/>
      <c r="BL255" s="79" t="n"/>
      <c r="BM255" s="79" t="n"/>
      <c r="BN255" s="79" t="n"/>
      <c r="BO255" s="79" t="n"/>
      <c r="BP255" s="79" t="n"/>
      <c r="BQ255" s="79" t="n"/>
      <c r="BR255" s="79" t="n"/>
      <c r="BS255" s="79" t="n"/>
      <c r="BT255" s="79" t="n"/>
      <c r="BU255" s="79" t="n"/>
      <c r="BV255" s="79" t="n"/>
      <c r="BW255" s="79" t="n"/>
      <c r="BX255" s="79" t="n"/>
      <c r="BY255" s="79" t="n"/>
      <c r="BZ255" s="79" t="n"/>
      <c r="CA255" s="79" t="n"/>
    </row>
    <row r="256" hidden="1" ht="18" customHeight="1" s="37">
      <c r="A256" s="552" t="n"/>
      <c r="B256" s="150" t="inlineStr">
        <is>
          <t>S</t>
        </is>
      </c>
      <c r="C256" s="550">
        <f>C255+1</f>
        <v/>
      </c>
      <c r="G256" s="216" t="n"/>
      <c r="H256" s="57" t="n"/>
      <c r="O256" s="216" t="n"/>
      <c r="X256" s="20" t="n"/>
      <c r="AF256" s="450" t="n"/>
      <c r="AN256" s="45" t="n"/>
      <c r="AP256" s="45" t="n"/>
      <c r="AQ256" s="12" t="n"/>
      <c r="AR256" s="216" t="n">
        <v>40</v>
      </c>
      <c r="AS256" s="216" t="n"/>
      <c r="AT256" s="216" t="n"/>
      <c r="AU256" s="216">
        <f>N256+O256 + 0</f>
        <v/>
      </c>
      <c r="AW256" s="2">
        <f>SUM(AH256:AI256,AJ256/2,AK256:AL256)</f>
        <v/>
      </c>
      <c r="AX256" s="2">
        <f>AM256*0.5+SUM(AN256:AP256)</f>
        <v/>
      </c>
      <c r="AY256" s="39">
        <f>SUM(-AR256+AS256*0.01+AT256*0.5+AU256)</f>
        <v/>
      </c>
      <c r="AZ256" s="39">
        <f>'0分'!AF253</f>
        <v/>
      </c>
      <c r="BA256" s="39">
        <f>SUM(AY256,AX256,AW256)</f>
        <v/>
      </c>
      <c r="BB256" s="250" t="n"/>
      <c r="BC256" s="79">
        <f t="array" ref="BC256">SUMPRODUCT(--(NOT(ISBLANK('0₦'!D256:M256))), '0₦'!D$2:M$2) +  SUMPRODUCT(--(NOT(ISBLANK('0₦'!Q256:T256))), '0₦'!Q$2:T$2)</f>
        <v/>
      </c>
      <c r="BD256" s="250">
        <f t="array" ref="BD256">SUMPRODUCT(--(NOT(ISBLANK('0₦'!N256:P256))),'0₦'!N$2:P$2)+'0₦'!AY256</f>
        <v/>
      </c>
      <c r="BE256" s="79">
        <f t="array" ref="BE256">SUMPRODUCT(--(NOT(ISBLANK('0₦'!AA256:AC256))),'0₦'!AA$2:AC$2) + BF256</f>
        <v/>
      </c>
      <c r="BF256" s="79" t="n"/>
      <c r="BG256" s="79">
        <f t="array" ref="BG256">SUMPRODUCT(--(NOT(ISBLANK('0₦'!U256:Z256))), '0₦'!U$2:Z$2)</f>
        <v/>
      </c>
      <c r="BH256" s="79" t="n"/>
      <c r="BI256" s="79">
        <f>SUM(BG256:BH256)</f>
        <v/>
      </c>
      <c r="BJ256" s="79" t="n"/>
      <c r="BK256" s="79" t="n"/>
      <c r="BL256" s="79" t="n"/>
      <c r="BM256" s="79" t="n"/>
      <c r="BN256" s="79" t="n"/>
      <c r="BO256" s="79" t="n"/>
      <c r="BP256" s="79" t="n"/>
      <c r="BQ256" s="79" t="n"/>
      <c r="BR256" s="79" t="n"/>
      <c r="BS256" s="79" t="n"/>
      <c r="BT256" s="79" t="n"/>
      <c r="BU256" s="79" t="n"/>
      <c r="BV256" s="79" t="n"/>
      <c r="BW256" s="79" t="n"/>
      <c r="BX256" s="79" t="n"/>
      <c r="BY256" s="79" t="n"/>
      <c r="BZ256" s="79" t="n"/>
      <c r="CA256" s="79" t="n"/>
    </row>
    <row r="257" hidden="1" ht="17.1" customHeight="1" s="37">
      <c r="A257" s="462">
        <f>A250+0.1</f>
        <v/>
      </c>
      <c r="B257" s="150" t="inlineStr">
        <is>
          <t>S</t>
        </is>
      </c>
      <c r="C257" s="550">
        <f>C256+1</f>
        <v/>
      </c>
      <c r="G257" s="216" t="n"/>
      <c r="H257" s="57" t="n"/>
      <c r="O257" s="216" t="n"/>
      <c r="X257" s="20" t="n"/>
      <c r="AF257" s="450" t="n"/>
      <c r="AN257" s="45" t="n"/>
      <c r="AP257" s="45" t="n"/>
      <c r="AQ257" s="12" t="n"/>
      <c r="AR257" s="216" t="n">
        <v>40</v>
      </c>
      <c r="AS257" s="216" t="n"/>
      <c r="AT257" s="216" t="n"/>
      <c r="AU257" s="216">
        <f>N257+O257 + 0</f>
        <v/>
      </c>
      <c r="AW257" s="2">
        <f>SUM(AH257:AI257,AJ257/2,AK257:AL257)</f>
        <v/>
      </c>
      <c r="AX257" s="2">
        <f>AM257*0.5+SUM(AN257:AP257)</f>
        <v/>
      </c>
      <c r="AY257" s="39">
        <f>SUM(-AR257+AS257*0.01+AT257*0.5+AU257)</f>
        <v/>
      </c>
      <c r="AZ257" s="39">
        <f>'0分'!AF254</f>
        <v/>
      </c>
      <c r="BA257" s="39">
        <f>SUM(AY257,AX257,AW257)</f>
        <v/>
      </c>
      <c r="BB257" s="250" t="n"/>
      <c r="BC257" s="79">
        <f t="array" ref="BC257">SUMPRODUCT(--(NOT(ISBLANK('0₦'!D257:M257))), '0₦'!D$2:M$2) +  SUMPRODUCT(--(NOT(ISBLANK('0₦'!Q257:T257))), '0₦'!Q$2:T$2)</f>
        <v/>
      </c>
      <c r="BD257" s="250">
        <f t="array" ref="BD257">SUMPRODUCT(--(NOT(ISBLANK('0₦'!N257:P257))),'0₦'!N$2:P$2)+'0₦'!AY257</f>
        <v/>
      </c>
      <c r="BE257" s="79">
        <f t="array" ref="BE257">SUMPRODUCT(--(NOT(ISBLANK('0₦'!AA257:AC257))),'0₦'!AA$2:AC$2) + BF257</f>
        <v/>
      </c>
      <c r="BF257" s="79" t="n"/>
      <c r="BG257" s="79">
        <f t="array" ref="BG257">SUMPRODUCT(--(NOT(ISBLANK('0₦'!U257:Z257))), '0₦'!U$2:Z$2)</f>
        <v/>
      </c>
      <c r="BH257" s="79" t="n"/>
      <c r="BI257" s="79">
        <f>SUM(BG257:BH257)</f>
        <v/>
      </c>
      <c r="BJ257" s="79" t="n"/>
      <c r="BK257" s="79" t="n"/>
      <c r="BL257" s="79" t="n"/>
      <c r="BM257" s="79" t="n"/>
      <c r="BN257" s="79" t="n"/>
      <c r="BO257" s="79" t="n"/>
      <c r="BP257" s="79" t="n"/>
      <c r="BQ257" s="79" t="n"/>
      <c r="BR257" s="79" t="n"/>
      <c r="BS257" s="79" t="n"/>
      <c r="BT257" s="79" t="n"/>
      <c r="BU257" s="79" t="n"/>
      <c r="BV257" s="79" t="n"/>
      <c r="BW257" s="79" t="n"/>
      <c r="BX257" s="79" t="n"/>
      <c r="BY257" s="79" t="n"/>
      <c r="BZ257" s="79" t="n"/>
      <c r="CA257" s="79" t="n"/>
    </row>
    <row r="258" hidden="1" ht="17.1" customHeight="1" s="37">
      <c r="A258" s="551" t="n"/>
      <c r="B258" s="150" t="inlineStr">
        <is>
          <t>M</t>
        </is>
      </c>
      <c r="C258" s="550">
        <f>C257+1</f>
        <v/>
      </c>
      <c r="G258" s="216" t="n"/>
      <c r="H258" s="57" t="n"/>
      <c r="N258" s="38" t="n"/>
      <c r="O258" s="216" t="n"/>
      <c r="X258" s="20" t="n"/>
      <c r="AF258" s="450" t="n"/>
      <c r="AN258" s="45" t="n"/>
      <c r="AP258" s="45" t="n"/>
      <c r="AQ258" s="12" t="n"/>
      <c r="AR258" s="216" t="n">
        <v>40</v>
      </c>
      <c r="AS258" s="216" t="n"/>
      <c r="AT258" s="216" t="n"/>
      <c r="AU258" s="216">
        <f>N258+O258 + 0</f>
        <v/>
      </c>
      <c r="AW258" s="2">
        <f>SUM(AH258:AI258,AJ258/2,AK258:AL258)</f>
        <v/>
      </c>
      <c r="AX258" s="2">
        <f>AM258*0.5+SUM(AN258:AP258)</f>
        <v/>
      </c>
      <c r="AY258" s="39">
        <f>SUM(-AR258+AS258*0.01+AT258*0.5+AU258)</f>
        <v/>
      </c>
      <c r="AZ258" s="39">
        <f>'0分'!AF255</f>
        <v/>
      </c>
      <c r="BA258" s="39">
        <f>SUM(AY258,AX258,AW258)</f>
        <v/>
      </c>
      <c r="BB258" s="250" t="n"/>
      <c r="BC258" s="79">
        <f t="array" ref="BC258">SUMPRODUCT(--(NOT(ISBLANK('0₦'!D258:M258))), '0₦'!D$2:M$2) +  SUMPRODUCT(--(NOT(ISBLANK('0₦'!Q258:T258))), '0₦'!Q$2:T$2)</f>
        <v/>
      </c>
      <c r="BD258" s="250">
        <f t="array" ref="BD258">SUMPRODUCT(--(NOT(ISBLANK('0₦'!N258:P258))),'0₦'!N$2:P$2)+'0₦'!AY258</f>
        <v/>
      </c>
      <c r="BE258" s="79">
        <f t="array" ref="BE258">SUMPRODUCT(--(NOT(ISBLANK('0₦'!AA258:AC258))),'0₦'!AA$2:AC$2) + BF258</f>
        <v/>
      </c>
      <c r="BF258" s="79" t="n"/>
      <c r="BG258" s="79">
        <f t="array" ref="BG258">SUMPRODUCT(--(NOT(ISBLANK('0₦'!U258:Z258))), '0₦'!U$2:Z$2)</f>
        <v/>
      </c>
      <c r="BH258" s="79" t="n"/>
      <c r="BI258" s="79">
        <f>SUM(BG258:BH258)</f>
        <v/>
      </c>
      <c r="BJ258" s="79" t="n"/>
      <c r="BK258" s="79" t="n"/>
      <c r="BL258" s="79" t="n"/>
      <c r="BM258" s="79" t="n"/>
      <c r="BN258" s="79" t="n"/>
      <c r="BO258" s="79" t="n"/>
      <c r="BP258" s="79" t="n"/>
      <c r="BQ258" s="79" t="n"/>
      <c r="BR258" s="79" t="n"/>
      <c r="BS258" s="79" t="n"/>
      <c r="BT258" s="79" t="n"/>
      <c r="BU258" s="79" t="n"/>
      <c r="BV258" s="79" t="n"/>
      <c r="BW258" s="79" t="n"/>
      <c r="BX258" s="79" t="n"/>
      <c r="BY258" s="79" t="n"/>
      <c r="BZ258" s="79" t="n"/>
      <c r="CA258" s="79" t="n"/>
    </row>
    <row r="259" hidden="1" ht="17.1" customHeight="1" s="37">
      <c r="A259" s="551" t="n"/>
      <c r="B259" s="150" t="inlineStr">
        <is>
          <t>T</t>
        </is>
      </c>
      <c r="C259" s="550">
        <f>C258+1</f>
        <v/>
      </c>
      <c r="G259" s="216" t="n"/>
      <c r="H259" s="57" t="n"/>
      <c r="O259" s="216" t="n"/>
      <c r="X259" s="20" t="n"/>
      <c r="AF259" s="450" t="n"/>
      <c r="AN259" s="45" t="n"/>
      <c r="AP259" s="45" t="n"/>
      <c r="AQ259" s="12" t="n"/>
      <c r="AR259" s="216" t="n">
        <v>40</v>
      </c>
      <c r="AS259" s="216" t="n"/>
      <c r="AT259" s="216" t="n"/>
      <c r="AU259" s="216">
        <f>N259+O259 + 0</f>
        <v/>
      </c>
      <c r="AW259" s="2">
        <f>SUM(AH259:AI259,AJ259/2,AK259:AL259)</f>
        <v/>
      </c>
      <c r="AX259" s="2">
        <f>AM259*0.5+SUM(AN259:AP259)</f>
        <v/>
      </c>
      <c r="AY259" s="39">
        <f>SUM(-AR259+AS259*0.01+AT259*0.5+AU259)</f>
        <v/>
      </c>
      <c r="AZ259" s="39">
        <f>'0分'!AF256</f>
        <v/>
      </c>
      <c r="BA259" s="39">
        <f>SUM(AY259,AX259,AW259)</f>
        <v/>
      </c>
      <c r="BB259" s="250" t="n"/>
      <c r="BC259" s="79">
        <f t="array" ref="BC259">SUMPRODUCT(--(NOT(ISBLANK('0₦'!D259:M259))), '0₦'!D$2:M$2) +  SUMPRODUCT(--(NOT(ISBLANK('0₦'!Q259:T259))), '0₦'!Q$2:T$2)</f>
        <v/>
      </c>
      <c r="BD259" s="250">
        <f t="array" ref="BD259">SUMPRODUCT(--(NOT(ISBLANK('0₦'!N259:P259))),'0₦'!N$2:P$2)+'0₦'!AY259</f>
        <v/>
      </c>
      <c r="BE259" s="79">
        <f t="array" ref="BE259">SUMPRODUCT(--(NOT(ISBLANK('0₦'!AA259:AC259))),'0₦'!AA$2:AC$2) + BF259</f>
        <v/>
      </c>
      <c r="BF259" s="79" t="n"/>
      <c r="BG259" s="79">
        <f t="array" ref="BG259">SUMPRODUCT(--(NOT(ISBLANK('0₦'!U259:Z259))), '0₦'!U$2:Z$2)</f>
        <v/>
      </c>
      <c r="BH259" s="79" t="n"/>
      <c r="BI259" s="79">
        <f>SUM(BG259:BH259)</f>
        <v/>
      </c>
      <c r="BJ259" s="79" t="n"/>
      <c r="BK259" s="79" t="n"/>
      <c r="BL259" s="79" t="n"/>
      <c r="BM259" s="79" t="n"/>
      <c r="BN259" s="79" t="n"/>
      <c r="BO259" s="79" t="n"/>
      <c r="BP259" s="79" t="n"/>
      <c r="BQ259" s="79" t="n"/>
      <c r="BR259" s="79" t="n"/>
      <c r="BS259" s="79" t="n"/>
      <c r="BT259" s="79" t="n"/>
      <c r="BU259" s="79" t="n"/>
      <c r="BV259" s="79" t="n"/>
      <c r="BW259" s="79" t="n"/>
      <c r="BX259" s="79" t="n"/>
      <c r="BY259" s="79" t="n"/>
      <c r="BZ259" s="79" t="n"/>
      <c r="CA259" s="79" t="n"/>
    </row>
    <row r="260" hidden="1" ht="17.1" customHeight="1" s="37">
      <c r="A260" s="551" t="n"/>
      <c r="B260" s="150" t="inlineStr">
        <is>
          <t>W</t>
        </is>
      </c>
      <c r="C260" s="550">
        <f>C259+1</f>
        <v/>
      </c>
      <c r="G260" s="216" t="n"/>
      <c r="H260" s="57" t="n"/>
      <c r="O260" s="216" t="n"/>
      <c r="X260" s="20" t="n"/>
      <c r="AF260" s="450" t="n"/>
      <c r="AN260" s="45" t="n"/>
      <c r="AP260" s="45" t="n"/>
      <c r="AQ260" s="12" t="n"/>
      <c r="AR260" s="216" t="n">
        <v>40</v>
      </c>
      <c r="AS260" s="216" t="n"/>
      <c r="AT260" s="216" t="n"/>
      <c r="AU260" s="216">
        <f>N260+O260 + 0</f>
        <v/>
      </c>
      <c r="AW260" s="2">
        <f>SUM(AH260:AI260,AJ260/2,AK260:AL260)</f>
        <v/>
      </c>
      <c r="AX260" s="2">
        <f>AM260*0.5+SUM(AN260:AP260)</f>
        <v/>
      </c>
      <c r="AY260" s="39">
        <f>SUM(-AR260+AS260*0.01+AT260*0.5+AU260)</f>
        <v/>
      </c>
      <c r="AZ260" s="39">
        <f>'0分'!AF257</f>
        <v/>
      </c>
      <c r="BA260" s="39">
        <f>SUM(AY260,AX260,AW260)</f>
        <v/>
      </c>
      <c r="BB260" s="250" t="n"/>
      <c r="BC260" s="79">
        <f t="array" ref="BC260">SUMPRODUCT(--(NOT(ISBLANK('0₦'!D260:M260))), '0₦'!D$2:M$2) +  SUMPRODUCT(--(NOT(ISBLANK('0₦'!Q260:T260))), '0₦'!Q$2:T$2)</f>
        <v/>
      </c>
      <c r="BD260" s="250">
        <f t="array" ref="BD260">SUMPRODUCT(--(NOT(ISBLANK('0₦'!N260:P260))),'0₦'!N$2:P$2)+'0₦'!AY260</f>
        <v/>
      </c>
      <c r="BE260" s="79">
        <f t="array" ref="BE260">SUMPRODUCT(--(NOT(ISBLANK('0₦'!AA260:AC260))),'0₦'!AA$2:AC$2) + BF260</f>
        <v/>
      </c>
      <c r="BF260" s="79" t="n"/>
      <c r="BG260" s="79">
        <f t="array" ref="BG260">SUMPRODUCT(--(NOT(ISBLANK('0₦'!U260:Z260))), '0₦'!U$2:Z$2)</f>
        <v/>
      </c>
      <c r="BH260" s="79" t="n"/>
      <c r="BI260" s="79">
        <f>SUM(BG260:BH260)</f>
        <v/>
      </c>
      <c r="BJ260" s="79" t="n"/>
      <c r="BK260" s="79" t="n"/>
      <c r="BL260" s="79" t="n"/>
      <c r="BM260" s="79" t="n"/>
      <c r="BN260" s="79" t="n"/>
      <c r="BO260" s="79" t="n"/>
      <c r="BP260" s="79" t="n"/>
      <c r="BQ260" s="79" t="n"/>
      <c r="BR260" s="79" t="n"/>
      <c r="BS260" s="79" t="n"/>
      <c r="BT260" s="79" t="n"/>
      <c r="BU260" s="79" t="n"/>
      <c r="BV260" s="79" t="n"/>
      <c r="BW260" s="79" t="n"/>
      <c r="BX260" s="79" t="n"/>
      <c r="BY260" s="79" t="n"/>
      <c r="BZ260" s="79" t="n"/>
      <c r="CA260" s="79" t="n"/>
    </row>
    <row r="261" hidden="1" ht="17.1" customHeight="1" s="37">
      <c r="A261" s="551" t="n"/>
      <c r="B261" s="150" t="inlineStr">
        <is>
          <t>Th</t>
        </is>
      </c>
      <c r="C261" s="550">
        <f>C260+1</f>
        <v/>
      </c>
      <c r="G261" s="216" t="n"/>
      <c r="H261" s="57" t="n"/>
      <c r="O261" s="216" t="n"/>
      <c r="X261" s="20" t="n"/>
      <c r="AF261" s="450" t="n"/>
      <c r="AN261" s="45" t="n"/>
      <c r="AP261" s="45" t="n"/>
      <c r="AQ261" s="12" t="n"/>
      <c r="AR261" s="216" t="n">
        <v>40</v>
      </c>
      <c r="AS261" s="216" t="n"/>
      <c r="AT261" s="216" t="n"/>
      <c r="AU261" s="216">
        <f>N261+O261 + 0</f>
        <v/>
      </c>
      <c r="AW261" s="2">
        <f>SUM(AH261:AI261,AJ261/2,AK261:AL261)</f>
        <v/>
      </c>
      <c r="AX261" s="2">
        <f>AM261*0.5+SUM(AN261:AP261)</f>
        <v/>
      </c>
      <c r="AY261" s="39">
        <f>SUM(-AR261+AS261*0.01+AT261*0.5+AU261)</f>
        <v/>
      </c>
      <c r="AZ261" s="39">
        <f>'0分'!AF258</f>
        <v/>
      </c>
      <c r="BA261" s="39">
        <f>SUM(AY261,AX261,AW261)</f>
        <v/>
      </c>
      <c r="BB261" s="250" t="n"/>
      <c r="BC261" s="79">
        <f t="array" ref="BC261">SUMPRODUCT(--(NOT(ISBLANK('0₦'!D261:M261))), '0₦'!D$2:M$2) +  SUMPRODUCT(--(NOT(ISBLANK('0₦'!Q261:T261))), '0₦'!Q$2:T$2)</f>
        <v/>
      </c>
      <c r="BD261" s="250">
        <f t="array" ref="BD261">SUMPRODUCT(--(NOT(ISBLANK('0₦'!N261:P261))),'0₦'!N$2:P$2)+'0₦'!AY261</f>
        <v/>
      </c>
      <c r="BE261" s="79">
        <f t="array" ref="BE261">SUMPRODUCT(--(NOT(ISBLANK('0₦'!AA261:AC261))),'0₦'!AA$2:AC$2) + BF261</f>
        <v/>
      </c>
      <c r="BF261" s="79" t="n"/>
      <c r="BG261" s="79">
        <f t="array" ref="BG261">SUMPRODUCT(--(NOT(ISBLANK('0₦'!U261:Z261))), '0₦'!U$2:Z$2)</f>
        <v/>
      </c>
      <c r="BH261" s="79" t="n"/>
      <c r="BI261" s="79">
        <f>SUM(BG261:BH261)</f>
        <v/>
      </c>
      <c r="BJ261" s="79" t="n"/>
      <c r="BK261" s="79" t="n"/>
      <c r="BL261" s="79" t="n"/>
      <c r="BM261" s="79" t="n"/>
      <c r="BN261" s="79" t="n"/>
      <c r="BO261" s="79" t="n"/>
      <c r="BP261" s="79" t="n"/>
      <c r="BQ261" s="79" t="n"/>
      <c r="BR261" s="79" t="n"/>
      <c r="BS261" s="79" t="n"/>
      <c r="BT261" s="79" t="n"/>
      <c r="BU261" s="79" t="n"/>
      <c r="BV261" s="79" t="n"/>
      <c r="BW261" s="79" t="n"/>
      <c r="BX261" s="79" t="n"/>
      <c r="BY261" s="79" t="n"/>
      <c r="BZ261" s="79" t="n"/>
      <c r="CA261" s="79" t="n"/>
    </row>
    <row r="262" hidden="1" ht="17.1" customHeight="1" s="37">
      <c r="A262" s="551" t="n"/>
      <c r="B262" s="150" t="inlineStr">
        <is>
          <t>F</t>
        </is>
      </c>
      <c r="C262" s="550">
        <f>C261+1</f>
        <v/>
      </c>
      <c r="G262" s="216" t="n"/>
      <c r="H262" s="57" t="n"/>
      <c r="O262" s="216" t="n"/>
      <c r="P262" s="38" t="n"/>
      <c r="R262" s="38" t="n"/>
      <c r="X262" s="20" t="n"/>
      <c r="AF262" s="450" t="n"/>
      <c r="AN262" s="45" t="n"/>
      <c r="AP262" s="45" t="n"/>
      <c r="AQ262" s="12" t="n"/>
      <c r="AR262" s="216" t="n">
        <v>40</v>
      </c>
      <c r="AS262" s="216" t="n"/>
      <c r="AT262" s="216" t="n"/>
      <c r="AU262" s="216">
        <f>N262+O262 + 0</f>
        <v/>
      </c>
      <c r="AW262" s="2">
        <f>SUM(AH262:AI262,AJ262/2,AK262:AL262)</f>
        <v/>
      </c>
      <c r="AX262" s="2">
        <f>AM262*0.5+SUM(AN262:AP262)</f>
        <v/>
      </c>
      <c r="AY262" s="39">
        <f>SUM(-AR262+AS262*0.01+AT262*0.5+AU262)</f>
        <v/>
      </c>
      <c r="AZ262" s="39">
        <f>'0分'!AF259</f>
        <v/>
      </c>
      <c r="BA262" s="39">
        <f>SUM(AY262,AX262,AW262)</f>
        <v/>
      </c>
      <c r="BB262" s="250" t="n"/>
      <c r="BC262" s="79">
        <f t="array" ref="BC262">SUMPRODUCT(--(NOT(ISBLANK('0₦'!D262:M262))), '0₦'!D$2:M$2) +  SUMPRODUCT(--(NOT(ISBLANK('0₦'!Q262:T262))), '0₦'!Q$2:T$2)</f>
        <v/>
      </c>
      <c r="BD262" s="250">
        <f t="array" ref="BD262">SUMPRODUCT(--(NOT(ISBLANK('0₦'!N262:P262))),'0₦'!N$2:P$2)+'0₦'!AY262</f>
        <v/>
      </c>
      <c r="BE262" s="79">
        <f t="array" ref="BE262">SUMPRODUCT(--(NOT(ISBLANK('0₦'!AA262:AC262))),'0₦'!AA$2:AC$2) + BF262</f>
        <v/>
      </c>
      <c r="BF262" s="79" t="n"/>
      <c r="BG262" s="79">
        <f t="array" ref="BG262">SUMPRODUCT(--(NOT(ISBLANK('0₦'!U262:Z262))), '0₦'!U$2:Z$2)</f>
        <v/>
      </c>
      <c r="BH262" s="79" t="n"/>
      <c r="BI262" s="79">
        <f>SUM(BG262:BH262)</f>
        <v/>
      </c>
      <c r="BJ262" s="79" t="n"/>
      <c r="BK262" s="79" t="n"/>
      <c r="BL262" s="79" t="n"/>
      <c r="BM262" s="79" t="n"/>
      <c r="BN262" s="79" t="n"/>
      <c r="BO262" s="79" t="n"/>
      <c r="BP262" s="79" t="n"/>
      <c r="BQ262" s="79" t="n"/>
      <c r="BR262" s="79" t="n"/>
      <c r="BS262" s="79" t="n"/>
      <c r="BT262" s="79" t="n"/>
      <c r="BU262" s="79" t="n"/>
      <c r="BV262" s="79" t="n"/>
      <c r="BW262" s="79" t="n"/>
      <c r="BX262" s="79" t="n"/>
      <c r="BY262" s="79" t="n"/>
      <c r="BZ262" s="79" t="n"/>
      <c r="CA262" s="79" t="n"/>
    </row>
    <row r="263" hidden="1" ht="21" customHeight="1" s="37">
      <c r="A263" s="552" t="n"/>
      <c r="B263" s="150" t="inlineStr">
        <is>
          <t>S</t>
        </is>
      </c>
      <c r="C263" s="550">
        <f>C262+1</f>
        <v/>
      </c>
      <c r="G263" s="216" t="n"/>
      <c r="H263" s="57" t="n"/>
      <c r="O263" s="216" t="n"/>
      <c r="X263" s="20" t="n"/>
      <c r="AF263" s="450" t="n"/>
      <c r="AN263" s="45" t="n"/>
      <c r="AP263" s="45" t="n"/>
      <c r="AQ263" s="12" t="n"/>
      <c r="AR263" s="216" t="n">
        <v>40</v>
      </c>
      <c r="AS263" s="216" t="n"/>
      <c r="AT263" s="216" t="n"/>
      <c r="AU263" s="216">
        <f>N263+O263 + 0</f>
        <v/>
      </c>
      <c r="AW263" s="2">
        <f>SUM(AH263:AI263,AJ263/2,AK263:AL263)</f>
        <v/>
      </c>
      <c r="AX263" s="2">
        <f>AM263*0.5+SUM(AN263:AP263)</f>
        <v/>
      </c>
      <c r="AY263" s="39">
        <f>SUM(-AR263+AS263*0.01+AT263*0.5+AU263)</f>
        <v/>
      </c>
      <c r="AZ263" s="39">
        <f>'0分'!AF260</f>
        <v/>
      </c>
      <c r="BA263" s="39">
        <f>SUM(AY263,AX263,AW263)</f>
        <v/>
      </c>
      <c r="BB263" s="250" t="n"/>
      <c r="BC263" s="79">
        <f t="array" ref="BC263">SUMPRODUCT(--(NOT(ISBLANK('0₦'!D263:M263))), '0₦'!D$2:M$2) +  SUMPRODUCT(--(NOT(ISBLANK('0₦'!Q263:T263))), '0₦'!Q$2:T$2)</f>
        <v/>
      </c>
      <c r="BD263" s="250">
        <f t="array" ref="BD263">SUMPRODUCT(--(NOT(ISBLANK('0₦'!N263:P263))),'0₦'!N$2:P$2)+'0₦'!AY263</f>
        <v/>
      </c>
      <c r="BE263" s="79">
        <f t="array" ref="BE263">SUMPRODUCT(--(NOT(ISBLANK('0₦'!AA263:AC263))),'0₦'!AA$2:AC$2) + BF263</f>
        <v/>
      </c>
      <c r="BF263" s="79" t="n"/>
      <c r="BG263" s="79">
        <f t="array" ref="BG263">SUMPRODUCT(--(NOT(ISBLANK('0₦'!U263:Z263))), '0₦'!U$2:Z$2)</f>
        <v/>
      </c>
      <c r="BH263" s="79" t="n"/>
      <c r="BI263" s="79">
        <f>SUM(BG263:BH263)</f>
        <v/>
      </c>
      <c r="BJ263" s="79" t="n"/>
      <c r="BK263" s="79" t="n"/>
      <c r="BL263" s="79" t="n"/>
      <c r="BM263" s="79" t="n"/>
      <c r="BN263" s="79" t="n"/>
      <c r="BO263" s="79" t="n"/>
      <c r="BP263" s="79" t="n"/>
      <c r="BQ263" s="79" t="n"/>
      <c r="BR263" s="79" t="n"/>
      <c r="BS263" s="79" t="n"/>
      <c r="BT263" s="79" t="n"/>
      <c r="BU263" s="79" t="n"/>
      <c r="BV263" s="79" t="n"/>
      <c r="BW263" s="79" t="n"/>
      <c r="BX263" s="79" t="n"/>
      <c r="BY263" s="79" t="n"/>
      <c r="BZ263" s="79" t="n"/>
      <c r="CA263" s="79" t="n"/>
    </row>
    <row r="264" hidden="1" ht="17.1" customHeight="1" s="37">
      <c r="A264" s="462">
        <f>A257+0.1</f>
        <v/>
      </c>
      <c r="B264" s="150" t="inlineStr">
        <is>
          <t>S</t>
        </is>
      </c>
      <c r="C264" s="550">
        <f>C263+1</f>
        <v/>
      </c>
      <c r="G264" s="216" t="n"/>
      <c r="H264" s="57" t="n"/>
      <c r="O264" s="216" t="n"/>
      <c r="X264" s="20" t="n"/>
      <c r="AF264" s="450" t="n"/>
      <c r="AN264" s="45" t="n"/>
      <c r="AP264" s="45" t="n"/>
      <c r="AQ264" s="12" t="n"/>
      <c r="AR264" s="216" t="n">
        <v>40</v>
      </c>
      <c r="AS264" s="216" t="n"/>
      <c r="AT264" s="216" t="n"/>
      <c r="AU264" s="216">
        <f>N264+O264 + 0</f>
        <v/>
      </c>
      <c r="AW264" s="2">
        <f>SUM(AH264:AI264,AJ264/2,AK264:AL264)</f>
        <v/>
      </c>
      <c r="AX264" s="2">
        <f>AM264*0.5+SUM(AN264:AP264)</f>
        <v/>
      </c>
      <c r="AY264" s="39">
        <f>SUM(-AR264+AS264*0.01+AT264*0.5+AU264)</f>
        <v/>
      </c>
      <c r="AZ264" s="39">
        <f>'0分'!AF261</f>
        <v/>
      </c>
      <c r="BA264" s="39">
        <f>SUM(AY264,AX264,AW264)</f>
        <v/>
      </c>
      <c r="BB264" s="250" t="n"/>
      <c r="BC264" s="79">
        <f t="array" ref="BC264">SUMPRODUCT(--(NOT(ISBLANK('0₦'!D264:M264))), '0₦'!D$2:M$2) +  SUMPRODUCT(--(NOT(ISBLANK('0₦'!Q264:T264))), '0₦'!Q$2:T$2)</f>
        <v/>
      </c>
      <c r="BD264" s="250">
        <f t="array" ref="BD264">SUMPRODUCT(--(NOT(ISBLANK('0₦'!N264:P264))),'0₦'!N$2:P$2)+'0₦'!AY264</f>
        <v/>
      </c>
      <c r="BE264" s="79">
        <f t="array" ref="BE264">SUMPRODUCT(--(NOT(ISBLANK('0₦'!AA264:AC264))),'0₦'!AA$2:AC$2) + BF264</f>
        <v/>
      </c>
      <c r="BF264" s="79" t="n"/>
      <c r="BG264" s="79">
        <f t="array" ref="BG264">SUMPRODUCT(--(NOT(ISBLANK('0₦'!U264:Z264))), '0₦'!U$2:Z$2)</f>
        <v/>
      </c>
      <c r="BH264" s="79" t="n"/>
      <c r="BI264" s="79">
        <f>SUM(BG264:BH264)</f>
        <v/>
      </c>
      <c r="BJ264" s="79" t="n"/>
      <c r="BK264" s="79" t="n"/>
      <c r="BL264" s="79" t="n"/>
      <c r="BM264" s="79" t="n"/>
      <c r="BN264" s="79" t="n"/>
      <c r="BO264" s="79" t="n"/>
      <c r="BP264" s="79" t="n"/>
      <c r="BQ264" s="79" t="n"/>
      <c r="BR264" s="79" t="n"/>
      <c r="BS264" s="79" t="n"/>
      <c r="BT264" s="79" t="n"/>
      <c r="BU264" s="79" t="n"/>
      <c r="BV264" s="79" t="n"/>
      <c r="BW264" s="79" t="n"/>
      <c r="BX264" s="79" t="n"/>
      <c r="BY264" s="79" t="n"/>
      <c r="BZ264" s="79" t="n"/>
      <c r="CA264" s="79" t="n"/>
    </row>
    <row r="265" hidden="1" ht="17.1" customHeight="1" s="37">
      <c r="A265" s="551" t="n"/>
      <c r="B265" s="150" t="inlineStr">
        <is>
          <t>M</t>
        </is>
      </c>
      <c r="C265" s="550">
        <f>C264+1</f>
        <v/>
      </c>
      <c r="G265" s="216" t="n"/>
      <c r="H265" s="57" t="n"/>
      <c r="O265" s="216" t="n"/>
      <c r="T265" s="38" t="n"/>
      <c r="X265" s="20" t="n"/>
      <c r="AF265" s="450" t="n"/>
      <c r="AN265" s="45" t="n"/>
      <c r="AP265" s="45" t="n"/>
      <c r="AQ265" s="12" t="n"/>
      <c r="AR265" s="216" t="n">
        <v>40</v>
      </c>
      <c r="AS265" s="216" t="n"/>
      <c r="AT265" s="216" t="n"/>
      <c r="AU265" s="216">
        <f>N265+O265 + 0</f>
        <v/>
      </c>
      <c r="AW265" s="2">
        <f>SUM(AH265:AI265,AJ265/2,AK265:AL265)</f>
        <v/>
      </c>
      <c r="AX265" s="2">
        <f>AM265*0.5+SUM(AN265:AP265)</f>
        <v/>
      </c>
      <c r="AY265" s="39">
        <f>SUM(-AR265+AS265*0.01+AT265*0.5+AU265)</f>
        <v/>
      </c>
      <c r="AZ265" s="39">
        <f>'0分'!AF262</f>
        <v/>
      </c>
      <c r="BA265" s="39">
        <f>SUM(AY265,AX265,AW265)</f>
        <v/>
      </c>
      <c r="BB265" s="250" t="n"/>
      <c r="BC265" s="79">
        <f t="array" ref="BC265">SUMPRODUCT(--(NOT(ISBLANK('0₦'!D265:M265))), '0₦'!D$2:M$2) +  SUMPRODUCT(--(NOT(ISBLANK('0₦'!Q265:T265))), '0₦'!Q$2:T$2)</f>
        <v/>
      </c>
      <c r="BD265" s="250">
        <f t="array" ref="BD265">SUMPRODUCT(--(NOT(ISBLANK('0₦'!N265:P265))),'0₦'!N$2:P$2)+'0₦'!AY265</f>
        <v/>
      </c>
      <c r="BE265" s="79">
        <f t="array" ref="BE265">SUMPRODUCT(--(NOT(ISBLANK('0₦'!AA265:AC265))),'0₦'!AA$2:AC$2) + BF265</f>
        <v/>
      </c>
      <c r="BF265" s="79" t="n"/>
      <c r="BG265" s="79">
        <f t="array" ref="BG265">SUMPRODUCT(--(NOT(ISBLANK('0₦'!U265:Z265))), '0₦'!U$2:Z$2)</f>
        <v/>
      </c>
      <c r="BH265" s="79" t="n"/>
      <c r="BI265" s="79">
        <f>SUM(BG265:BH265)</f>
        <v/>
      </c>
      <c r="BJ265" s="79" t="n"/>
      <c r="BK265" s="79" t="n"/>
      <c r="BL265" s="79" t="n"/>
      <c r="BM265" s="79" t="n"/>
      <c r="BN265" s="79" t="n"/>
      <c r="BO265" s="79" t="n"/>
      <c r="BP265" s="79" t="n"/>
      <c r="BQ265" s="79" t="n"/>
      <c r="BR265" s="79" t="n"/>
      <c r="BS265" s="79" t="n"/>
      <c r="BT265" s="79" t="n"/>
      <c r="BU265" s="79" t="n"/>
      <c r="BV265" s="79" t="n"/>
      <c r="BW265" s="79" t="n"/>
      <c r="BX265" s="79" t="n"/>
      <c r="BY265" s="79" t="n"/>
      <c r="BZ265" s="79" t="n"/>
      <c r="CA265" s="79" t="n"/>
    </row>
    <row r="266" hidden="1" ht="17.1" customHeight="1" s="37">
      <c r="A266" s="551" t="n"/>
      <c r="B266" s="150" t="inlineStr">
        <is>
          <t>T</t>
        </is>
      </c>
      <c r="C266" s="550">
        <f>C265+1</f>
        <v/>
      </c>
      <c r="G266" s="216" t="n"/>
      <c r="H266" s="57" t="n"/>
      <c r="O266" s="216" t="n"/>
      <c r="X266" s="20" t="n"/>
      <c r="AF266" s="450" t="n"/>
      <c r="AN266" s="45" t="n"/>
      <c r="AP266" s="45" t="n"/>
      <c r="AQ266" s="12" t="n"/>
      <c r="AR266" s="216" t="n">
        <v>40</v>
      </c>
      <c r="AS266" s="216" t="n"/>
      <c r="AT266" s="216" t="n"/>
      <c r="AU266" s="216">
        <f>N266+O266 + 0</f>
        <v/>
      </c>
      <c r="AW266" s="2">
        <f>SUM(AH266:AI266,AJ266/2,AK266:AL266)</f>
        <v/>
      </c>
      <c r="AX266" s="2">
        <f>AM266*0.5+SUM(AN266:AP266)</f>
        <v/>
      </c>
      <c r="AY266" s="39">
        <f>SUM(-AR266+AS266*0.01+AT266*0.5+AU266)</f>
        <v/>
      </c>
      <c r="AZ266" s="39">
        <f>'0分'!AF263</f>
        <v/>
      </c>
      <c r="BA266" s="39">
        <f>SUM(AY266,AX266,AW266)</f>
        <v/>
      </c>
      <c r="BB266" s="250" t="n"/>
      <c r="BC266" s="79">
        <f t="array" ref="BC266">SUMPRODUCT(--(NOT(ISBLANK('0₦'!D266:M266))), '0₦'!D$2:M$2) +  SUMPRODUCT(--(NOT(ISBLANK('0₦'!Q266:T266))), '0₦'!Q$2:T$2)</f>
        <v/>
      </c>
      <c r="BD266" s="250">
        <f t="array" ref="BD266">SUMPRODUCT(--(NOT(ISBLANK('0₦'!N266:P266))),'0₦'!N$2:P$2)+'0₦'!AY266</f>
        <v/>
      </c>
      <c r="BE266" s="79">
        <f t="array" ref="BE266">SUMPRODUCT(--(NOT(ISBLANK('0₦'!AA266:AC266))),'0₦'!AA$2:AC$2) + BF266</f>
        <v/>
      </c>
      <c r="BF266" s="79" t="n"/>
      <c r="BG266" s="79">
        <f t="array" ref="BG266">SUMPRODUCT(--(NOT(ISBLANK('0₦'!U266:Z266))), '0₦'!U$2:Z$2)</f>
        <v/>
      </c>
      <c r="BH266" s="79" t="n"/>
      <c r="BI266" s="79">
        <f>SUM(BG266:BH266)</f>
        <v/>
      </c>
      <c r="BJ266" s="79" t="n"/>
      <c r="BK266" s="79" t="n"/>
      <c r="BL266" s="79" t="n"/>
      <c r="BM266" s="79" t="n"/>
      <c r="BN266" s="79" t="n"/>
      <c r="BO266" s="79" t="n"/>
      <c r="BP266" s="79" t="n"/>
      <c r="BQ266" s="79" t="n"/>
      <c r="BR266" s="79" t="n"/>
      <c r="BS266" s="79" t="n"/>
      <c r="BT266" s="79" t="n"/>
      <c r="BU266" s="79" t="n"/>
      <c r="BV266" s="79" t="n"/>
      <c r="BW266" s="79" t="n"/>
      <c r="BX266" s="79" t="n"/>
      <c r="BY266" s="79" t="n"/>
      <c r="BZ266" s="79" t="n"/>
      <c r="CA266" s="79" t="n"/>
    </row>
    <row r="267" hidden="1" ht="17.1" customHeight="1" s="37">
      <c r="A267" s="551" t="n"/>
      <c r="B267" s="150" t="inlineStr">
        <is>
          <t>W</t>
        </is>
      </c>
      <c r="C267" s="550">
        <f>C266+1</f>
        <v/>
      </c>
      <c r="G267" s="216" t="n"/>
      <c r="H267" s="57" t="n"/>
      <c r="O267" s="216" t="n"/>
      <c r="T267" s="38" t="n"/>
      <c r="X267" s="20" t="n"/>
      <c r="AF267" s="450" t="n"/>
      <c r="AN267" s="45" t="n"/>
      <c r="AP267" s="45" t="n"/>
      <c r="AQ267" s="12" t="n"/>
      <c r="AR267" s="216" t="n">
        <v>40</v>
      </c>
      <c r="AS267" s="216" t="n"/>
      <c r="AT267" s="216" t="n"/>
      <c r="AU267" s="216">
        <f>N267+O267 + 0</f>
        <v/>
      </c>
      <c r="AW267" s="2">
        <f>SUM(AH267:AI267,AJ267/2,AK267:AL267)</f>
        <v/>
      </c>
      <c r="AX267" s="2">
        <f>AM267*0.5+SUM(AN267:AP267)</f>
        <v/>
      </c>
      <c r="AY267" s="39">
        <f>SUM(-AR267+AS267*0.01+AT267*0.5+AU267)</f>
        <v/>
      </c>
      <c r="AZ267" s="39">
        <f>'0分'!AF264</f>
        <v/>
      </c>
      <c r="BA267" s="39">
        <f>SUM(AY267,AX267,AW267)</f>
        <v/>
      </c>
      <c r="BB267" s="250" t="n"/>
      <c r="BC267" s="79">
        <f t="array" ref="BC267">SUMPRODUCT(--(NOT(ISBLANK('0₦'!D267:M267))), '0₦'!D$2:M$2) +  SUMPRODUCT(--(NOT(ISBLANK('0₦'!Q267:T267))), '0₦'!Q$2:T$2)</f>
        <v/>
      </c>
      <c r="BD267" s="250">
        <f t="array" ref="BD267">SUMPRODUCT(--(NOT(ISBLANK('0₦'!N267:P267))),'0₦'!N$2:P$2)+'0₦'!AY267</f>
        <v/>
      </c>
      <c r="BE267" s="79">
        <f t="array" ref="BE267">SUMPRODUCT(--(NOT(ISBLANK('0₦'!AA267:AC267))),'0₦'!AA$2:AC$2) + BF267</f>
        <v/>
      </c>
      <c r="BF267" s="79" t="n"/>
      <c r="BG267" s="79">
        <f t="array" ref="BG267">SUMPRODUCT(--(NOT(ISBLANK('0₦'!U267:Z267))), '0₦'!U$2:Z$2)</f>
        <v/>
      </c>
      <c r="BH267" s="79" t="n"/>
      <c r="BI267" s="79">
        <f>SUM(BG267:BH267)</f>
        <v/>
      </c>
      <c r="BJ267" s="79" t="n"/>
      <c r="BK267" s="79" t="n"/>
      <c r="BL267" s="79" t="n"/>
      <c r="BM267" s="79" t="n"/>
      <c r="BN267" s="79" t="n"/>
      <c r="BO267" s="79" t="n"/>
      <c r="BP267" s="79" t="n"/>
      <c r="BQ267" s="79" t="n"/>
      <c r="BR267" s="79" t="n"/>
      <c r="BS267" s="79" t="n"/>
      <c r="BT267" s="79" t="n"/>
      <c r="BU267" s="79" t="n"/>
      <c r="BV267" s="79" t="n"/>
      <c r="BW267" s="79" t="n"/>
      <c r="BX267" s="79" t="n"/>
      <c r="BY267" s="79" t="n"/>
      <c r="BZ267" s="79" t="n"/>
      <c r="CA267" s="79" t="n"/>
    </row>
    <row r="268" hidden="1" ht="17.1" customHeight="1" s="37">
      <c r="A268" s="551" t="n"/>
      <c r="B268" s="150" t="inlineStr">
        <is>
          <t>Th</t>
        </is>
      </c>
      <c r="C268" s="550">
        <f>C267+1</f>
        <v/>
      </c>
      <c r="G268" s="216" t="n"/>
      <c r="H268" s="57" t="n"/>
      <c r="O268" s="216" t="n"/>
      <c r="X268" s="20" t="n"/>
      <c r="AF268" s="450" t="n"/>
      <c r="AN268" s="45" t="n"/>
      <c r="AP268" s="45" t="n"/>
      <c r="AQ268" s="12" t="n"/>
      <c r="AR268" s="216" t="n">
        <v>40</v>
      </c>
      <c r="AS268" s="216" t="n"/>
      <c r="AT268" s="216" t="n"/>
      <c r="AU268" s="216">
        <f>N268+O268 + 0</f>
        <v/>
      </c>
      <c r="AW268" s="2">
        <f>SUM(AH268:AI268,AJ268/2,AK268:AL268)</f>
        <v/>
      </c>
      <c r="AX268" s="2">
        <f>AM268*0.5+SUM(AN268:AP268)</f>
        <v/>
      </c>
      <c r="AY268" s="39">
        <f>SUM(-AR268+AS268*0.01+AT268*0.5+AU268)</f>
        <v/>
      </c>
      <c r="AZ268" s="39">
        <f>'0分'!AF265</f>
        <v/>
      </c>
      <c r="BA268" s="39">
        <f>SUM(AY268,AX268,AW268)</f>
        <v/>
      </c>
      <c r="BB268" s="250" t="n"/>
      <c r="BC268" s="79">
        <f t="array" ref="BC268">SUMPRODUCT(--(NOT(ISBLANK('0₦'!D268:M268))), '0₦'!D$2:M$2) +  SUMPRODUCT(--(NOT(ISBLANK('0₦'!Q268:T268))), '0₦'!Q$2:T$2)</f>
        <v/>
      </c>
      <c r="BD268" s="250">
        <f t="array" ref="BD268">SUMPRODUCT(--(NOT(ISBLANK('0₦'!N268:P268))),'0₦'!N$2:P$2)+'0₦'!AY268</f>
        <v/>
      </c>
      <c r="BE268" s="79">
        <f t="array" ref="BE268">SUMPRODUCT(--(NOT(ISBLANK('0₦'!AA268:AC268))),'0₦'!AA$2:AC$2) + BF268</f>
        <v/>
      </c>
      <c r="BF268" s="79" t="n"/>
      <c r="BG268" s="79">
        <f t="array" ref="BG268">SUMPRODUCT(--(NOT(ISBLANK('0₦'!U268:Z268))), '0₦'!U$2:Z$2)</f>
        <v/>
      </c>
      <c r="BH268" s="79" t="n"/>
      <c r="BI268" s="79">
        <f>SUM(BG268:BH268)</f>
        <v/>
      </c>
      <c r="BJ268" s="79" t="n"/>
      <c r="BK268" s="79" t="n"/>
      <c r="BL268" s="79" t="n"/>
      <c r="BM268" s="79" t="n"/>
      <c r="BN268" s="79" t="n"/>
      <c r="BO268" s="79" t="n"/>
      <c r="BP268" s="79" t="n"/>
      <c r="BQ268" s="79" t="n"/>
      <c r="BR268" s="79" t="n"/>
      <c r="BS268" s="79" t="n"/>
      <c r="BT268" s="79" t="n"/>
      <c r="BU268" s="79" t="n"/>
      <c r="BV268" s="79" t="n"/>
      <c r="BW268" s="79" t="n"/>
      <c r="BX268" s="79" t="n"/>
      <c r="BY268" s="79" t="n"/>
      <c r="BZ268" s="79" t="n"/>
      <c r="CA268" s="79" t="n"/>
    </row>
    <row r="269" hidden="1" ht="17.1" customHeight="1" s="37">
      <c r="A269" s="551" t="n"/>
      <c r="B269" s="150" t="inlineStr">
        <is>
          <t>F</t>
        </is>
      </c>
      <c r="C269" s="550">
        <f>C268+1</f>
        <v/>
      </c>
      <c r="G269" s="216" t="n"/>
      <c r="H269" s="57" t="n"/>
      <c r="O269" s="216" t="n"/>
      <c r="X269" s="20" t="n"/>
      <c r="AF269" s="450" t="n"/>
      <c r="AN269" s="45" t="n"/>
      <c r="AP269" s="45" t="n"/>
      <c r="AQ269" s="12" t="n"/>
      <c r="AR269" s="216" t="n">
        <v>40</v>
      </c>
      <c r="AS269" s="216" t="n"/>
      <c r="AT269" s="216" t="n"/>
      <c r="AU269" s="216">
        <f>N269+O269 + 0</f>
        <v/>
      </c>
      <c r="AW269" s="2">
        <f>SUM(AH269:AI269,AJ269/2,AK269:AL269)</f>
        <v/>
      </c>
      <c r="AX269" s="2">
        <f>AM269*0.5+SUM(AN269:AP269)</f>
        <v/>
      </c>
      <c r="AY269" s="39">
        <f>SUM(-AR269+AS269*0.01+AT269*0.5+AU269)</f>
        <v/>
      </c>
      <c r="AZ269" s="39">
        <f>'0分'!AF266</f>
        <v/>
      </c>
      <c r="BA269" s="39">
        <f>SUM(AY269,AX269,AW269)</f>
        <v/>
      </c>
      <c r="BB269" s="250" t="n"/>
      <c r="BC269" s="79">
        <f t="array" ref="BC269">SUMPRODUCT(--(NOT(ISBLANK('0₦'!D269:M269))), '0₦'!D$2:M$2) +  SUMPRODUCT(--(NOT(ISBLANK('0₦'!Q269:T269))), '0₦'!Q$2:T$2)</f>
        <v/>
      </c>
      <c r="BD269" s="250">
        <f t="array" ref="BD269">SUMPRODUCT(--(NOT(ISBLANK('0₦'!N269:P269))),'0₦'!N$2:P$2)+'0₦'!AY269</f>
        <v/>
      </c>
      <c r="BE269" s="79">
        <f t="array" ref="BE269">SUMPRODUCT(--(NOT(ISBLANK('0₦'!AA269:AC269))),'0₦'!AA$2:AC$2) + BF269</f>
        <v/>
      </c>
      <c r="BF269" s="79" t="n"/>
      <c r="BG269" s="79">
        <f t="array" ref="BG269">SUMPRODUCT(--(NOT(ISBLANK('0₦'!U269:Z269))), '0₦'!U$2:Z$2)</f>
        <v/>
      </c>
      <c r="BH269" s="79" t="n"/>
      <c r="BI269" s="79">
        <f>SUM(BG269:BH269)</f>
        <v/>
      </c>
      <c r="BJ269" s="79" t="n"/>
      <c r="BK269" s="79" t="n"/>
      <c r="BL269" s="79" t="n"/>
      <c r="BM269" s="79" t="n"/>
      <c r="BN269" s="79" t="n"/>
      <c r="BO269" s="79" t="n"/>
      <c r="BP269" s="79" t="n"/>
      <c r="BQ269" s="79" t="n"/>
      <c r="BR269" s="79" t="n"/>
      <c r="BS269" s="79" t="n"/>
      <c r="BT269" s="79" t="n"/>
      <c r="BU269" s="79" t="n"/>
      <c r="BV269" s="79" t="n"/>
      <c r="BW269" s="79" t="n"/>
      <c r="BX269" s="79" t="n"/>
      <c r="BY269" s="79" t="n"/>
      <c r="BZ269" s="79" t="n"/>
      <c r="CA269" s="79" t="n"/>
    </row>
    <row r="270" hidden="1" ht="17.1" customHeight="1" s="37">
      <c r="A270" s="552" t="n"/>
      <c r="B270" s="150" t="inlineStr">
        <is>
          <t>S</t>
        </is>
      </c>
      <c r="C270" s="550">
        <f>C269+1</f>
        <v/>
      </c>
      <c r="G270" s="216" t="n"/>
      <c r="H270" s="57" t="n"/>
      <c r="O270" s="216" t="n"/>
      <c r="X270" s="20" t="n"/>
      <c r="AF270" s="450" t="n"/>
      <c r="AN270" s="45" t="n"/>
      <c r="AP270" s="45" t="n"/>
      <c r="AQ270" s="12" t="n"/>
      <c r="AR270" s="216" t="n">
        <v>40</v>
      </c>
      <c r="AS270" s="216" t="n"/>
      <c r="AT270" s="216" t="n"/>
      <c r="AU270" s="216">
        <f>N270+O270 + 0</f>
        <v/>
      </c>
      <c r="AW270" s="2">
        <f>SUM(AH270:AI270,AJ270/2,AK270:AL270)</f>
        <v/>
      </c>
      <c r="AX270" s="2">
        <f>AM270*0.5+SUM(AN270:AP270)</f>
        <v/>
      </c>
      <c r="AY270" s="39">
        <f>SUM(-AR270+AS270*0.01+AT270*0.5+AU270)</f>
        <v/>
      </c>
      <c r="AZ270" s="39">
        <f>'0分'!AF267</f>
        <v/>
      </c>
      <c r="BA270" s="39">
        <f>SUM(AY270,AX270,AW270)</f>
        <v/>
      </c>
      <c r="BB270" s="250" t="n"/>
      <c r="BC270" s="79">
        <f t="array" ref="BC270">SUMPRODUCT(--(NOT(ISBLANK('0₦'!D270:M270))), '0₦'!D$2:M$2) +  SUMPRODUCT(--(NOT(ISBLANK('0₦'!Q270:T270))), '0₦'!Q$2:T$2)</f>
        <v/>
      </c>
      <c r="BD270" s="250">
        <f t="array" ref="BD270">SUMPRODUCT(--(NOT(ISBLANK('0₦'!N270:P270))),'0₦'!N$2:P$2)+'0₦'!AY270</f>
        <v/>
      </c>
      <c r="BE270" s="79">
        <f t="array" ref="BE270">SUMPRODUCT(--(NOT(ISBLANK('0₦'!AA270:AC270))),'0₦'!AA$2:AC$2) + BF270</f>
        <v/>
      </c>
      <c r="BF270" s="79" t="n"/>
      <c r="BG270" s="79">
        <f t="array" ref="BG270">SUMPRODUCT(--(NOT(ISBLANK('0₦'!U270:Z270))), '0₦'!U$2:Z$2)</f>
        <v/>
      </c>
      <c r="BH270" s="79" t="n"/>
      <c r="BI270" s="79">
        <f>SUM(BG270:BH270)</f>
        <v/>
      </c>
      <c r="BJ270" s="79" t="n"/>
      <c r="BK270" s="79" t="n"/>
      <c r="BL270" s="79" t="n"/>
      <c r="BM270" s="79" t="n"/>
      <c r="BN270" s="79" t="n"/>
      <c r="BO270" s="79" t="n"/>
      <c r="BP270" s="79" t="n"/>
      <c r="BQ270" s="79" t="n"/>
      <c r="BR270" s="79" t="n"/>
      <c r="BS270" s="79" t="n"/>
      <c r="BT270" s="79" t="n"/>
      <c r="BU270" s="79" t="n"/>
      <c r="BV270" s="79" t="n"/>
      <c r="BW270" s="79" t="n"/>
      <c r="BX270" s="79" t="n"/>
      <c r="BY270" s="79" t="n"/>
      <c r="BZ270" s="79" t="n"/>
      <c r="CA270" s="79" t="n"/>
    </row>
    <row r="271" hidden="1" ht="17.1" customHeight="1" s="37">
      <c r="A271" s="462">
        <f>A264+0.1</f>
        <v/>
      </c>
      <c r="B271" s="150" t="inlineStr">
        <is>
          <t>S</t>
        </is>
      </c>
      <c r="C271" s="550">
        <f>C270+1</f>
        <v/>
      </c>
      <c r="G271" s="216" t="n"/>
      <c r="H271" s="57" t="n"/>
      <c r="O271" s="216" t="n"/>
      <c r="X271" s="20" t="n"/>
      <c r="AF271" s="450" t="n"/>
      <c r="AN271" s="45" t="n"/>
      <c r="AP271" s="45" t="n"/>
      <c r="AQ271" s="12" t="n"/>
      <c r="AR271" s="216" t="n">
        <v>40</v>
      </c>
      <c r="AS271" s="216" t="n"/>
      <c r="AT271" s="216" t="n"/>
      <c r="AU271" s="216">
        <f>N271+O271 + 0</f>
        <v/>
      </c>
      <c r="AW271" s="2">
        <f>SUM(AH271:AI271,AJ271/2,AK271:AL271)</f>
        <v/>
      </c>
      <c r="AX271" s="2">
        <f>AM271*0.5+SUM(AN271:AP271)</f>
        <v/>
      </c>
      <c r="AY271" s="39">
        <f>SUM(-AR271+AS271*0.01+AT271*0.5+AU271)</f>
        <v/>
      </c>
      <c r="AZ271" s="39">
        <f>'0分'!AF268</f>
        <v/>
      </c>
      <c r="BA271" s="39">
        <f>SUM(AY271,AX271,AW271)</f>
        <v/>
      </c>
      <c r="BB271" s="250" t="n"/>
      <c r="BC271" s="79">
        <f t="array" ref="BC271">SUMPRODUCT(--(NOT(ISBLANK('0₦'!D271:M271))), '0₦'!D$2:M$2) +  SUMPRODUCT(--(NOT(ISBLANK('0₦'!Q271:T271))), '0₦'!Q$2:T$2)</f>
        <v/>
      </c>
      <c r="BD271" s="250">
        <f t="array" ref="BD271">SUMPRODUCT(--(NOT(ISBLANK('0₦'!N271:P271))),'0₦'!N$2:P$2)+'0₦'!AY271</f>
        <v/>
      </c>
      <c r="BE271" s="79">
        <f t="array" ref="BE271">SUMPRODUCT(--(NOT(ISBLANK('0₦'!AA271:AC271))),'0₦'!AA$2:AC$2) + BF271</f>
        <v/>
      </c>
      <c r="BF271" s="79" t="n"/>
      <c r="BG271" s="79">
        <f t="array" ref="BG271">SUMPRODUCT(--(NOT(ISBLANK('0₦'!U271:Z271))), '0₦'!U$2:Z$2)</f>
        <v/>
      </c>
      <c r="BH271" s="79" t="n"/>
      <c r="BI271" s="79">
        <f>SUM(BG271:BH271)</f>
        <v/>
      </c>
      <c r="BJ271" s="79" t="n"/>
      <c r="BK271" s="79" t="n"/>
      <c r="BL271" s="79" t="n"/>
      <c r="BM271" s="79" t="n"/>
      <c r="BN271" s="79" t="n"/>
      <c r="BO271" s="79" t="n"/>
      <c r="BP271" s="79" t="n"/>
      <c r="BQ271" s="79" t="n"/>
      <c r="BR271" s="79" t="n"/>
      <c r="BS271" s="79" t="n"/>
      <c r="BT271" s="79" t="n"/>
      <c r="BU271" s="79" t="n"/>
      <c r="BV271" s="79" t="n"/>
      <c r="BW271" s="79" t="n"/>
      <c r="BX271" s="79" t="n"/>
      <c r="BY271" s="79" t="n"/>
      <c r="BZ271" s="79" t="n"/>
      <c r="CA271" s="79" t="n"/>
    </row>
    <row r="272" hidden="1" ht="17.1" customHeight="1" s="37">
      <c r="A272" s="551" t="n"/>
      <c r="B272" s="150" t="inlineStr">
        <is>
          <t>M</t>
        </is>
      </c>
      <c r="C272" s="550">
        <f>C271+1</f>
        <v/>
      </c>
      <c r="G272" s="216" t="n"/>
      <c r="H272" s="57" t="n"/>
      <c r="O272" s="216" t="n"/>
      <c r="X272" s="20" t="n"/>
      <c r="AF272" s="450" t="n"/>
      <c r="AN272" s="45" t="n"/>
      <c r="AP272" s="45" t="n"/>
      <c r="AQ272" s="12" t="n"/>
      <c r="AR272" s="216" t="n">
        <v>40</v>
      </c>
      <c r="AS272" s="216" t="n"/>
      <c r="AT272" s="216" t="n"/>
      <c r="AU272" s="216">
        <f>N272+O272 + 0</f>
        <v/>
      </c>
      <c r="AW272" s="2">
        <f>SUM(AH272:AI272,AJ272/2,AK272:AL272)</f>
        <v/>
      </c>
      <c r="AX272" s="2">
        <f>AM272*0.5+SUM(AN272:AP272)</f>
        <v/>
      </c>
      <c r="AY272" s="39">
        <f>SUM(-AR272+AS272*0.01+AT272*0.5+AU272)</f>
        <v/>
      </c>
      <c r="AZ272" s="39">
        <f>'0分'!AF269</f>
        <v/>
      </c>
      <c r="BA272" s="39">
        <f>SUM(AY272,AX272,AW272)</f>
        <v/>
      </c>
      <c r="BB272" s="250" t="n"/>
      <c r="BC272" s="79">
        <f t="array" ref="BC272">SUMPRODUCT(--(NOT(ISBLANK('0₦'!D272:M272))), '0₦'!D$2:M$2) +  SUMPRODUCT(--(NOT(ISBLANK('0₦'!Q272:T272))), '0₦'!Q$2:T$2)</f>
        <v/>
      </c>
      <c r="BD272" s="250">
        <f t="array" ref="BD272">SUMPRODUCT(--(NOT(ISBLANK('0₦'!N272:P272))),'0₦'!N$2:P$2)+'0₦'!AY272</f>
        <v/>
      </c>
      <c r="BE272" s="79">
        <f t="array" ref="BE272">SUMPRODUCT(--(NOT(ISBLANK('0₦'!AA272:AC272))),'0₦'!AA$2:AC$2) + BF272</f>
        <v/>
      </c>
      <c r="BF272" s="79" t="n"/>
      <c r="BG272" s="79">
        <f t="array" ref="BG272">SUMPRODUCT(--(NOT(ISBLANK('0₦'!U272:Z272))), '0₦'!U$2:Z$2)</f>
        <v/>
      </c>
      <c r="BH272" s="79" t="n"/>
      <c r="BI272" s="79">
        <f>SUM(BG272:BH272)</f>
        <v/>
      </c>
      <c r="BJ272" s="79" t="n"/>
      <c r="BK272" s="79" t="n"/>
      <c r="BL272" s="79" t="n"/>
      <c r="BM272" s="79" t="n"/>
      <c r="BN272" s="79" t="n"/>
      <c r="BO272" s="79" t="n"/>
      <c r="BP272" s="79" t="n"/>
      <c r="BQ272" s="79" t="n"/>
      <c r="BR272" s="79" t="n"/>
      <c r="BS272" s="79" t="n"/>
      <c r="BT272" s="79" t="n"/>
      <c r="BU272" s="79" t="n"/>
      <c r="BV272" s="79" t="n"/>
      <c r="BW272" s="79" t="n"/>
      <c r="BX272" s="79" t="n"/>
      <c r="BY272" s="79" t="n"/>
      <c r="BZ272" s="79" t="n"/>
      <c r="CA272" s="79" t="n"/>
    </row>
    <row r="273" hidden="1" ht="18" customHeight="1" s="37">
      <c r="A273" s="551" t="n"/>
      <c r="B273" s="150" t="inlineStr">
        <is>
          <t>T</t>
        </is>
      </c>
      <c r="C273" s="550">
        <f>C272+1</f>
        <v/>
      </c>
      <c r="G273" s="216" t="n"/>
      <c r="H273" s="57" t="n"/>
      <c r="O273" s="216" t="n"/>
      <c r="X273" s="20" t="n"/>
      <c r="AF273" s="450" t="n"/>
      <c r="AN273" s="45" t="n"/>
      <c r="AP273" s="45" t="n"/>
      <c r="AQ273" s="12" t="n"/>
      <c r="AR273" s="216" t="n">
        <v>40</v>
      </c>
      <c r="AS273" s="216" t="n"/>
      <c r="AT273" s="216" t="n"/>
      <c r="AU273" s="216">
        <f>N273+O273 + 0</f>
        <v/>
      </c>
      <c r="AW273" s="2">
        <f>SUM(AH273:AI273,AJ273/2,AK273:AL273)</f>
        <v/>
      </c>
      <c r="AX273" s="2">
        <f>AM273*0.5+SUM(AN273:AP273)</f>
        <v/>
      </c>
      <c r="AY273" s="39">
        <f>SUM(-AR273+AS273*0.01+AT273*0.5+AU273)</f>
        <v/>
      </c>
      <c r="AZ273" s="39">
        <f>'0分'!AF270</f>
        <v/>
      </c>
      <c r="BA273" s="39">
        <f>SUM(AY273,AX273,AW273)</f>
        <v/>
      </c>
      <c r="BB273" s="250" t="n"/>
      <c r="BC273" s="79">
        <f t="array" ref="BC273">SUMPRODUCT(--(NOT(ISBLANK('0₦'!D273:M273))), '0₦'!D$2:M$2) +  SUMPRODUCT(--(NOT(ISBLANK('0₦'!Q273:T273))), '0₦'!Q$2:T$2)</f>
        <v/>
      </c>
      <c r="BD273" s="250">
        <f t="array" ref="BD273">SUMPRODUCT(--(NOT(ISBLANK('0₦'!N273:P273))),'0₦'!N$2:P$2)+'0₦'!AY273</f>
        <v/>
      </c>
      <c r="BE273" s="79">
        <f t="array" ref="BE273">SUMPRODUCT(--(NOT(ISBLANK('0₦'!AA273:AC273))),'0₦'!AA$2:AC$2) + BF273</f>
        <v/>
      </c>
      <c r="BF273" s="79" t="n"/>
      <c r="BG273" s="79">
        <f t="array" ref="BG273">SUMPRODUCT(--(NOT(ISBLANK('0₦'!U273:Z273))), '0₦'!U$2:Z$2)</f>
        <v/>
      </c>
      <c r="BH273" s="79" t="n"/>
      <c r="BI273" s="79">
        <f>SUM(BG273:BH273)</f>
        <v/>
      </c>
      <c r="BJ273" s="79" t="n"/>
      <c r="BK273" s="79" t="n"/>
      <c r="BL273" s="79" t="n"/>
      <c r="BM273" s="79" t="n"/>
      <c r="BN273" s="79" t="n"/>
      <c r="BO273" s="79" t="n"/>
      <c r="BP273" s="79" t="n"/>
      <c r="BQ273" s="79" t="n"/>
      <c r="BR273" s="79" t="n"/>
      <c r="BS273" s="79" t="n"/>
      <c r="BT273" s="79" t="n"/>
      <c r="BU273" s="79" t="n"/>
      <c r="BV273" s="79" t="n"/>
      <c r="BW273" s="79" t="n"/>
      <c r="BX273" s="79" t="n"/>
      <c r="BY273" s="79" t="n"/>
      <c r="BZ273" s="79" t="n"/>
      <c r="CA273" s="79" t="n"/>
    </row>
    <row r="274" hidden="1" ht="15" customHeight="1" s="37">
      <c r="A274" s="551" t="n"/>
      <c r="B274" s="150" t="inlineStr">
        <is>
          <t>W</t>
        </is>
      </c>
      <c r="C274" s="550">
        <f>C273+1</f>
        <v/>
      </c>
      <c r="G274" s="216" t="n"/>
      <c r="H274" s="57" t="n"/>
      <c r="O274" s="216" t="n"/>
      <c r="X274" s="20" t="n"/>
      <c r="AF274" s="450" t="n"/>
      <c r="AN274" s="45" t="n"/>
      <c r="AP274" s="45" t="n"/>
      <c r="AQ274" s="12" t="n"/>
      <c r="AR274" s="216" t="n">
        <v>40</v>
      </c>
      <c r="AS274" s="216" t="n"/>
      <c r="AT274" s="216" t="n"/>
      <c r="AU274" s="216">
        <f>N274+O274 + 0</f>
        <v/>
      </c>
      <c r="AW274" s="2">
        <f>SUM(AH274:AI274,AJ274/2,AK274:AL274)</f>
        <v/>
      </c>
      <c r="AX274" s="2">
        <f>AM274*0.5+SUM(AN274:AP274)</f>
        <v/>
      </c>
      <c r="AY274" s="39">
        <f>SUM(-AR274+AS274*0.01+AT274*0.5+AU274)</f>
        <v/>
      </c>
      <c r="AZ274" s="39">
        <f>'0分'!AF271</f>
        <v/>
      </c>
      <c r="BA274" s="39">
        <f>SUM(AY274,AX274,AW274)</f>
        <v/>
      </c>
      <c r="BB274" s="250" t="n"/>
      <c r="BC274" s="79">
        <f t="array" ref="BC274">SUMPRODUCT(--(NOT(ISBLANK('0₦'!D274:M274))), '0₦'!D$2:M$2) +  SUMPRODUCT(--(NOT(ISBLANK('0₦'!Q274:T274))), '0₦'!Q$2:T$2)</f>
        <v/>
      </c>
      <c r="BD274" s="250">
        <f t="array" ref="BD274">SUMPRODUCT(--(NOT(ISBLANK('0₦'!N274:P274))),'0₦'!N$2:P$2)+'0₦'!AY274</f>
        <v/>
      </c>
      <c r="BE274" s="79">
        <f t="array" ref="BE274">SUMPRODUCT(--(NOT(ISBLANK('0₦'!AA274:AC274))),'0₦'!AA$2:AC$2) + BF274</f>
        <v/>
      </c>
      <c r="BF274" s="79" t="n"/>
      <c r="BG274" s="79">
        <f t="array" ref="BG274">SUMPRODUCT(--(NOT(ISBLANK('0₦'!U274:Z274))), '0₦'!U$2:Z$2)</f>
        <v/>
      </c>
      <c r="BH274" s="79" t="n"/>
      <c r="BI274" s="79">
        <f>SUM(BG274:BH274)</f>
        <v/>
      </c>
      <c r="BJ274" s="79" t="n"/>
      <c r="BK274" s="79" t="n"/>
      <c r="BL274" s="79" t="n"/>
      <c r="BM274" s="79" t="n"/>
      <c r="BN274" s="79" t="n"/>
      <c r="BO274" s="79" t="n"/>
      <c r="BP274" s="79" t="n"/>
      <c r="BQ274" s="79" t="n"/>
      <c r="BR274" s="79" t="n"/>
      <c r="BS274" s="79" t="n"/>
      <c r="BT274" s="79" t="n"/>
      <c r="BU274" s="79" t="n"/>
      <c r="BV274" s="79" t="n"/>
      <c r="BW274" s="79" t="n"/>
      <c r="BX274" s="79" t="n"/>
      <c r="BY274" s="79" t="n"/>
      <c r="BZ274" s="79" t="n"/>
      <c r="CA274" s="79" t="n"/>
    </row>
    <row r="275" hidden="1" ht="17.1" customHeight="1" s="37">
      <c r="A275" s="551" t="n"/>
      <c r="B275" s="150" t="inlineStr">
        <is>
          <t>Th</t>
        </is>
      </c>
      <c r="C275" s="550">
        <f>C274+1</f>
        <v/>
      </c>
      <c r="G275" s="216" t="n"/>
      <c r="H275" s="57" t="n"/>
      <c r="O275" s="216" t="n"/>
      <c r="T275" s="38" t="n"/>
      <c r="X275" s="20" t="n"/>
      <c r="AF275" s="450" t="n"/>
      <c r="AN275" s="45" t="n"/>
      <c r="AP275" s="45" t="n"/>
      <c r="AQ275" s="12" t="n"/>
      <c r="AR275" s="216" t="n">
        <v>40</v>
      </c>
      <c r="AS275" s="216" t="n"/>
      <c r="AT275" s="216" t="n"/>
      <c r="AU275" s="216">
        <f>N275+O275 + 0</f>
        <v/>
      </c>
      <c r="AW275" s="2">
        <f>SUM(AH275:AI275,AJ275/2,AK275:AL275)</f>
        <v/>
      </c>
      <c r="AX275" s="2">
        <f>AM275*0.5+SUM(AN275:AP275)</f>
        <v/>
      </c>
      <c r="AY275" s="39">
        <f>SUM(-AR275+AS275*0.01+AT275*0.5+AU275)</f>
        <v/>
      </c>
      <c r="AZ275" s="39">
        <f>'0分'!AF272</f>
        <v/>
      </c>
      <c r="BA275" s="39">
        <f>SUM(AY275,AX275,AW275)</f>
        <v/>
      </c>
      <c r="BB275" s="250" t="n"/>
      <c r="BC275" s="79">
        <f t="array" ref="BC275">SUMPRODUCT(--(NOT(ISBLANK('0₦'!D275:M275))), '0₦'!D$2:M$2) +  SUMPRODUCT(--(NOT(ISBLANK('0₦'!Q275:T275))), '0₦'!Q$2:T$2)</f>
        <v/>
      </c>
      <c r="BD275" s="250">
        <f t="array" ref="BD275">SUMPRODUCT(--(NOT(ISBLANK('0₦'!N275:P275))),'0₦'!N$2:P$2)+'0₦'!AY275</f>
        <v/>
      </c>
      <c r="BE275" s="79">
        <f t="array" ref="BE275">SUMPRODUCT(--(NOT(ISBLANK('0₦'!AA275:AC275))),'0₦'!AA$2:AC$2) + BF275</f>
        <v/>
      </c>
      <c r="BF275" s="79" t="n"/>
      <c r="BG275" s="79">
        <f t="array" ref="BG275">SUMPRODUCT(--(NOT(ISBLANK('0₦'!U275:Z275))), '0₦'!U$2:Z$2)</f>
        <v/>
      </c>
      <c r="BH275" s="79" t="n"/>
      <c r="BI275" s="79">
        <f>SUM(BG275:BH275)</f>
        <v/>
      </c>
      <c r="BJ275" s="79" t="n"/>
      <c r="BK275" s="79" t="n"/>
      <c r="BL275" s="79" t="n"/>
      <c r="BM275" s="79" t="n"/>
      <c r="BN275" s="79" t="n"/>
      <c r="BO275" s="79" t="n"/>
      <c r="BP275" s="79" t="n"/>
      <c r="BQ275" s="79" t="n"/>
      <c r="BR275" s="79" t="n"/>
      <c r="BS275" s="79" t="n"/>
      <c r="BT275" s="79" t="n"/>
      <c r="BU275" s="79" t="n"/>
      <c r="BV275" s="79" t="n"/>
      <c r="BW275" s="79" t="n"/>
      <c r="BX275" s="79" t="n"/>
      <c r="BY275" s="79" t="n"/>
      <c r="BZ275" s="79" t="n"/>
      <c r="CA275" s="79" t="n"/>
    </row>
    <row r="276" hidden="1" ht="17.1" customHeight="1" s="37">
      <c r="A276" s="551" t="n"/>
      <c r="B276" s="150" t="inlineStr">
        <is>
          <t>F</t>
        </is>
      </c>
      <c r="C276" s="550">
        <f>C275+1</f>
        <v/>
      </c>
      <c r="G276" s="216" t="n"/>
      <c r="H276" s="57" t="n"/>
      <c r="M276" s="38" t="n"/>
      <c r="O276" s="216" t="n"/>
      <c r="T276" s="38" t="n"/>
      <c r="X276" s="20" t="n"/>
      <c r="AF276" s="450" t="n"/>
      <c r="AN276" s="45" t="n"/>
      <c r="AP276" s="45" t="n"/>
      <c r="AQ276" s="12" t="n"/>
      <c r="AR276" s="216" t="n">
        <v>40</v>
      </c>
      <c r="AS276" s="216" t="n"/>
      <c r="AT276" s="216" t="n"/>
      <c r="AU276" s="216">
        <f>N276+O276 + 0</f>
        <v/>
      </c>
      <c r="AW276" s="2">
        <f>SUM(AH276:AI276,AJ276/2,AK276:AL276)</f>
        <v/>
      </c>
      <c r="AX276" s="2">
        <f>AM276*0.5+SUM(AN276:AP276)</f>
        <v/>
      </c>
      <c r="AY276" s="39">
        <f>SUM(-AR276+AS276*0.01+AT276*0.5+AU276)</f>
        <v/>
      </c>
      <c r="AZ276" s="39">
        <f>'0分'!AF273</f>
        <v/>
      </c>
      <c r="BA276" s="39">
        <f>SUM(AY276,AX276,AW276)</f>
        <v/>
      </c>
      <c r="BB276" s="250" t="n"/>
      <c r="BC276" s="79">
        <f t="array" ref="BC276">SUMPRODUCT(--(NOT(ISBLANK('0₦'!D276:M276))), '0₦'!D$2:M$2) +  SUMPRODUCT(--(NOT(ISBLANK('0₦'!Q276:T276))), '0₦'!Q$2:T$2)</f>
        <v/>
      </c>
      <c r="BD276" s="250">
        <f t="array" ref="BD276">SUMPRODUCT(--(NOT(ISBLANK('0₦'!N276:P276))),'0₦'!N$2:P$2)+'0₦'!AY276</f>
        <v/>
      </c>
      <c r="BE276" s="79">
        <f t="array" ref="BE276">SUMPRODUCT(--(NOT(ISBLANK('0₦'!AA276:AC276))),'0₦'!AA$2:AC$2) + BF276</f>
        <v/>
      </c>
      <c r="BF276" s="79" t="n"/>
      <c r="BG276" s="79">
        <f t="array" ref="BG276">SUMPRODUCT(--(NOT(ISBLANK('0₦'!U276:Z276))), '0₦'!U$2:Z$2)</f>
        <v/>
      </c>
      <c r="BH276" s="79" t="n"/>
      <c r="BI276" s="79">
        <f>SUM(BG276:BH276)</f>
        <v/>
      </c>
      <c r="BJ276" s="79" t="n"/>
      <c r="BK276" s="79" t="n"/>
      <c r="BL276" s="79" t="n"/>
      <c r="BM276" s="79" t="n"/>
      <c r="BN276" s="79" t="n"/>
      <c r="BO276" s="79" t="n"/>
      <c r="BP276" s="79" t="n"/>
      <c r="BQ276" s="79" t="n"/>
      <c r="BR276" s="79" t="n"/>
      <c r="BS276" s="79" t="n"/>
      <c r="BT276" s="79" t="n"/>
      <c r="BU276" s="79" t="n"/>
      <c r="BV276" s="79" t="n"/>
      <c r="BW276" s="79" t="n"/>
      <c r="BX276" s="79" t="n"/>
      <c r="BY276" s="79" t="n"/>
      <c r="BZ276" s="79" t="n"/>
      <c r="CA276" s="79" t="n"/>
    </row>
    <row r="277" hidden="1" ht="18" customHeight="1" s="37">
      <c r="A277" s="552" t="n"/>
      <c r="B277" s="150" t="inlineStr">
        <is>
          <t>S</t>
        </is>
      </c>
      <c r="C277" s="550">
        <f>C276+1</f>
        <v/>
      </c>
      <c r="G277" s="216" t="n"/>
      <c r="H277" s="57" t="n"/>
      <c r="O277" s="216" t="n"/>
      <c r="X277" s="20" t="n"/>
      <c r="AF277" s="450" t="n"/>
      <c r="AN277" s="45" t="n"/>
      <c r="AP277" s="45" t="n"/>
      <c r="AQ277" s="12" t="n"/>
      <c r="AR277" s="216" t="n">
        <v>40</v>
      </c>
      <c r="AS277" s="216" t="n"/>
      <c r="AT277" s="216" t="n"/>
      <c r="AU277" s="216">
        <f>N277+O277 + 0</f>
        <v/>
      </c>
      <c r="AW277" s="2">
        <f>SUM(AH277:AI277,AJ277/2,AK277:AL277)</f>
        <v/>
      </c>
      <c r="AX277" s="2">
        <f>AM277*0.5+SUM(AN277:AP277)</f>
        <v/>
      </c>
      <c r="AY277" s="39">
        <f>SUM(-AR277+AS277*0.01+AT277*0.5+AU277)</f>
        <v/>
      </c>
      <c r="AZ277" s="39">
        <f>'0分'!AF274</f>
        <v/>
      </c>
      <c r="BA277" s="39">
        <f>SUM(AY277,AX277,AW277)</f>
        <v/>
      </c>
      <c r="BB277" s="250" t="n"/>
      <c r="BC277" s="79">
        <f t="array" ref="BC277">SUMPRODUCT(--(NOT(ISBLANK('0₦'!D277:M277))), '0₦'!D$2:M$2) +  SUMPRODUCT(--(NOT(ISBLANK('0₦'!Q277:T277))), '0₦'!Q$2:T$2)</f>
        <v/>
      </c>
      <c r="BD277" s="250">
        <f t="array" ref="BD277">SUMPRODUCT(--(NOT(ISBLANK('0₦'!N277:P277))),'0₦'!N$2:P$2)+'0₦'!AY277</f>
        <v/>
      </c>
      <c r="BE277" s="79">
        <f t="array" ref="BE277">SUMPRODUCT(--(NOT(ISBLANK('0₦'!AA277:AC277))),'0₦'!AA$2:AC$2) + BF277</f>
        <v/>
      </c>
      <c r="BF277" s="79" t="n"/>
      <c r="BG277" s="79">
        <f t="array" ref="BG277">SUMPRODUCT(--(NOT(ISBLANK('0₦'!U277:Z277))), '0₦'!U$2:Z$2)</f>
        <v/>
      </c>
      <c r="BH277" s="79" t="n"/>
      <c r="BI277" s="79">
        <f>SUM(BG277:BH277)</f>
        <v/>
      </c>
      <c r="BJ277" s="79" t="n"/>
      <c r="BK277" s="79" t="n"/>
      <c r="BL277" s="79" t="n"/>
      <c r="BM277" s="79" t="n"/>
      <c r="BN277" s="79" t="n"/>
      <c r="BO277" s="79" t="n"/>
      <c r="BP277" s="79" t="n"/>
      <c r="BQ277" s="79" t="n"/>
      <c r="BR277" s="79" t="n"/>
      <c r="BS277" s="79" t="n"/>
      <c r="BT277" s="79" t="n"/>
      <c r="BU277" s="79" t="n"/>
      <c r="BV277" s="79" t="n"/>
      <c r="BW277" s="79" t="n"/>
      <c r="BX277" s="79" t="n"/>
      <c r="BY277" s="79" t="n"/>
      <c r="BZ277" s="79" t="n"/>
      <c r="CA277" s="79" t="n"/>
    </row>
    <row r="278" hidden="1" ht="17.1" customHeight="1" s="37">
      <c r="A278" s="462">
        <f>A243+1</f>
        <v/>
      </c>
      <c r="B278" s="150" t="inlineStr">
        <is>
          <t>S</t>
        </is>
      </c>
      <c r="C278" s="550">
        <f>C277+1</f>
        <v/>
      </c>
      <c r="G278" s="216" t="n"/>
      <c r="H278" s="57" t="n"/>
      <c r="O278" s="216" t="n"/>
      <c r="X278" s="20" t="n"/>
      <c r="AF278" s="450" t="n"/>
      <c r="AN278" s="45" t="n"/>
      <c r="AP278" s="45" t="n"/>
      <c r="AQ278" s="12" t="n"/>
      <c r="AR278" s="216" t="n">
        <v>40</v>
      </c>
      <c r="AS278" s="216" t="n"/>
      <c r="AT278" s="216" t="n"/>
      <c r="AU278" s="216">
        <f>N278+O278 + 0</f>
        <v/>
      </c>
      <c r="AW278" s="2">
        <f>SUM(AH278:AI278,AJ278/2,AK278:AL278)</f>
        <v/>
      </c>
      <c r="AX278" s="2">
        <f>AM278*0.5+SUM(AN278:AP278)</f>
        <v/>
      </c>
      <c r="AY278" s="39">
        <f>SUM(-AR278+AS278*0.01+AT278*0.5+AU278)</f>
        <v/>
      </c>
      <c r="AZ278" s="39">
        <f>'0分'!AF275</f>
        <v/>
      </c>
      <c r="BA278" s="39">
        <f>SUM(AY278,AX278,AW278)</f>
        <v/>
      </c>
      <c r="BB278" s="250" t="n"/>
      <c r="BC278" s="79">
        <f t="array" ref="BC278">SUMPRODUCT(--(NOT(ISBLANK('0₦'!D278:M278))), '0₦'!D$2:M$2) +  SUMPRODUCT(--(NOT(ISBLANK('0₦'!Q278:T278))), '0₦'!Q$2:T$2)</f>
        <v/>
      </c>
      <c r="BD278" s="250">
        <f t="array" ref="BD278">SUMPRODUCT(--(NOT(ISBLANK('0₦'!N278:P278))),'0₦'!N$2:P$2)+'0₦'!AY278</f>
        <v/>
      </c>
      <c r="BE278" s="79">
        <f t="array" ref="BE278">SUMPRODUCT(--(NOT(ISBLANK('0₦'!AA278:AC278))),'0₦'!AA$2:AC$2) + BF278</f>
        <v/>
      </c>
      <c r="BF278" s="79" t="n"/>
      <c r="BG278" s="79">
        <f t="array" ref="BG278">SUMPRODUCT(--(NOT(ISBLANK('0₦'!U278:Z278))), '0₦'!U$2:Z$2)</f>
        <v/>
      </c>
      <c r="BH278" s="79" t="n"/>
      <c r="BI278" s="79">
        <f>SUM(BG278:BH278)</f>
        <v/>
      </c>
      <c r="BJ278" s="79" t="n"/>
      <c r="BK278" s="79" t="n"/>
      <c r="BL278" s="79" t="n"/>
      <c r="BM278" s="79" t="n"/>
      <c r="BN278" s="79" t="n"/>
      <c r="BO278" s="79" t="n"/>
      <c r="BP278" s="79" t="n"/>
      <c r="BQ278" s="79" t="n"/>
      <c r="BR278" s="79" t="n"/>
      <c r="BS278" s="79" t="n"/>
      <c r="BT278" s="79" t="n"/>
      <c r="BU278" s="79" t="n"/>
      <c r="BV278" s="79" t="n"/>
      <c r="BW278" s="79" t="n"/>
      <c r="BX278" s="79" t="n"/>
      <c r="BY278" s="79" t="n"/>
      <c r="BZ278" s="79" t="n"/>
      <c r="CA278" s="79" t="n"/>
    </row>
    <row r="279" hidden="1" ht="20.1" customHeight="1" s="37">
      <c r="A279" s="551" t="n"/>
      <c r="B279" s="150" t="inlineStr">
        <is>
          <t>M</t>
        </is>
      </c>
      <c r="C279" s="550">
        <f>C278+1</f>
        <v/>
      </c>
      <c r="G279" s="216" t="n"/>
      <c r="H279" s="57" t="n"/>
      <c r="O279" s="216" t="n"/>
      <c r="X279" s="20" t="n"/>
      <c r="AF279" s="450" t="n"/>
      <c r="AN279" s="45" t="n"/>
      <c r="AP279" s="45" t="n"/>
      <c r="AQ279" s="12" t="n"/>
      <c r="AR279" s="216" t="n">
        <v>40</v>
      </c>
      <c r="AS279" s="216" t="n"/>
      <c r="AT279" s="216" t="n"/>
      <c r="AU279" s="216">
        <f>N279+O279 + 0</f>
        <v/>
      </c>
      <c r="AW279" s="2">
        <f>SUM(AH279:AI279,AJ279/2,AK279:AL279)</f>
        <v/>
      </c>
      <c r="AX279" s="2">
        <f>AM279*0.5+SUM(AN279:AP279)</f>
        <v/>
      </c>
      <c r="AY279" s="39">
        <f>SUM(-AR279+AS279*0.01+AT279*0.5+AU279)</f>
        <v/>
      </c>
      <c r="AZ279" s="39">
        <f>'0分'!AF276</f>
        <v/>
      </c>
      <c r="BA279" s="39">
        <f>SUM(AY279,AX279,AW279)</f>
        <v/>
      </c>
      <c r="BB279" s="250" t="n"/>
      <c r="BC279" s="79">
        <f t="array" ref="BC279">SUMPRODUCT(--(NOT(ISBLANK('0₦'!D279:M279))), '0₦'!D$2:M$2) +  SUMPRODUCT(--(NOT(ISBLANK('0₦'!Q279:T279))), '0₦'!Q$2:T$2)</f>
        <v/>
      </c>
      <c r="BD279" s="250">
        <f t="array" ref="BD279">SUMPRODUCT(--(NOT(ISBLANK('0₦'!N279:P279))),'0₦'!N$2:P$2)+'0₦'!AY279</f>
        <v/>
      </c>
      <c r="BE279" s="79">
        <f t="array" ref="BE279">SUMPRODUCT(--(NOT(ISBLANK('0₦'!AA279:AC279))),'0₦'!AA$2:AC$2) + BF279</f>
        <v/>
      </c>
      <c r="BF279" s="79" t="n"/>
      <c r="BG279" s="79">
        <f t="array" ref="BG279">SUMPRODUCT(--(NOT(ISBLANK('0₦'!U279:Z279))), '0₦'!U$2:Z$2)</f>
        <v/>
      </c>
      <c r="BH279" s="79" t="n"/>
      <c r="BI279" s="79">
        <f>SUM(BG279:BH279)</f>
        <v/>
      </c>
      <c r="BJ279" s="79" t="n"/>
      <c r="BK279" s="79" t="n"/>
      <c r="BL279" s="79" t="n"/>
      <c r="BM279" s="79" t="n"/>
      <c r="BN279" s="79" t="n"/>
      <c r="BO279" s="79" t="n"/>
      <c r="BP279" s="79" t="n"/>
      <c r="BQ279" s="79" t="n"/>
      <c r="BR279" s="79" t="n"/>
      <c r="BS279" s="79" t="n"/>
      <c r="BT279" s="79" t="n"/>
      <c r="BU279" s="79" t="n"/>
      <c r="BV279" s="79" t="n"/>
      <c r="BW279" s="79" t="n"/>
      <c r="BX279" s="79" t="n"/>
      <c r="BY279" s="79" t="n"/>
      <c r="BZ279" s="79" t="n"/>
      <c r="CA279" s="79" t="n"/>
    </row>
    <row r="280" hidden="1" ht="17.1" customHeight="1" s="37">
      <c r="A280" s="551" t="n"/>
      <c r="B280" s="150" t="inlineStr">
        <is>
          <t>T</t>
        </is>
      </c>
      <c r="C280" s="550">
        <f>C279+1</f>
        <v/>
      </c>
      <c r="G280" s="216" t="n"/>
      <c r="H280" s="57" t="n"/>
      <c r="O280" s="216" t="n"/>
      <c r="T280" s="38" t="n"/>
      <c r="X280" s="20" t="n"/>
      <c r="AF280" s="450" t="n"/>
      <c r="AN280" s="45" t="n"/>
      <c r="AP280" s="45" t="n"/>
      <c r="AQ280" s="12" t="n"/>
      <c r="AR280" s="216" t="n">
        <v>40</v>
      </c>
      <c r="AS280" s="216" t="n"/>
      <c r="AT280" s="216" t="n"/>
      <c r="AU280" s="216">
        <f>N280+O280 + 0</f>
        <v/>
      </c>
      <c r="AW280" s="2">
        <f>SUM(AH280:AI280,AJ280/2,AK280:AL280)</f>
        <v/>
      </c>
      <c r="AX280" s="2">
        <f>AM280*0.5+SUM(AN280:AP280)</f>
        <v/>
      </c>
      <c r="AY280" s="39">
        <f>SUM(-AR280+AS280*0.01+AT280*0.5+AU280)</f>
        <v/>
      </c>
      <c r="AZ280" s="39">
        <f>'0分'!AF277</f>
        <v/>
      </c>
      <c r="BA280" s="39">
        <f>SUM(AY280,AX280,AW280)</f>
        <v/>
      </c>
      <c r="BB280" s="250" t="n"/>
      <c r="BC280" s="79">
        <f t="array" ref="BC280">SUMPRODUCT(--(NOT(ISBLANK('0₦'!D280:M280))), '0₦'!D$2:M$2) +  SUMPRODUCT(--(NOT(ISBLANK('0₦'!Q280:T280))), '0₦'!Q$2:T$2)</f>
        <v/>
      </c>
      <c r="BD280" s="250">
        <f t="array" ref="BD280">SUMPRODUCT(--(NOT(ISBLANK('0₦'!N280:P280))),'0₦'!N$2:P$2)+'0₦'!AY280</f>
        <v/>
      </c>
      <c r="BE280" s="79">
        <f t="array" ref="BE280">SUMPRODUCT(--(NOT(ISBLANK('0₦'!AA280:AC280))),'0₦'!AA$2:AC$2) + BF280</f>
        <v/>
      </c>
      <c r="BF280" s="79" t="n"/>
      <c r="BG280" s="79">
        <f t="array" ref="BG280">SUMPRODUCT(--(NOT(ISBLANK('0₦'!U280:Z280))), '0₦'!U$2:Z$2)</f>
        <v/>
      </c>
      <c r="BH280" s="79" t="n"/>
      <c r="BI280" s="79">
        <f>SUM(BG280:BH280)</f>
        <v/>
      </c>
      <c r="BJ280" s="79" t="n"/>
      <c r="BK280" s="79" t="n"/>
      <c r="BL280" s="79" t="n"/>
      <c r="BM280" s="79" t="n"/>
      <c r="BN280" s="79" t="n"/>
      <c r="BO280" s="79" t="n"/>
      <c r="BP280" s="79" t="n"/>
      <c r="BQ280" s="79" t="n"/>
      <c r="BR280" s="79" t="n"/>
      <c r="BS280" s="79" t="n"/>
      <c r="BT280" s="79" t="n"/>
      <c r="BU280" s="79" t="n"/>
      <c r="BV280" s="79" t="n"/>
      <c r="BW280" s="79" t="n"/>
      <c r="BX280" s="79" t="n"/>
      <c r="BY280" s="79" t="n"/>
      <c r="BZ280" s="79" t="n"/>
      <c r="CA280" s="79" t="n"/>
    </row>
    <row r="281" hidden="1" ht="17.1" customHeight="1" s="37">
      <c r="A281" s="551" t="n"/>
      <c r="B281" s="150" t="inlineStr">
        <is>
          <t>W</t>
        </is>
      </c>
      <c r="C281" s="550">
        <f>C280+1</f>
        <v/>
      </c>
      <c r="G281" s="216" t="n"/>
      <c r="H281" s="57" t="n"/>
      <c r="O281" s="216" t="n"/>
      <c r="X281" s="20" t="n"/>
      <c r="AF281" s="450" t="n"/>
      <c r="AN281" s="45" t="n"/>
      <c r="AP281" s="45" t="n"/>
      <c r="AQ281" s="12" t="n"/>
      <c r="AR281" s="216" t="n">
        <v>40</v>
      </c>
      <c r="AS281" s="216" t="n"/>
      <c r="AT281" s="216" t="n"/>
      <c r="AU281" s="216">
        <f>N281+O281 + 0</f>
        <v/>
      </c>
      <c r="AW281" s="2">
        <f>SUM(AH281:AI281,AJ281/2,AK281:AL281)</f>
        <v/>
      </c>
      <c r="AX281" s="2">
        <f>AM281*0.5+SUM(AN281:AP281)</f>
        <v/>
      </c>
      <c r="AY281" s="39">
        <f>SUM(-AR281+AS281*0.01+AT281*0.5+AU281)</f>
        <v/>
      </c>
      <c r="AZ281" s="39">
        <f>'0分'!AF278</f>
        <v/>
      </c>
      <c r="BA281" s="39">
        <f>SUM(AY281,AX281,AW281)</f>
        <v/>
      </c>
      <c r="BB281" s="250" t="n"/>
      <c r="BC281" s="79">
        <f t="array" ref="BC281">SUMPRODUCT(--(NOT(ISBLANK('0₦'!D281:M281))), '0₦'!D$2:M$2) +  SUMPRODUCT(--(NOT(ISBLANK('0₦'!Q281:T281))), '0₦'!Q$2:T$2)</f>
        <v/>
      </c>
      <c r="BD281" s="250">
        <f t="array" ref="BD281">SUMPRODUCT(--(NOT(ISBLANK('0₦'!N281:P281))),'0₦'!N$2:P$2)+'0₦'!AY281</f>
        <v/>
      </c>
      <c r="BE281" s="79">
        <f t="array" ref="BE281">SUMPRODUCT(--(NOT(ISBLANK('0₦'!AA281:AC281))),'0₦'!AA$2:AC$2) + BF281</f>
        <v/>
      </c>
      <c r="BF281" s="79" t="n"/>
      <c r="BG281" s="79">
        <f t="array" ref="BG281">SUMPRODUCT(--(NOT(ISBLANK('0₦'!U281:Z281))), '0₦'!U$2:Z$2)</f>
        <v/>
      </c>
      <c r="BH281" s="79" t="n"/>
      <c r="BI281" s="79">
        <f>SUM(BG281:BH281)</f>
        <v/>
      </c>
      <c r="BJ281" s="79" t="n"/>
      <c r="BK281" s="79" t="n"/>
      <c r="BL281" s="79" t="n"/>
      <c r="BM281" s="79" t="n"/>
      <c r="BN281" s="79" t="n"/>
      <c r="BO281" s="79" t="n"/>
      <c r="BP281" s="79" t="n"/>
      <c r="BQ281" s="79" t="n"/>
      <c r="BR281" s="79" t="n"/>
      <c r="BS281" s="79" t="n"/>
      <c r="BT281" s="79" t="n"/>
      <c r="BU281" s="79" t="n"/>
      <c r="BV281" s="79" t="n"/>
      <c r="BW281" s="79" t="n"/>
      <c r="BX281" s="79" t="n"/>
      <c r="BY281" s="79" t="n"/>
      <c r="BZ281" s="79" t="n"/>
      <c r="CA281" s="79" t="n"/>
    </row>
    <row r="282" hidden="1" ht="17.1" customHeight="1" s="37">
      <c r="A282" s="551" t="n"/>
      <c r="B282" s="150" t="inlineStr">
        <is>
          <t>Th</t>
        </is>
      </c>
      <c r="C282" s="550">
        <f>C281+1</f>
        <v/>
      </c>
      <c r="G282" s="216" t="n"/>
      <c r="H282" s="57" t="n"/>
      <c r="O282" s="216" t="n"/>
      <c r="T282" s="38" t="n"/>
      <c r="U282" s="38" t="n"/>
      <c r="X282" s="20" t="n"/>
      <c r="AF282" s="450" t="n"/>
      <c r="AN282" s="45" t="n"/>
      <c r="AP282" s="45" t="n"/>
      <c r="AQ282" s="12" t="n"/>
      <c r="AR282" s="216" t="n">
        <v>40</v>
      </c>
      <c r="AS282" s="216" t="n"/>
      <c r="AT282" s="216" t="n"/>
      <c r="AU282" s="216">
        <f>N282+O282 + 0</f>
        <v/>
      </c>
      <c r="AW282" s="2">
        <f>SUM(AH282:AI282,AJ282/2,AK282:AL282)</f>
        <v/>
      </c>
      <c r="AX282" s="2">
        <f>AM282*0.5+SUM(AN282:AP282)</f>
        <v/>
      </c>
      <c r="AY282" s="39">
        <f>SUM(-AR282+AS282*0.01+AT282*0.5+AU282)</f>
        <v/>
      </c>
      <c r="AZ282" s="39">
        <f>'0分'!AF279</f>
        <v/>
      </c>
      <c r="BA282" s="39">
        <f>SUM(AY282,AX282,AW282)</f>
        <v/>
      </c>
      <c r="BB282" s="250" t="n"/>
      <c r="BC282" s="79">
        <f t="array" ref="BC282">SUMPRODUCT(--(NOT(ISBLANK('0₦'!D282:M282))), '0₦'!D$2:M$2) +  SUMPRODUCT(--(NOT(ISBLANK('0₦'!Q282:T282))), '0₦'!Q$2:T$2)</f>
        <v/>
      </c>
      <c r="BD282" s="250">
        <f t="array" ref="BD282">SUMPRODUCT(--(NOT(ISBLANK('0₦'!N282:P282))),'0₦'!N$2:P$2)+'0₦'!AY282</f>
        <v/>
      </c>
      <c r="BE282" s="79">
        <f t="array" ref="BE282">SUMPRODUCT(--(NOT(ISBLANK('0₦'!AA282:AC282))),'0₦'!AA$2:AC$2) + BF282</f>
        <v/>
      </c>
      <c r="BF282" s="79" t="n"/>
      <c r="BG282" s="79">
        <f t="array" ref="BG282">SUMPRODUCT(--(NOT(ISBLANK('0₦'!U282:Z282))), '0₦'!U$2:Z$2)</f>
        <v/>
      </c>
      <c r="BH282" s="79" t="n"/>
      <c r="BI282" s="79">
        <f>SUM(BG282:BH282)</f>
        <v/>
      </c>
      <c r="BJ282" s="79" t="n"/>
      <c r="BK282" s="79" t="n"/>
      <c r="BL282" s="79" t="n"/>
      <c r="BM282" s="79" t="n"/>
      <c r="BN282" s="79" t="n"/>
      <c r="BO282" s="79" t="n"/>
      <c r="BP282" s="79" t="n"/>
      <c r="BQ282" s="79" t="n"/>
      <c r="BR282" s="79" t="n"/>
      <c r="BS282" s="79" t="n"/>
      <c r="BT282" s="79" t="n"/>
      <c r="BU282" s="79" t="n"/>
      <c r="BV282" s="79" t="n"/>
      <c r="BW282" s="79" t="n"/>
      <c r="BX282" s="79" t="n"/>
      <c r="BY282" s="79" t="n"/>
      <c r="BZ282" s="79" t="n"/>
      <c r="CA282" s="79" t="n"/>
    </row>
    <row r="283" hidden="1" ht="17.1" customHeight="1" s="37">
      <c r="A283" s="551" t="n"/>
      <c r="B283" s="150" t="inlineStr">
        <is>
          <t>F</t>
        </is>
      </c>
      <c r="C283" s="550">
        <f>C282+1</f>
        <v/>
      </c>
      <c r="G283" s="216" t="n"/>
      <c r="H283" s="57" t="n"/>
      <c r="O283" s="214" t="n"/>
      <c r="X283" s="20" t="n"/>
      <c r="AF283" s="450" t="n"/>
      <c r="AN283" s="45" t="n"/>
      <c r="AP283" s="45" t="n"/>
      <c r="AQ283" s="12" t="n"/>
      <c r="AR283" s="216" t="n">
        <v>40</v>
      </c>
      <c r="AS283" s="216" t="n"/>
      <c r="AT283" s="216" t="n"/>
      <c r="AU283" s="216">
        <f>N283+O283 + 0</f>
        <v/>
      </c>
      <c r="AW283" s="2">
        <f>SUM(AH283:AI283,AJ283/2,AK283:AL283)</f>
        <v/>
      </c>
      <c r="AX283" s="2">
        <f>AM283*0.5+SUM(AN283:AP283)</f>
        <v/>
      </c>
      <c r="AY283" s="39">
        <f>SUM(-AR283+AS283*0.01+AT283*0.5+AU283)</f>
        <v/>
      </c>
      <c r="AZ283" s="39">
        <f>'0分'!AF280</f>
        <v/>
      </c>
      <c r="BA283" s="39">
        <f>SUM(AY283,AX283,AW283)</f>
        <v/>
      </c>
      <c r="BB283" s="250" t="n"/>
      <c r="BC283" s="79">
        <f t="array" ref="BC283">SUMPRODUCT(--(NOT(ISBLANK('0₦'!D283:M283))), '0₦'!D$2:M$2) +  SUMPRODUCT(--(NOT(ISBLANK('0₦'!Q283:T283))), '0₦'!Q$2:T$2)</f>
        <v/>
      </c>
      <c r="BD283" s="250">
        <f t="array" ref="BD283">SUMPRODUCT(--(NOT(ISBLANK('0₦'!N283:P283))),'0₦'!N$2:P$2)+'0₦'!AY283</f>
        <v/>
      </c>
      <c r="BE283" s="79">
        <f t="array" ref="BE283">SUMPRODUCT(--(NOT(ISBLANK('0₦'!AA283:AC283))),'0₦'!AA$2:AC$2) + BF283</f>
        <v/>
      </c>
      <c r="BF283" s="79" t="n"/>
      <c r="BG283" s="79">
        <f t="array" ref="BG283">SUMPRODUCT(--(NOT(ISBLANK('0₦'!U283:Z283))), '0₦'!U$2:Z$2)</f>
        <v/>
      </c>
      <c r="BH283" s="79" t="n"/>
      <c r="BI283" s="79">
        <f>SUM(BG283:BH283)</f>
        <v/>
      </c>
      <c r="BJ283" s="79" t="n"/>
      <c r="BK283" s="79" t="n"/>
      <c r="BL283" s="79" t="n"/>
      <c r="BM283" s="79" t="n"/>
      <c r="BN283" s="79" t="n"/>
      <c r="BO283" s="79" t="n"/>
      <c r="BP283" s="79" t="n"/>
      <c r="BQ283" s="79" t="n"/>
      <c r="BR283" s="79" t="n"/>
      <c r="BS283" s="79" t="n"/>
      <c r="BT283" s="79" t="n"/>
      <c r="BU283" s="79" t="n"/>
      <c r="BV283" s="79" t="n"/>
      <c r="BW283" s="79" t="n"/>
      <c r="BX283" s="79" t="n"/>
      <c r="BY283" s="79" t="n"/>
      <c r="BZ283" s="79" t="n"/>
      <c r="CA283" s="79" t="n"/>
    </row>
    <row r="284" hidden="1" ht="17.1" customHeight="1" s="37">
      <c r="A284" s="552" t="n"/>
      <c r="B284" s="150" t="inlineStr">
        <is>
          <t>S</t>
        </is>
      </c>
      <c r="C284" s="550">
        <f>C283+1</f>
        <v/>
      </c>
      <c r="G284" s="216" t="n"/>
      <c r="H284" s="57" t="n"/>
      <c r="O284" s="216" t="n"/>
      <c r="X284" s="20" t="n"/>
      <c r="AF284" s="450" t="n"/>
      <c r="AN284" s="45" t="n"/>
      <c r="AP284" s="45" t="n"/>
      <c r="AQ284" s="12" t="n"/>
      <c r="AR284" s="216" t="n">
        <v>40</v>
      </c>
      <c r="AS284" s="216" t="n"/>
      <c r="AT284" s="216" t="n"/>
      <c r="AU284" s="216">
        <f>N284+O284 + 0</f>
        <v/>
      </c>
      <c r="AW284" s="2">
        <f>SUM(AH284:AI284,AJ284/2,AK284:AL284)</f>
        <v/>
      </c>
      <c r="AX284" s="2">
        <f>AM284*0.5+SUM(AN284:AP284)</f>
        <v/>
      </c>
      <c r="AY284" s="39">
        <f>SUM(-AR284+AS284*0.01+AT284*0.5+AU284)</f>
        <v/>
      </c>
      <c r="AZ284" s="39">
        <f>'0分'!AF281</f>
        <v/>
      </c>
      <c r="BA284" s="39">
        <f>SUM(AY284,AX284,AW284)</f>
        <v/>
      </c>
      <c r="BB284" s="250" t="n"/>
      <c r="BC284" s="79">
        <f t="array" ref="BC284">SUMPRODUCT(--(NOT(ISBLANK('0₦'!D284:M284))), '0₦'!D$2:M$2) +  SUMPRODUCT(--(NOT(ISBLANK('0₦'!Q284:T284))), '0₦'!Q$2:T$2)</f>
        <v/>
      </c>
      <c r="BD284" s="250">
        <f t="array" ref="BD284">SUMPRODUCT(--(NOT(ISBLANK('0₦'!N284:P284))),'0₦'!N$2:P$2)+'0₦'!AY284</f>
        <v/>
      </c>
      <c r="BE284" s="79">
        <f t="array" ref="BE284">SUMPRODUCT(--(NOT(ISBLANK('0₦'!AA284:AC284))),'0₦'!AA$2:AC$2) + BF284</f>
        <v/>
      </c>
      <c r="BF284" s="79" t="n"/>
      <c r="BG284" s="79">
        <f t="array" ref="BG284">SUMPRODUCT(--(NOT(ISBLANK('0₦'!U284:Z284))), '0₦'!U$2:Z$2)</f>
        <v/>
      </c>
      <c r="BH284" s="79" t="n"/>
      <c r="BI284" s="79">
        <f>SUM(BG284:BH284)</f>
        <v/>
      </c>
      <c r="BJ284" s="79" t="n"/>
      <c r="BK284" s="79" t="n"/>
      <c r="BL284" s="79" t="n"/>
      <c r="BM284" s="79" t="n"/>
      <c r="BN284" s="79" t="n"/>
      <c r="BO284" s="79" t="n"/>
      <c r="BP284" s="79" t="n"/>
      <c r="BQ284" s="79" t="n"/>
      <c r="BR284" s="79" t="n"/>
      <c r="BS284" s="79" t="n"/>
      <c r="BT284" s="79" t="n"/>
      <c r="BU284" s="79" t="n"/>
      <c r="BV284" s="79" t="n"/>
      <c r="BW284" s="79" t="n"/>
      <c r="BX284" s="79" t="n"/>
      <c r="BY284" s="79" t="n"/>
      <c r="BZ284" s="79" t="n"/>
      <c r="CA284" s="79" t="n"/>
    </row>
    <row r="285" hidden="1" ht="17.1" customHeight="1" s="37">
      <c r="A285" s="462">
        <f>A278+0.1</f>
        <v/>
      </c>
      <c r="B285" s="150" t="inlineStr">
        <is>
          <t>S</t>
        </is>
      </c>
      <c r="C285" s="550">
        <f>C284+1</f>
        <v/>
      </c>
      <c r="G285" s="216" t="n"/>
      <c r="H285" s="57" t="n"/>
      <c r="O285" s="216" t="n"/>
      <c r="X285" s="20" t="n"/>
      <c r="AF285" s="450" t="n"/>
      <c r="AN285" s="45" t="n"/>
      <c r="AP285" s="45" t="n"/>
      <c r="AQ285" s="12" t="n"/>
      <c r="AR285" s="216" t="n">
        <v>40</v>
      </c>
      <c r="AS285" s="216" t="n"/>
      <c r="AT285" s="216" t="n"/>
      <c r="AU285" s="216">
        <f>N285+O285 + 0</f>
        <v/>
      </c>
      <c r="AW285" s="2">
        <f>SUM(AH285:AI285,AJ285/2,AK285:AL285)</f>
        <v/>
      </c>
      <c r="AX285" s="2">
        <f>AM285*0.5+SUM(AN285:AP285)</f>
        <v/>
      </c>
      <c r="AY285" s="39">
        <f>SUM(-AR285+AS285*0.01+AT285*0.5+AU285)</f>
        <v/>
      </c>
      <c r="AZ285" s="39">
        <f>'0分'!AF282</f>
        <v/>
      </c>
      <c r="BA285" s="39">
        <f>SUM(AY285,AX285,AW285)</f>
        <v/>
      </c>
      <c r="BB285" s="250" t="n"/>
      <c r="BC285" s="79">
        <f t="array" ref="BC285">SUMPRODUCT(--(NOT(ISBLANK('0₦'!D285:M285))), '0₦'!D$2:M$2) +  SUMPRODUCT(--(NOT(ISBLANK('0₦'!Q285:T285))), '0₦'!Q$2:T$2)</f>
        <v/>
      </c>
      <c r="BD285" s="250">
        <f t="array" ref="BD285">SUMPRODUCT(--(NOT(ISBLANK('0₦'!N285:P285))),'0₦'!N$2:P$2)+'0₦'!AY285</f>
        <v/>
      </c>
      <c r="BE285" s="79">
        <f t="array" ref="BE285">SUMPRODUCT(--(NOT(ISBLANK('0₦'!AA285:AC285))),'0₦'!AA$2:AC$2) + BF285</f>
        <v/>
      </c>
      <c r="BF285" s="79" t="n"/>
      <c r="BG285" s="79">
        <f t="array" ref="BG285">SUMPRODUCT(--(NOT(ISBLANK('0₦'!U285:Z285))), '0₦'!U$2:Z$2)</f>
        <v/>
      </c>
      <c r="BH285" s="79" t="n"/>
      <c r="BI285" s="79">
        <f>SUM(BG285:BH285)</f>
        <v/>
      </c>
      <c r="BJ285" s="79" t="n"/>
      <c r="BK285" s="79" t="n"/>
      <c r="BL285" s="79" t="n"/>
      <c r="BM285" s="79" t="n"/>
      <c r="BN285" s="79" t="n"/>
      <c r="BO285" s="79" t="n"/>
      <c r="BP285" s="79" t="n"/>
      <c r="BQ285" s="79" t="n"/>
      <c r="BR285" s="79" t="n"/>
      <c r="BS285" s="79" t="n"/>
      <c r="BT285" s="79" t="n"/>
      <c r="BU285" s="79" t="n"/>
      <c r="BV285" s="79" t="n"/>
      <c r="BW285" s="79" t="n"/>
      <c r="BX285" s="79" t="n"/>
      <c r="BY285" s="79" t="n"/>
      <c r="BZ285" s="79" t="n"/>
      <c r="CA285" s="79" t="n"/>
    </row>
    <row r="286" hidden="1" ht="17.1" customHeight="1" s="37">
      <c r="A286" s="551" t="n"/>
      <c r="B286" s="150" t="inlineStr">
        <is>
          <t>M</t>
        </is>
      </c>
      <c r="C286" s="550">
        <f>C285+1</f>
        <v/>
      </c>
      <c r="G286" s="216" t="n"/>
      <c r="H286" s="57" t="n"/>
      <c r="O286" s="216" t="n"/>
      <c r="X286" s="20" t="n"/>
      <c r="AF286" s="450" t="n"/>
      <c r="AN286" s="45" t="n"/>
      <c r="AP286" s="45" t="n"/>
      <c r="AQ286" s="12" t="n"/>
      <c r="AR286" s="216" t="n">
        <v>40</v>
      </c>
      <c r="AS286" s="216" t="n"/>
      <c r="AT286" s="216" t="n"/>
      <c r="AU286" s="216">
        <f>N286+O286 + 0</f>
        <v/>
      </c>
      <c r="AW286" s="2">
        <f>SUM(AH286:AI286,AJ286/2,AK286:AL286)</f>
        <v/>
      </c>
      <c r="AX286" s="2">
        <f>AM286*0.5+SUM(AN286:AP286)</f>
        <v/>
      </c>
      <c r="AY286" s="39">
        <f>SUM(-AR286+AS286*0.01+AT286*0.5+AU286)</f>
        <v/>
      </c>
      <c r="AZ286" s="39">
        <f>'0分'!AF283</f>
        <v/>
      </c>
      <c r="BA286" s="39">
        <f>SUM(AY286,AX286,AW286)</f>
        <v/>
      </c>
      <c r="BB286" s="250" t="n"/>
      <c r="BC286" s="79">
        <f t="array" ref="BC286">SUMPRODUCT(--(NOT(ISBLANK('0₦'!D286:M286))), '0₦'!D$2:M$2) +  SUMPRODUCT(--(NOT(ISBLANK('0₦'!Q286:T286))), '0₦'!Q$2:T$2)</f>
        <v/>
      </c>
      <c r="BD286" s="250">
        <f t="array" ref="BD286">SUMPRODUCT(--(NOT(ISBLANK('0₦'!N286:P286))),'0₦'!N$2:P$2)+'0₦'!AY286</f>
        <v/>
      </c>
      <c r="BE286" s="79">
        <f t="array" ref="BE286">SUMPRODUCT(--(NOT(ISBLANK('0₦'!AA286:AC286))),'0₦'!AA$2:AC$2) + BF286</f>
        <v/>
      </c>
      <c r="BF286" s="79" t="n"/>
      <c r="BG286" s="79">
        <f t="array" ref="BG286">SUMPRODUCT(--(NOT(ISBLANK('0₦'!U286:Z286))), '0₦'!U$2:Z$2)</f>
        <v/>
      </c>
      <c r="BH286" s="79" t="n"/>
      <c r="BI286" s="79">
        <f>SUM(BG286:BH286)</f>
        <v/>
      </c>
      <c r="BJ286" s="79" t="n"/>
      <c r="BK286" s="79" t="n"/>
      <c r="BL286" s="79" t="n"/>
      <c r="BM286" s="79" t="n"/>
      <c r="BN286" s="79" t="n"/>
      <c r="BO286" s="79" t="n"/>
      <c r="BP286" s="79" t="n"/>
      <c r="BQ286" s="79" t="n"/>
      <c r="BR286" s="79" t="n"/>
      <c r="BS286" s="79" t="n"/>
      <c r="BT286" s="79" t="n"/>
      <c r="BU286" s="79" t="n"/>
      <c r="BV286" s="79" t="n"/>
      <c r="BW286" s="79" t="n"/>
      <c r="BX286" s="79" t="n"/>
      <c r="BY286" s="79" t="n"/>
      <c r="BZ286" s="79" t="n"/>
      <c r="CA286" s="79" t="n"/>
    </row>
    <row r="287" hidden="1" ht="17.1" customHeight="1" s="37">
      <c r="A287" s="551" t="n"/>
      <c r="B287" s="150" t="inlineStr">
        <is>
          <t>T</t>
        </is>
      </c>
      <c r="C287" s="550">
        <f>C286+1</f>
        <v/>
      </c>
      <c r="G287" s="216" t="n"/>
      <c r="H287" s="57" t="n"/>
      <c r="O287" s="216" t="n"/>
      <c r="T287" s="38" t="n"/>
      <c r="X287" s="20" t="n"/>
      <c r="AF287" s="450" t="n"/>
      <c r="AN287" s="45" t="n"/>
      <c r="AP287" s="45" t="n"/>
      <c r="AQ287" s="12" t="n"/>
      <c r="AR287" s="216" t="n">
        <v>40</v>
      </c>
      <c r="AS287" s="216" t="n"/>
      <c r="AT287" s="216" t="n"/>
      <c r="AU287" s="216">
        <f>N287+O287 + 0</f>
        <v/>
      </c>
      <c r="AW287" s="2">
        <f>SUM(AH287:AI287,AJ287/2,AK287:AL287)</f>
        <v/>
      </c>
      <c r="AX287" s="2">
        <f>AM287*0.5+SUM(AN287:AP287)</f>
        <v/>
      </c>
      <c r="AY287" s="39">
        <f>SUM(-AR287+AS287*0.01+AT287*0.5+AU287)</f>
        <v/>
      </c>
      <c r="AZ287" s="39">
        <f>'0分'!AF284</f>
        <v/>
      </c>
      <c r="BA287" s="39">
        <f>SUM(AY287,AX287,AW287)</f>
        <v/>
      </c>
      <c r="BB287" s="250" t="n"/>
      <c r="BC287" s="79">
        <f t="array" ref="BC287">SUMPRODUCT(--(NOT(ISBLANK('0₦'!D287:M287))), '0₦'!D$2:M$2) +  SUMPRODUCT(--(NOT(ISBLANK('0₦'!Q287:T287))), '0₦'!Q$2:T$2)</f>
        <v/>
      </c>
      <c r="BD287" s="250">
        <f t="array" ref="BD287">SUMPRODUCT(--(NOT(ISBLANK('0₦'!N287:P287))),'0₦'!N$2:P$2)+'0₦'!AY287</f>
        <v/>
      </c>
      <c r="BE287" s="79">
        <f t="array" ref="BE287">SUMPRODUCT(--(NOT(ISBLANK('0₦'!AA287:AC287))),'0₦'!AA$2:AC$2) + BF287</f>
        <v/>
      </c>
      <c r="BF287" s="79" t="n"/>
      <c r="BG287" s="79">
        <f t="array" ref="BG287">SUMPRODUCT(--(NOT(ISBLANK('0₦'!U287:Z287))), '0₦'!U$2:Z$2)</f>
        <v/>
      </c>
      <c r="BH287" s="79" t="n"/>
      <c r="BI287" s="79">
        <f>SUM(BG287:BH287)</f>
        <v/>
      </c>
      <c r="BJ287" s="79" t="n"/>
      <c r="BK287" s="79" t="n"/>
      <c r="BL287" s="79" t="n"/>
      <c r="BM287" s="79" t="n"/>
      <c r="BN287" s="79" t="n"/>
      <c r="BO287" s="79" t="n"/>
      <c r="BP287" s="79" t="n"/>
      <c r="BQ287" s="79" t="n"/>
      <c r="BR287" s="79" t="n"/>
      <c r="BS287" s="79" t="n"/>
      <c r="BT287" s="79" t="n"/>
      <c r="BU287" s="79" t="n"/>
      <c r="BV287" s="79" t="n"/>
      <c r="BW287" s="79" t="n"/>
      <c r="BX287" s="79" t="n"/>
      <c r="BY287" s="79" t="n"/>
      <c r="BZ287" s="79" t="n"/>
      <c r="CA287" s="79" t="n"/>
    </row>
    <row r="288" hidden="1" ht="17.1" customHeight="1" s="37">
      <c r="A288" s="551" t="n"/>
      <c r="B288" s="150" t="inlineStr">
        <is>
          <t>W</t>
        </is>
      </c>
      <c r="C288" s="550">
        <f>C287+1</f>
        <v/>
      </c>
      <c r="G288" s="216" t="n"/>
      <c r="H288" s="57" t="n"/>
      <c r="K288" s="38" t="n"/>
      <c r="O288" s="216" t="n"/>
      <c r="X288" s="20" t="n"/>
      <c r="AF288" s="450" t="n"/>
      <c r="AN288" s="45" t="n"/>
      <c r="AP288" s="45" t="n"/>
      <c r="AQ288" s="12" t="n"/>
      <c r="AR288" s="216" t="n">
        <v>40</v>
      </c>
      <c r="AS288" s="216" t="n"/>
      <c r="AT288" s="216" t="n"/>
      <c r="AU288" s="216">
        <f>N288+O288 + 0</f>
        <v/>
      </c>
      <c r="AW288" s="2">
        <f>SUM(AH288:AI288,AJ288/2,AK288:AL288)</f>
        <v/>
      </c>
      <c r="AX288" s="2">
        <f>AM288*0.5+SUM(AN288:AP288)</f>
        <v/>
      </c>
      <c r="AY288" s="39">
        <f>SUM(-AR288+AS288*0.01+AT288*0.5+AU288)</f>
        <v/>
      </c>
      <c r="AZ288" s="39">
        <f>'0分'!AF285</f>
        <v/>
      </c>
      <c r="BA288" s="39">
        <f>SUM(AY288,AX288,AW288)</f>
        <v/>
      </c>
      <c r="BB288" s="250" t="n"/>
      <c r="BC288" s="79">
        <f t="array" ref="BC288">SUMPRODUCT(--(NOT(ISBLANK('0₦'!D288:M288))), '0₦'!D$2:M$2) +  SUMPRODUCT(--(NOT(ISBLANK('0₦'!Q288:T288))), '0₦'!Q$2:T$2)</f>
        <v/>
      </c>
      <c r="BD288" s="250">
        <f t="array" ref="BD288">SUMPRODUCT(--(NOT(ISBLANK('0₦'!N288:P288))),'0₦'!N$2:P$2)+'0₦'!AY288</f>
        <v/>
      </c>
      <c r="BE288" s="79">
        <f t="array" ref="BE288">SUMPRODUCT(--(NOT(ISBLANK('0₦'!AA288:AC288))),'0₦'!AA$2:AC$2) + BF288</f>
        <v/>
      </c>
      <c r="BF288" s="79" t="n"/>
      <c r="BG288" s="79">
        <f t="array" ref="BG288">SUMPRODUCT(--(NOT(ISBLANK('0₦'!U288:Z288))), '0₦'!U$2:Z$2)</f>
        <v/>
      </c>
      <c r="BH288" s="79" t="n"/>
      <c r="BI288" s="79">
        <f>SUM(BG288:BH288)</f>
        <v/>
      </c>
      <c r="BJ288" s="79" t="n"/>
      <c r="BK288" s="79" t="n"/>
      <c r="BL288" s="79" t="n"/>
      <c r="BM288" s="79" t="n"/>
      <c r="BN288" s="79" t="n"/>
      <c r="BO288" s="79" t="n"/>
      <c r="BP288" s="79" t="n"/>
      <c r="BQ288" s="79" t="n"/>
      <c r="BR288" s="79" t="n"/>
      <c r="BS288" s="79" t="n"/>
      <c r="BT288" s="79" t="n"/>
      <c r="BU288" s="79" t="n"/>
      <c r="BV288" s="79" t="n"/>
      <c r="BW288" s="79" t="n"/>
      <c r="BX288" s="79" t="n"/>
      <c r="BY288" s="79" t="n"/>
      <c r="BZ288" s="79" t="n"/>
      <c r="CA288" s="79" t="n"/>
    </row>
    <row r="289" hidden="1" ht="17.1" customHeight="1" s="37">
      <c r="A289" s="551" t="n"/>
      <c r="B289" s="150" t="inlineStr">
        <is>
          <t>Th</t>
        </is>
      </c>
      <c r="C289" s="550">
        <f>C288+1</f>
        <v/>
      </c>
      <c r="E289" s="38" t="n"/>
      <c r="G289" s="216" t="n"/>
      <c r="H289" s="57" t="n"/>
      <c r="O289" s="216" t="n"/>
      <c r="X289" s="20" t="n"/>
      <c r="AF289" s="450" t="n"/>
      <c r="AN289" s="45" t="n"/>
      <c r="AP289" s="45" t="n"/>
      <c r="AQ289" s="12" t="n"/>
      <c r="AR289" s="216" t="n">
        <v>40</v>
      </c>
      <c r="AS289" s="216" t="n"/>
      <c r="AT289" s="216" t="n"/>
      <c r="AU289" s="216">
        <f>N289+O289 + 0</f>
        <v/>
      </c>
      <c r="AW289" s="2">
        <f>SUM(AH289:AI289,AJ289/2,AK289:AL289)</f>
        <v/>
      </c>
      <c r="AX289" s="2">
        <f>AM289*0.5+SUM(AN289:AP289)</f>
        <v/>
      </c>
      <c r="AY289" s="39">
        <f>SUM(-AR289+AS289*0.01+AT289*0.5+AU289)</f>
        <v/>
      </c>
      <c r="AZ289" s="39">
        <f>'0分'!AF286</f>
        <v/>
      </c>
      <c r="BA289" s="39">
        <f>SUM(AY289,AX289,AW289)</f>
        <v/>
      </c>
      <c r="BB289" s="250" t="n"/>
      <c r="BC289" s="79">
        <f t="array" ref="BC289">SUMPRODUCT(--(NOT(ISBLANK('0₦'!D289:M289))), '0₦'!D$2:M$2) +  SUMPRODUCT(--(NOT(ISBLANK('0₦'!Q289:T289))), '0₦'!Q$2:T$2)</f>
        <v/>
      </c>
      <c r="BD289" s="250">
        <f t="array" ref="BD289">SUMPRODUCT(--(NOT(ISBLANK('0₦'!N289:P289))),'0₦'!N$2:P$2)+'0₦'!AY289</f>
        <v/>
      </c>
      <c r="BE289" s="79">
        <f t="array" ref="BE289">SUMPRODUCT(--(NOT(ISBLANK('0₦'!AA289:AC289))),'0₦'!AA$2:AC$2) + BF289</f>
        <v/>
      </c>
      <c r="BF289" s="79" t="n"/>
      <c r="BG289" s="79">
        <f t="array" ref="BG289">SUMPRODUCT(--(NOT(ISBLANK('0₦'!U289:Z289))), '0₦'!U$2:Z$2)</f>
        <v/>
      </c>
      <c r="BH289" s="79" t="n"/>
      <c r="BI289" s="79">
        <f>SUM(BG289:BH289)</f>
        <v/>
      </c>
      <c r="BJ289" s="79" t="n"/>
      <c r="BK289" s="79" t="n"/>
      <c r="BL289" s="79" t="n"/>
      <c r="BM289" s="79" t="n"/>
      <c r="BN289" s="79" t="n"/>
      <c r="BO289" s="79" t="n"/>
      <c r="BP289" s="79" t="n"/>
      <c r="BQ289" s="79" t="n"/>
      <c r="BR289" s="79" t="n"/>
      <c r="BS289" s="79" t="n"/>
      <c r="BT289" s="79" t="n"/>
      <c r="BU289" s="79" t="n"/>
      <c r="BV289" s="79" t="n"/>
      <c r="BW289" s="79" t="n"/>
      <c r="BX289" s="79" t="n"/>
      <c r="BY289" s="79" t="n"/>
      <c r="BZ289" s="79" t="n"/>
      <c r="CA289" s="79" t="n"/>
    </row>
    <row r="290" hidden="1" ht="17.1" customHeight="1" s="37">
      <c r="A290" s="551" t="n"/>
      <c r="B290" s="150" t="inlineStr">
        <is>
          <t>F</t>
        </is>
      </c>
      <c r="C290" s="550">
        <f>C289+1</f>
        <v/>
      </c>
      <c r="G290" s="216" t="n"/>
      <c r="H290" s="57" t="n"/>
      <c r="O290" s="216" t="n"/>
      <c r="X290" s="20" t="n"/>
      <c r="AF290" s="450" t="n"/>
      <c r="AN290" s="45" t="n"/>
      <c r="AP290" s="45" t="n"/>
      <c r="AQ290" s="12" t="n"/>
      <c r="AR290" s="216" t="n">
        <v>40</v>
      </c>
      <c r="AS290" s="216" t="n"/>
      <c r="AT290" s="216" t="n"/>
      <c r="AU290" s="216">
        <f>N290+O290 + 0</f>
        <v/>
      </c>
      <c r="AW290" s="2">
        <f>SUM(AH290:AI290,AJ290/2,AK290:AL290)</f>
        <v/>
      </c>
      <c r="AX290" s="2">
        <f>AM290*0.5+SUM(AN290:AP290)</f>
        <v/>
      </c>
      <c r="AY290" s="39">
        <f>SUM(-AR290+AS290*0.01+AT290*0.5+AU290)</f>
        <v/>
      </c>
      <c r="AZ290" s="39">
        <f>'0分'!AF287</f>
        <v/>
      </c>
      <c r="BA290" s="39">
        <f>SUM(AY290,AX290,AW290)</f>
        <v/>
      </c>
      <c r="BB290" s="250" t="n"/>
      <c r="BC290" s="79">
        <f t="array" ref="BC290">SUMPRODUCT(--(NOT(ISBLANK('0₦'!D290:M290))), '0₦'!D$2:M$2) +  SUMPRODUCT(--(NOT(ISBLANK('0₦'!Q290:T290))), '0₦'!Q$2:T$2)</f>
        <v/>
      </c>
      <c r="BD290" s="250">
        <f t="array" ref="BD290">SUMPRODUCT(--(NOT(ISBLANK('0₦'!N290:P290))),'0₦'!N$2:P$2)+'0₦'!AY290</f>
        <v/>
      </c>
      <c r="BE290" s="79">
        <f t="array" ref="BE290">SUMPRODUCT(--(NOT(ISBLANK('0₦'!AA290:AC290))),'0₦'!AA$2:AC$2) + BF290</f>
        <v/>
      </c>
      <c r="BF290" s="79" t="n"/>
      <c r="BG290" s="79">
        <f t="array" ref="BG290">SUMPRODUCT(--(NOT(ISBLANK('0₦'!U290:Z290))), '0₦'!U$2:Z$2)</f>
        <v/>
      </c>
      <c r="BH290" s="79" t="n"/>
      <c r="BI290" s="79">
        <f>SUM(BG290:BH290)</f>
        <v/>
      </c>
      <c r="BJ290" s="79" t="n"/>
      <c r="BK290" s="79" t="n"/>
      <c r="BL290" s="79" t="n"/>
      <c r="BM290" s="79" t="n"/>
      <c r="BN290" s="79" t="n"/>
      <c r="BO290" s="79" t="n"/>
      <c r="BP290" s="79" t="n"/>
      <c r="BQ290" s="79" t="n"/>
      <c r="BR290" s="79" t="n"/>
      <c r="BS290" s="79" t="n"/>
      <c r="BT290" s="79" t="n"/>
      <c r="BU290" s="79" t="n"/>
      <c r="BV290" s="79" t="n"/>
      <c r="BW290" s="79" t="n"/>
      <c r="BX290" s="79" t="n"/>
      <c r="BY290" s="79" t="n"/>
      <c r="BZ290" s="79" t="n"/>
      <c r="CA290" s="79" t="n"/>
    </row>
    <row r="291" hidden="1" ht="17.1" customHeight="1" s="37">
      <c r="A291" s="552" t="n"/>
      <c r="B291" s="150" t="inlineStr">
        <is>
          <t>S</t>
        </is>
      </c>
      <c r="C291" s="550">
        <f>C290+1</f>
        <v/>
      </c>
      <c r="G291" s="216" t="n"/>
      <c r="H291" s="287" t="n"/>
      <c r="I291" s="38" t="n"/>
      <c r="J291" s="38" t="n"/>
      <c r="M291" s="38" t="n"/>
      <c r="O291" s="216" t="n"/>
      <c r="X291" s="20" t="n"/>
      <c r="AF291" s="450" t="n"/>
      <c r="AN291" s="45" t="n"/>
      <c r="AP291" s="45" t="n"/>
      <c r="AQ291" s="12" t="n"/>
      <c r="AR291" s="216" t="n">
        <v>40</v>
      </c>
      <c r="AS291" s="216" t="n"/>
      <c r="AT291" s="216" t="n"/>
      <c r="AU291" s="216">
        <f>N291+O291 + 0</f>
        <v/>
      </c>
      <c r="AW291" s="2">
        <f>SUM(AH291:AI291,AJ291/2,AK291:AL291)</f>
        <v/>
      </c>
      <c r="AX291" s="2">
        <f>AM291*0.5+SUM(AN291:AP291)</f>
        <v/>
      </c>
      <c r="AY291" s="39">
        <f>SUM(-AR291+AS291*0.01+AT291*0.5+AU291)</f>
        <v/>
      </c>
      <c r="AZ291" s="39">
        <f>'0分'!AF288</f>
        <v/>
      </c>
      <c r="BA291" s="39">
        <f>SUM(AY291,AX291,AW291)</f>
        <v/>
      </c>
      <c r="BB291" s="250" t="n"/>
      <c r="BC291" s="79">
        <f t="array" ref="BC291">SUMPRODUCT(--(NOT(ISBLANK('0₦'!D291:M291))), '0₦'!D$2:M$2) +  SUMPRODUCT(--(NOT(ISBLANK('0₦'!Q291:T291))), '0₦'!Q$2:T$2)</f>
        <v/>
      </c>
      <c r="BD291" s="250">
        <f t="array" ref="BD291">SUMPRODUCT(--(NOT(ISBLANK('0₦'!N291:P291))),'0₦'!N$2:P$2)+'0₦'!AY291</f>
        <v/>
      </c>
      <c r="BE291" s="79">
        <f t="array" ref="BE291">SUMPRODUCT(--(NOT(ISBLANK('0₦'!AA291:AC291))),'0₦'!AA$2:AC$2) + BF291</f>
        <v/>
      </c>
      <c r="BF291" s="79" t="n"/>
      <c r="BG291" s="79">
        <f t="array" ref="BG291">SUMPRODUCT(--(NOT(ISBLANK('0₦'!U291:Z291))), '0₦'!U$2:Z$2)</f>
        <v/>
      </c>
      <c r="BH291" s="79" t="n"/>
      <c r="BI291" s="79">
        <f>SUM(BG291:BH291)</f>
        <v/>
      </c>
      <c r="BJ291" s="79" t="n"/>
      <c r="BK291" s="79" t="n"/>
      <c r="BL291" s="79" t="n"/>
      <c r="BM291" s="79" t="n"/>
      <c r="BN291" s="79" t="n"/>
      <c r="BO291" s="79" t="n"/>
      <c r="BP291" s="79" t="n"/>
      <c r="BQ291" s="79" t="n"/>
      <c r="BR291" s="79" t="n"/>
      <c r="BS291" s="79" t="n"/>
      <c r="BT291" s="79" t="n"/>
      <c r="BU291" s="79" t="n"/>
      <c r="BV291" s="79" t="n"/>
      <c r="BW291" s="79" t="n"/>
      <c r="BX291" s="79" t="n"/>
      <c r="BY291" s="79" t="n"/>
      <c r="BZ291" s="79" t="n"/>
      <c r="CA291" s="79" t="n"/>
    </row>
    <row r="292" hidden="1" ht="17.1" customHeight="1" s="37">
      <c r="A292" s="462">
        <f>A285+0.1</f>
        <v/>
      </c>
      <c r="B292" s="150" t="inlineStr">
        <is>
          <t>S</t>
        </is>
      </c>
      <c r="C292" s="550">
        <f>C291+1</f>
        <v/>
      </c>
      <c r="G292" s="216" t="n"/>
      <c r="H292" s="287" t="n"/>
      <c r="I292" s="38" t="n"/>
      <c r="J292" s="38" t="n"/>
      <c r="M292" s="38" t="n"/>
      <c r="O292" s="216" t="n"/>
      <c r="X292" s="20" t="n"/>
      <c r="AF292" s="450" t="n"/>
      <c r="AN292" s="45" t="n"/>
      <c r="AP292" s="45" t="n"/>
      <c r="AQ292" s="12" t="n"/>
      <c r="AR292" s="216" t="n">
        <v>40</v>
      </c>
      <c r="AS292" s="216" t="n"/>
      <c r="AT292" s="216" t="n"/>
      <c r="AU292" s="216">
        <f>N292+O292 + 0</f>
        <v/>
      </c>
      <c r="AW292" s="2">
        <f>SUM(AH292:AI292,AJ292/2,AK292:AL292)</f>
        <v/>
      </c>
      <c r="AX292" s="2">
        <f>AM292*0.5+SUM(AN292:AP292)</f>
        <v/>
      </c>
      <c r="AY292" s="39">
        <f>SUM(-AR292+AS292*0.01+AT292*0.5+AU292)</f>
        <v/>
      </c>
      <c r="AZ292" s="39">
        <f>'0分'!AF289</f>
        <v/>
      </c>
      <c r="BA292" s="39">
        <f>SUM(AY292,AX292,AW292)</f>
        <v/>
      </c>
      <c r="BB292" s="250" t="n"/>
      <c r="BC292" s="79">
        <f t="array" ref="BC292">SUMPRODUCT(--(NOT(ISBLANK('0₦'!D292:M292))), '0₦'!D$2:M$2) +  SUMPRODUCT(--(NOT(ISBLANK('0₦'!Q292:T292))), '0₦'!Q$2:T$2)</f>
        <v/>
      </c>
      <c r="BD292" s="250">
        <f t="array" ref="BD292">SUMPRODUCT(--(NOT(ISBLANK('0₦'!N292:P292))),'0₦'!N$2:P$2)+'0₦'!AY292</f>
        <v/>
      </c>
      <c r="BE292" s="79">
        <f t="array" ref="BE292">SUMPRODUCT(--(NOT(ISBLANK('0₦'!AA292:AC292))),'0₦'!AA$2:AC$2) + BF292</f>
        <v/>
      </c>
      <c r="BF292" s="79" t="n"/>
      <c r="BG292" s="79">
        <f t="array" ref="BG292">SUMPRODUCT(--(NOT(ISBLANK('0₦'!U292:Z292))), '0₦'!U$2:Z$2)</f>
        <v/>
      </c>
      <c r="BH292" s="79" t="n"/>
      <c r="BI292" s="79">
        <f>SUM(BG292:BH292)</f>
        <v/>
      </c>
      <c r="BJ292" s="79" t="n"/>
      <c r="BK292" s="79" t="n"/>
      <c r="BL292" s="79" t="n"/>
      <c r="BM292" s="79" t="n"/>
      <c r="BN292" s="79" t="n"/>
      <c r="BO292" s="79" t="n"/>
      <c r="BP292" s="79" t="n"/>
      <c r="BQ292" s="79" t="n"/>
      <c r="BR292" s="79" t="n"/>
      <c r="BS292" s="79" t="n"/>
      <c r="BT292" s="79" t="n"/>
      <c r="BU292" s="79" t="n"/>
      <c r="BV292" s="79" t="n"/>
      <c r="BW292" s="79" t="n"/>
      <c r="BX292" s="79" t="n"/>
      <c r="BY292" s="79" t="n"/>
      <c r="BZ292" s="79" t="n"/>
      <c r="CA292" s="79" t="n"/>
    </row>
    <row r="293" hidden="1" ht="17.1" customHeight="1" s="37">
      <c r="A293" s="551" t="n"/>
      <c r="B293" s="150" t="inlineStr">
        <is>
          <t>M</t>
        </is>
      </c>
      <c r="C293" s="550">
        <f>C292+1</f>
        <v/>
      </c>
      <c r="G293" s="216" t="n"/>
      <c r="H293" s="57" t="n"/>
      <c r="O293" s="216" t="n"/>
      <c r="X293" s="20" t="n"/>
      <c r="AF293" s="450" t="n"/>
      <c r="AN293" s="45" t="n"/>
      <c r="AP293" s="45" t="n"/>
      <c r="AQ293" s="12" t="n"/>
      <c r="AR293" s="216" t="n">
        <v>40</v>
      </c>
      <c r="AS293" s="216" t="n"/>
      <c r="AT293" s="216" t="n"/>
      <c r="AU293" s="216">
        <f>N293+O293 + 0</f>
        <v/>
      </c>
      <c r="AW293" s="2">
        <f>SUM(AH293:AI293,AJ293/2,AK293:AL293)</f>
        <v/>
      </c>
      <c r="AX293" s="2">
        <f>AM293*0.5+SUM(AN293:AP293)</f>
        <v/>
      </c>
      <c r="AY293" s="39">
        <f>SUM(-AR293+AS293*0.01+AT293*0.5+AU293)</f>
        <v/>
      </c>
      <c r="AZ293" s="39">
        <f>'0分'!AF290</f>
        <v/>
      </c>
      <c r="BA293" s="39">
        <f>SUM(AY293,AX293,AW293)</f>
        <v/>
      </c>
      <c r="BB293" s="250" t="n"/>
      <c r="BC293" s="79">
        <f t="array" ref="BC293">SUMPRODUCT(--(NOT(ISBLANK('0₦'!D293:M293))), '0₦'!D$2:M$2) +  SUMPRODUCT(--(NOT(ISBLANK('0₦'!Q293:T293))), '0₦'!Q$2:T$2)</f>
        <v/>
      </c>
      <c r="BD293" s="250">
        <f t="array" ref="BD293">SUMPRODUCT(--(NOT(ISBLANK('0₦'!N293:P293))),'0₦'!N$2:P$2)+'0₦'!AY293</f>
        <v/>
      </c>
      <c r="BE293" s="79">
        <f t="array" ref="BE293">SUMPRODUCT(--(NOT(ISBLANK('0₦'!AA293:AC293))),'0₦'!AA$2:AC$2) + BF293</f>
        <v/>
      </c>
      <c r="BF293" s="79" t="n"/>
      <c r="BG293" s="79">
        <f t="array" ref="BG293">SUMPRODUCT(--(NOT(ISBLANK('0₦'!U293:Z293))), '0₦'!U$2:Z$2)</f>
        <v/>
      </c>
      <c r="BH293" s="79" t="n"/>
      <c r="BI293" s="79">
        <f>SUM(BG293:BH293)</f>
        <v/>
      </c>
      <c r="BJ293" s="79" t="n"/>
      <c r="BK293" s="79" t="n"/>
      <c r="BL293" s="79" t="n"/>
      <c r="BM293" s="79" t="n"/>
      <c r="BN293" s="79" t="n"/>
      <c r="BO293" s="79" t="n"/>
      <c r="BP293" s="79" t="n"/>
      <c r="BQ293" s="79" t="n"/>
      <c r="BR293" s="79" t="n"/>
      <c r="BS293" s="79" t="n"/>
      <c r="BT293" s="79" t="n"/>
      <c r="BU293" s="79" t="n"/>
      <c r="BV293" s="79" t="n"/>
      <c r="BW293" s="79" t="n"/>
      <c r="BX293" s="79" t="n"/>
      <c r="BY293" s="79" t="n"/>
      <c r="BZ293" s="79" t="n"/>
      <c r="CA293" s="79" t="n"/>
    </row>
    <row r="294" hidden="1" ht="17.1" customHeight="1" s="37">
      <c r="A294" s="551" t="n"/>
      <c r="B294" s="150" t="inlineStr">
        <is>
          <t>T</t>
        </is>
      </c>
      <c r="C294" s="550">
        <f>C293+1</f>
        <v/>
      </c>
      <c r="G294" s="216" t="n"/>
      <c r="H294" s="57" t="n"/>
      <c r="O294" s="216" t="n"/>
      <c r="X294" s="20" t="n"/>
      <c r="AF294" s="450" t="n"/>
      <c r="AN294" s="45" t="n"/>
      <c r="AP294" s="45" t="n"/>
      <c r="AQ294" s="12" t="n"/>
      <c r="AR294" s="216" t="n">
        <v>40</v>
      </c>
      <c r="AS294" s="216" t="n"/>
      <c r="AT294" s="216" t="n"/>
      <c r="AU294" s="216">
        <f>N294+O294 + 0</f>
        <v/>
      </c>
      <c r="AW294" s="2">
        <f>SUM(AH294:AI294,AJ294/2,AK294:AL294)</f>
        <v/>
      </c>
      <c r="AX294" s="2">
        <f>AM294*0.5+SUM(AN294:AP294)</f>
        <v/>
      </c>
      <c r="AY294" s="39">
        <f>SUM(-AR294+AS294*0.01+AT294*0.5+AU294)</f>
        <v/>
      </c>
      <c r="AZ294" s="39">
        <f>'0分'!AF291</f>
        <v/>
      </c>
      <c r="BA294" s="39">
        <f>SUM(AY294,AX294,AW294)</f>
        <v/>
      </c>
      <c r="BB294" s="250" t="n"/>
      <c r="BC294" s="79">
        <f t="array" ref="BC294">SUMPRODUCT(--(NOT(ISBLANK('0₦'!D294:M294))), '0₦'!D$2:M$2) +  SUMPRODUCT(--(NOT(ISBLANK('0₦'!Q294:T294))), '0₦'!Q$2:T$2)</f>
        <v/>
      </c>
      <c r="BD294" s="250">
        <f t="array" ref="BD294">SUMPRODUCT(--(NOT(ISBLANK('0₦'!N294:P294))),'0₦'!N$2:P$2)+'0₦'!AY294</f>
        <v/>
      </c>
      <c r="BE294" s="79">
        <f t="array" ref="BE294">SUMPRODUCT(--(NOT(ISBLANK('0₦'!AA294:AC294))),'0₦'!AA$2:AC$2) + BF294</f>
        <v/>
      </c>
      <c r="BF294" s="79" t="n"/>
      <c r="BG294" s="79">
        <f t="array" ref="BG294">SUMPRODUCT(--(NOT(ISBLANK('0₦'!U294:Z294))), '0₦'!U$2:Z$2)</f>
        <v/>
      </c>
      <c r="BH294" s="79" t="n"/>
      <c r="BI294" s="79">
        <f>SUM(BG294:BH294)</f>
        <v/>
      </c>
      <c r="BJ294" s="79" t="n"/>
      <c r="BK294" s="79" t="n"/>
      <c r="BL294" s="79" t="n"/>
      <c r="BM294" s="79" t="n"/>
      <c r="BN294" s="79" t="n"/>
      <c r="BO294" s="79" t="n"/>
      <c r="BP294" s="79" t="n"/>
      <c r="BQ294" s="79" t="n"/>
      <c r="BR294" s="79" t="n"/>
      <c r="BS294" s="79" t="n"/>
      <c r="BT294" s="79" t="n"/>
      <c r="BU294" s="79" t="n"/>
      <c r="BV294" s="79" t="n"/>
      <c r="BW294" s="79" t="n"/>
      <c r="BX294" s="79" t="n"/>
      <c r="BY294" s="79" t="n"/>
      <c r="BZ294" s="79" t="n"/>
      <c r="CA294" s="79" t="n"/>
    </row>
    <row r="295" hidden="1" ht="17.1" customHeight="1" s="37">
      <c r="A295" s="551" t="n"/>
      <c r="B295" s="150" t="inlineStr">
        <is>
          <t>W</t>
        </is>
      </c>
      <c r="C295" s="550">
        <f>C294+1</f>
        <v/>
      </c>
      <c r="G295" s="216" t="n"/>
      <c r="H295" s="57" t="n"/>
      <c r="O295" s="216" t="n"/>
      <c r="X295" s="20" t="n"/>
      <c r="AF295" s="450" t="n"/>
      <c r="AN295" s="45" t="n"/>
      <c r="AP295" s="45" t="n"/>
      <c r="AQ295" s="12" t="n"/>
      <c r="AR295" s="216" t="n">
        <v>40</v>
      </c>
      <c r="AS295" s="216" t="n"/>
      <c r="AT295" s="216" t="n"/>
      <c r="AU295" s="216">
        <f>N295+O295 + 0</f>
        <v/>
      </c>
      <c r="AW295" s="2">
        <f>SUM(AH295:AI295,AJ295/2,AK295:AL295)</f>
        <v/>
      </c>
      <c r="AX295" s="2">
        <f>AM295*0.5+SUM(AN295:AP295)</f>
        <v/>
      </c>
      <c r="AY295" s="39">
        <f>SUM(-AR295+AS295*0.01+AT295*0.5+AU295)</f>
        <v/>
      </c>
      <c r="AZ295" s="39">
        <f>'0分'!AF292</f>
        <v/>
      </c>
      <c r="BA295" s="39">
        <f>SUM(AY295,AX295,AW295)</f>
        <v/>
      </c>
      <c r="BB295" s="250" t="n"/>
      <c r="BC295" s="79">
        <f t="array" ref="BC295">SUMPRODUCT(--(NOT(ISBLANK('0₦'!D295:M295))), '0₦'!D$2:M$2) +  SUMPRODUCT(--(NOT(ISBLANK('0₦'!Q295:T295))), '0₦'!Q$2:T$2)</f>
        <v/>
      </c>
      <c r="BD295" s="250">
        <f t="array" ref="BD295">SUMPRODUCT(--(NOT(ISBLANK('0₦'!N295:P295))),'0₦'!N$2:P$2)+'0₦'!AY295</f>
        <v/>
      </c>
      <c r="BE295" s="79">
        <f t="array" ref="BE295">SUMPRODUCT(--(NOT(ISBLANK('0₦'!AA295:AC295))),'0₦'!AA$2:AC$2) + BF295</f>
        <v/>
      </c>
      <c r="BF295" s="79" t="n"/>
      <c r="BG295" s="79">
        <f t="array" ref="BG295">SUMPRODUCT(--(NOT(ISBLANK('0₦'!U295:Z295))), '0₦'!U$2:Z$2)</f>
        <v/>
      </c>
      <c r="BH295" s="79" t="n"/>
      <c r="BI295" s="79">
        <f>SUM(BG295:BH295)</f>
        <v/>
      </c>
      <c r="BJ295" s="79" t="n"/>
      <c r="BK295" s="79" t="n"/>
      <c r="BL295" s="79" t="n"/>
      <c r="BM295" s="79" t="n"/>
      <c r="BN295" s="79" t="n"/>
      <c r="BO295" s="79" t="n"/>
      <c r="BP295" s="79" t="n"/>
      <c r="BQ295" s="79" t="n"/>
      <c r="BR295" s="79" t="n"/>
      <c r="BS295" s="79" t="n"/>
      <c r="BT295" s="79" t="n"/>
      <c r="BU295" s="79" t="n"/>
      <c r="BV295" s="79" t="n"/>
      <c r="BW295" s="79" t="n"/>
      <c r="BX295" s="79" t="n"/>
      <c r="BY295" s="79" t="n"/>
      <c r="BZ295" s="79" t="n"/>
      <c r="CA295" s="79" t="n"/>
    </row>
    <row r="296" hidden="1" ht="17.1" customHeight="1" s="37">
      <c r="A296" s="551" t="n"/>
      <c r="B296" s="150" t="inlineStr">
        <is>
          <t>Th</t>
        </is>
      </c>
      <c r="C296" s="550">
        <f>C295+1</f>
        <v/>
      </c>
      <c r="G296" s="216" t="n"/>
      <c r="H296" s="57" t="n"/>
      <c r="O296" s="216" t="n"/>
      <c r="X296" s="20" t="n"/>
      <c r="AF296" s="450" t="n"/>
      <c r="AN296" s="45" t="n"/>
      <c r="AP296" s="45" t="n"/>
      <c r="AQ296" s="12" t="n"/>
      <c r="AR296" s="216" t="n">
        <v>40</v>
      </c>
      <c r="AS296" s="216" t="n"/>
      <c r="AT296" s="216" t="n"/>
      <c r="AU296" s="216">
        <f>N296+O296 + 0</f>
        <v/>
      </c>
      <c r="AW296" s="2">
        <f>SUM(AH296:AI296,AJ296/2,AK296:AL296)</f>
        <v/>
      </c>
      <c r="AX296" s="2">
        <f>AM296*0.5+SUM(AN296:AP296)</f>
        <v/>
      </c>
      <c r="AY296" s="39">
        <f>SUM(-AR296+AS296*0.01+AT296*0.5+AU296)</f>
        <v/>
      </c>
      <c r="AZ296" s="39">
        <f>'0分'!AF293</f>
        <v/>
      </c>
      <c r="BA296" s="39">
        <f>SUM(AY296,AX296,AW296)</f>
        <v/>
      </c>
      <c r="BB296" s="250" t="n"/>
      <c r="BC296" s="79">
        <f t="array" ref="BC296">SUMPRODUCT(--(NOT(ISBLANK('0₦'!D296:M296))), '0₦'!D$2:M$2) +  SUMPRODUCT(--(NOT(ISBLANK('0₦'!Q296:T296))), '0₦'!Q$2:T$2)</f>
        <v/>
      </c>
      <c r="BD296" s="250">
        <f t="array" ref="BD296">SUMPRODUCT(--(NOT(ISBLANK('0₦'!N296:P296))),'0₦'!N$2:P$2)+'0₦'!AY296</f>
        <v/>
      </c>
      <c r="BE296" s="79">
        <f t="array" ref="BE296">SUMPRODUCT(--(NOT(ISBLANK('0₦'!AA296:AC296))),'0₦'!AA$2:AC$2) + BF296</f>
        <v/>
      </c>
      <c r="BF296" s="79" t="n"/>
      <c r="BG296" s="79">
        <f t="array" ref="BG296">SUMPRODUCT(--(NOT(ISBLANK('0₦'!U296:Z296))), '0₦'!U$2:Z$2)</f>
        <v/>
      </c>
      <c r="BH296" s="79" t="n"/>
      <c r="BI296" s="79">
        <f>SUM(BG296:BH296)</f>
        <v/>
      </c>
      <c r="BJ296" s="79" t="n"/>
      <c r="BK296" s="79" t="n"/>
      <c r="BL296" s="79" t="n"/>
      <c r="BM296" s="79" t="n"/>
      <c r="BN296" s="79" t="n"/>
      <c r="BO296" s="79" t="n"/>
      <c r="BP296" s="79" t="n"/>
      <c r="BQ296" s="79" t="n"/>
      <c r="BR296" s="79" t="n"/>
      <c r="BS296" s="79" t="n"/>
      <c r="BT296" s="79" t="n"/>
      <c r="BU296" s="79" t="n"/>
      <c r="BV296" s="79" t="n"/>
      <c r="BW296" s="79" t="n"/>
      <c r="BX296" s="79" t="n"/>
      <c r="BY296" s="79" t="n"/>
      <c r="BZ296" s="79" t="n"/>
      <c r="CA296" s="79" t="n"/>
    </row>
    <row r="297" hidden="1" ht="17.1" customHeight="1" s="37">
      <c r="A297" s="551" t="n"/>
      <c r="B297" s="150" t="inlineStr">
        <is>
          <t>F</t>
        </is>
      </c>
      <c r="C297" s="550">
        <f>C296+1</f>
        <v/>
      </c>
      <c r="G297" s="216" t="n"/>
      <c r="H297" s="57" t="n"/>
      <c r="O297" s="216" t="n"/>
      <c r="X297" s="20" t="n"/>
      <c r="AF297" s="450" t="n"/>
      <c r="AN297" s="45" t="n"/>
      <c r="AP297" s="45" t="n"/>
      <c r="AQ297" s="12" t="n"/>
      <c r="AR297" s="216" t="n">
        <v>40</v>
      </c>
      <c r="AS297" s="216" t="n"/>
      <c r="AT297" s="216" t="n"/>
      <c r="AU297" s="216">
        <f>N297+O297 + 0</f>
        <v/>
      </c>
      <c r="AW297" s="2">
        <f>SUM(AH297:AI297,AJ297/2,AK297:AL297)</f>
        <v/>
      </c>
      <c r="AX297" s="2">
        <f>AM297*0.5+SUM(AN297:AP297)</f>
        <v/>
      </c>
      <c r="AY297" s="39">
        <f>SUM(-AR297+AS297*0.01+AT297*0.5+AU297)</f>
        <v/>
      </c>
      <c r="AZ297" s="39">
        <f>'0分'!AF294</f>
        <v/>
      </c>
      <c r="BA297" s="39">
        <f>SUM(AY297,AX297,AW297)</f>
        <v/>
      </c>
      <c r="BB297" s="250" t="n"/>
      <c r="BC297" s="79">
        <f t="array" ref="BC297">SUMPRODUCT(--(NOT(ISBLANK('0₦'!D297:M297))), '0₦'!D$2:M$2) +  SUMPRODUCT(--(NOT(ISBLANK('0₦'!Q297:T297))), '0₦'!Q$2:T$2)</f>
        <v/>
      </c>
      <c r="BD297" s="250">
        <f t="array" ref="BD297">SUMPRODUCT(--(NOT(ISBLANK('0₦'!N297:P297))),'0₦'!N$2:P$2)+'0₦'!AY297</f>
        <v/>
      </c>
      <c r="BE297" s="79">
        <f t="array" ref="BE297">SUMPRODUCT(--(NOT(ISBLANK('0₦'!AA297:AC297))),'0₦'!AA$2:AC$2) + BF297</f>
        <v/>
      </c>
      <c r="BF297" s="79" t="n"/>
      <c r="BG297" s="79">
        <f t="array" ref="BG297">SUMPRODUCT(--(NOT(ISBLANK('0₦'!U297:Z297))), '0₦'!U$2:Z$2)</f>
        <v/>
      </c>
      <c r="BH297" s="79" t="n"/>
      <c r="BI297" s="79">
        <f>SUM(BG297:BH297)</f>
        <v/>
      </c>
      <c r="BJ297" s="79" t="n"/>
      <c r="BK297" s="79" t="n"/>
      <c r="BL297" s="79" t="n"/>
      <c r="BM297" s="79" t="n"/>
      <c r="BN297" s="79" t="n"/>
      <c r="BO297" s="79" t="n"/>
      <c r="BP297" s="79" t="n"/>
      <c r="BQ297" s="79" t="n"/>
      <c r="BR297" s="79" t="n"/>
      <c r="BS297" s="79" t="n"/>
      <c r="BT297" s="79" t="n"/>
      <c r="BU297" s="79" t="n"/>
      <c r="BV297" s="79" t="n"/>
      <c r="BW297" s="79" t="n"/>
      <c r="BX297" s="79" t="n"/>
      <c r="BY297" s="79" t="n"/>
      <c r="BZ297" s="79" t="n"/>
      <c r="CA297" s="79" t="n"/>
    </row>
    <row r="298" hidden="1" ht="17.1" customHeight="1" s="37">
      <c r="A298" s="552" t="n"/>
      <c r="B298" s="150" t="inlineStr">
        <is>
          <t>S</t>
        </is>
      </c>
      <c r="C298" s="550">
        <f>C297+1</f>
        <v/>
      </c>
      <c r="G298" s="216" t="n"/>
      <c r="H298" s="57" t="n"/>
      <c r="O298" s="216" t="n"/>
      <c r="X298" s="20" t="n"/>
      <c r="AF298" s="450" t="n"/>
      <c r="AN298" s="45" t="n"/>
      <c r="AP298" s="45" t="n"/>
      <c r="AQ298" s="12" t="n"/>
      <c r="AR298" s="216" t="n">
        <v>40</v>
      </c>
      <c r="AS298" s="216" t="n"/>
      <c r="AT298" s="216" t="n"/>
      <c r="AU298" s="216">
        <f>N298+O298 + 0</f>
        <v/>
      </c>
      <c r="AW298" s="2">
        <f>SUM(AH298:AI298,AJ298/2,AK298:AL298)</f>
        <v/>
      </c>
      <c r="AX298" s="2">
        <f>AM298*0.5+SUM(AN298:AP298)</f>
        <v/>
      </c>
      <c r="AY298" s="39">
        <f>SUM(-AR298+AS298*0.01+AT298*0.5+AU298)</f>
        <v/>
      </c>
      <c r="AZ298" s="39">
        <f>'0分'!AF295</f>
        <v/>
      </c>
      <c r="BA298" s="39">
        <f>SUM(AY298,AX298,AW298)</f>
        <v/>
      </c>
      <c r="BB298" s="250" t="n"/>
      <c r="BC298" s="79">
        <f t="array" ref="BC298">SUMPRODUCT(--(NOT(ISBLANK('0₦'!D298:M298))), '0₦'!D$2:M$2) +  SUMPRODUCT(--(NOT(ISBLANK('0₦'!Q298:T298))), '0₦'!Q$2:T$2)</f>
        <v/>
      </c>
      <c r="BD298" s="250">
        <f t="array" ref="BD298">SUMPRODUCT(--(NOT(ISBLANK('0₦'!N298:P298))),'0₦'!N$2:P$2)+'0₦'!AY298</f>
        <v/>
      </c>
      <c r="BE298" s="79">
        <f t="array" ref="BE298">SUMPRODUCT(--(NOT(ISBLANK('0₦'!AA298:AC298))),'0₦'!AA$2:AC$2) + BF298</f>
        <v/>
      </c>
      <c r="BF298" s="79" t="n"/>
      <c r="BG298" s="79">
        <f t="array" ref="BG298">SUMPRODUCT(--(NOT(ISBLANK('0₦'!U298:Z298))), '0₦'!U$2:Z$2)</f>
        <v/>
      </c>
      <c r="BH298" s="79" t="n"/>
      <c r="BI298" s="79">
        <f>SUM(BG298:BH298)</f>
        <v/>
      </c>
      <c r="BJ298" s="79" t="n"/>
      <c r="BK298" s="79" t="n"/>
      <c r="BL298" s="79" t="n"/>
      <c r="BM298" s="79" t="n"/>
      <c r="BN298" s="79" t="n"/>
      <c r="BO298" s="79" t="n"/>
      <c r="BP298" s="79" t="n"/>
      <c r="BQ298" s="79" t="n"/>
      <c r="BR298" s="79" t="n"/>
      <c r="BS298" s="79" t="n"/>
      <c r="BT298" s="79" t="n"/>
      <c r="BU298" s="79" t="n"/>
      <c r="BV298" s="79" t="n"/>
      <c r="BW298" s="79" t="n"/>
      <c r="BX298" s="79" t="n"/>
      <c r="BY298" s="79" t="n"/>
      <c r="BZ298" s="79" t="n"/>
      <c r="CA298" s="79" t="n"/>
    </row>
    <row r="299" hidden="1" ht="17.1" customHeight="1" s="37">
      <c r="A299" s="462">
        <f>A292+0.1</f>
        <v/>
      </c>
      <c r="B299" s="150" t="inlineStr">
        <is>
          <t>S</t>
        </is>
      </c>
      <c r="C299" s="550">
        <f>C298+1</f>
        <v/>
      </c>
      <c r="G299" s="216" t="n"/>
      <c r="H299" s="57" t="n"/>
      <c r="M299" s="38" t="n"/>
      <c r="O299" s="216" t="n"/>
      <c r="R299" s="38" t="n"/>
      <c r="X299" s="20" t="n"/>
      <c r="AF299" s="450" t="n"/>
      <c r="AN299" s="45" t="n"/>
      <c r="AP299" s="45" t="n"/>
      <c r="AQ299" s="12" t="n"/>
      <c r="AR299" s="216" t="n">
        <v>40</v>
      </c>
      <c r="AS299" s="216" t="n"/>
      <c r="AT299" s="216" t="n"/>
      <c r="AU299" s="216">
        <f>N299+O299 + 0</f>
        <v/>
      </c>
      <c r="AW299" s="2">
        <f>SUM(AH299:AI299,AJ299/2,AK299:AL299)</f>
        <v/>
      </c>
      <c r="AX299" s="2">
        <f>AM299*0.5+SUM(AN299:AP299)</f>
        <v/>
      </c>
      <c r="AY299" s="39">
        <f>SUM(-AR299+AS299*0.01+AT299*0.5+AU299)</f>
        <v/>
      </c>
      <c r="AZ299" s="39">
        <f>'0分'!AF296</f>
        <v/>
      </c>
      <c r="BA299" s="39">
        <f>SUM(AY299,AX299,AW299)</f>
        <v/>
      </c>
      <c r="BB299" s="250" t="n"/>
      <c r="BC299" s="79">
        <f t="array" ref="BC299">SUMPRODUCT(--(NOT(ISBLANK('0₦'!D299:M299))), '0₦'!D$2:M$2) +  SUMPRODUCT(--(NOT(ISBLANK('0₦'!Q299:T299))), '0₦'!Q$2:T$2)</f>
        <v/>
      </c>
      <c r="BD299" s="250">
        <f t="array" ref="BD299">SUMPRODUCT(--(NOT(ISBLANK('0₦'!N299:P299))),'0₦'!N$2:P$2)+'0₦'!AY299</f>
        <v/>
      </c>
      <c r="BE299" s="79">
        <f t="array" ref="BE299">SUMPRODUCT(--(NOT(ISBLANK('0₦'!AA299:AC299))),'0₦'!AA$2:AC$2) + BF299</f>
        <v/>
      </c>
      <c r="BF299" s="79" t="n"/>
      <c r="BG299" s="79">
        <f t="array" ref="BG299">SUMPRODUCT(--(NOT(ISBLANK('0₦'!U299:Z299))), '0₦'!U$2:Z$2)</f>
        <v/>
      </c>
      <c r="BH299" s="79" t="n"/>
      <c r="BI299" s="79">
        <f>SUM(BG299:BH299)</f>
        <v/>
      </c>
      <c r="BJ299" s="79" t="n"/>
      <c r="BK299" s="79" t="n"/>
      <c r="BL299" s="79" t="n"/>
      <c r="BM299" s="79" t="n"/>
      <c r="BN299" s="79" t="n"/>
      <c r="BO299" s="79" t="n"/>
      <c r="BP299" s="79" t="n"/>
      <c r="BQ299" s="79" t="n"/>
      <c r="BR299" s="79" t="n"/>
      <c r="BS299" s="79" t="n"/>
      <c r="BT299" s="79" t="n"/>
      <c r="BU299" s="79" t="n"/>
      <c r="BV299" s="79" t="n"/>
      <c r="BW299" s="79" t="n"/>
      <c r="BX299" s="79" t="n"/>
      <c r="BY299" s="79" t="n"/>
      <c r="BZ299" s="79" t="n"/>
      <c r="CA299" s="79" t="n"/>
    </row>
    <row r="300" hidden="1" ht="17.1" customHeight="1" s="37">
      <c r="A300" s="551" t="n"/>
      <c r="B300" s="150" t="inlineStr">
        <is>
          <t>M</t>
        </is>
      </c>
      <c r="C300" s="550">
        <f>C299+1</f>
        <v/>
      </c>
      <c r="G300" s="216" t="n"/>
      <c r="H300" s="57" t="n"/>
      <c r="O300" s="216" t="n"/>
      <c r="X300" s="20" t="n"/>
      <c r="AF300" s="450" t="n"/>
      <c r="AN300" s="45" t="n"/>
      <c r="AP300" s="45" t="n"/>
      <c r="AQ300" s="12" t="n"/>
      <c r="AR300" s="216" t="n">
        <v>40</v>
      </c>
      <c r="AS300" s="216" t="n"/>
      <c r="AT300" s="216" t="n"/>
      <c r="AU300" s="216">
        <f>N300+O300 + 0</f>
        <v/>
      </c>
      <c r="AW300" s="2">
        <f>SUM(AH300:AI300,AJ300/2,AK300:AL300)</f>
        <v/>
      </c>
      <c r="AX300" s="2">
        <f>AM300*0.5+SUM(AN300:AP300)</f>
        <v/>
      </c>
      <c r="AY300" s="39">
        <f>SUM(-AR300+AS300*0.01+AT300*0.5+AU300)</f>
        <v/>
      </c>
      <c r="AZ300" s="39">
        <f>'0分'!AF297</f>
        <v/>
      </c>
      <c r="BA300" s="39">
        <f>SUM(AY300,AX300,AW300)</f>
        <v/>
      </c>
      <c r="BB300" s="250" t="n"/>
      <c r="BC300" s="79">
        <f t="array" ref="BC300">SUMPRODUCT(--(NOT(ISBLANK('0₦'!D300:M300))), '0₦'!D$2:M$2) +  SUMPRODUCT(--(NOT(ISBLANK('0₦'!Q300:T300))), '0₦'!Q$2:T$2)</f>
        <v/>
      </c>
      <c r="BD300" s="250">
        <f t="array" ref="BD300">SUMPRODUCT(--(NOT(ISBLANK('0₦'!N300:P300))),'0₦'!N$2:P$2)+'0₦'!AY300</f>
        <v/>
      </c>
      <c r="BE300" s="79">
        <f t="array" ref="BE300">SUMPRODUCT(--(NOT(ISBLANK('0₦'!AA300:AC300))),'0₦'!AA$2:AC$2) + BF300</f>
        <v/>
      </c>
      <c r="BF300" s="79" t="n"/>
      <c r="BG300" s="79">
        <f t="array" ref="BG300">SUMPRODUCT(--(NOT(ISBLANK('0₦'!U300:Z300))), '0₦'!U$2:Z$2)</f>
        <v/>
      </c>
      <c r="BH300" s="79" t="n"/>
      <c r="BI300" s="79">
        <f>SUM(BG300:BH300)</f>
        <v/>
      </c>
      <c r="BJ300" s="79" t="n"/>
      <c r="BK300" s="79" t="n"/>
      <c r="BL300" s="79" t="n"/>
      <c r="BM300" s="79" t="n"/>
      <c r="BN300" s="79" t="n"/>
      <c r="BO300" s="79" t="n"/>
      <c r="BP300" s="79" t="n"/>
      <c r="BQ300" s="79" t="n"/>
      <c r="BR300" s="79" t="n"/>
      <c r="BS300" s="79" t="n"/>
      <c r="BT300" s="79" t="n"/>
      <c r="BU300" s="79" t="n"/>
      <c r="BV300" s="79" t="n"/>
      <c r="BW300" s="79" t="n"/>
      <c r="BX300" s="79" t="n"/>
      <c r="BY300" s="79" t="n"/>
      <c r="BZ300" s="79" t="n"/>
      <c r="CA300" s="79" t="n"/>
    </row>
    <row r="301" hidden="1" ht="17.1" customHeight="1" s="37">
      <c r="A301" s="551" t="n"/>
      <c r="B301" s="150" t="inlineStr">
        <is>
          <t>T</t>
        </is>
      </c>
      <c r="C301" s="550">
        <f>C300+1</f>
        <v/>
      </c>
      <c r="G301" s="216" t="n"/>
      <c r="H301" s="57" t="n"/>
      <c r="O301" s="216" t="n"/>
      <c r="X301" s="20" t="n"/>
      <c r="AF301" s="450" t="n"/>
      <c r="AN301" s="45" t="n"/>
      <c r="AP301" s="45" t="n"/>
      <c r="AQ301" s="12" t="n"/>
      <c r="AR301" s="216" t="n">
        <v>40</v>
      </c>
      <c r="AS301" s="216" t="n"/>
      <c r="AT301" s="216" t="n"/>
      <c r="AU301" s="216">
        <f>N301+O301 + 0</f>
        <v/>
      </c>
      <c r="AW301" s="2">
        <f>SUM(AH301:AI301,AJ301/2,AK301:AL301)</f>
        <v/>
      </c>
      <c r="AX301" s="2">
        <f>AM301*0.5+SUM(AN301:AP301)</f>
        <v/>
      </c>
      <c r="AY301" s="39">
        <f>SUM(-AR301+AS301*0.01+AT301*0.5+AU301)</f>
        <v/>
      </c>
      <c r="AZ301" s="39">
        <f>'0分'!AF298</f>
        <v/>
      </c>
      <c r="BA301" s="39">
        <f>SUM(AY301,AX301,AW301)</f>
        <v/>
      </c>
      <c r="BB301" s="250" t="n"/>
      <c r="BC301" s="79">
        <f t="array" ref="BC301">SUMPRODUCT(--(NOT(ISBLANK('0₦'!D301:M301))), '0₦'!D$2:M$2) +  SUMPRODUCT(--(NOT(ISBLANK('0₦'!Q301:T301))), '0₦'!Q$2:T$2)</f>
        <v/>
      </c>
      <c r="BD301" s="250">
        <f t="array" ref="BD301">SUMPRODUCT(--(NOT(ISBLANK('0₦'!N301:P301))),'0₦'!N$2:P$2)+'0₦'!AY301</f>
        <v/>
      </c>
      <c r="BE301" s="79">
        <f t="array" ref="BE301">SUMPRODUCT(--(NOT(ISBLANK('0₦'!AA301:AC301))),'0₦'!AA$2:AC$2) + BF301</f>
        <v/>
      </c>
      <c r="BF301" s="79" t="n"/>
      <c r="BG301" s="79">
        <f t="array" ref="BG301">SUMPRODUCT(--(NOT(ISBLANK('0₦'!U301:Z301))), '0₦'!U$2:Z$2)</f>
        <v/>
      </c>
      <c r="BH301" s="79" t="n"/>
      <c r="BI301" s="79">
        <f>SUM(BG301:BH301)</f>
        <v/>
      </c>
      <c r="BJ301" s="79" t="n"/>
      <c r="BK301" s="79" t="n"/>
      <c r="BL301" s="79" t="n"/>
      <c r="BM301" s="79" t="n"/>
      <c r="BN301" s="79" t="n"/>
      <c r="BO301" s="79" t="n"/>
      <c r="BP301" s="79" t="n"/>
      <c r="BQ301" s="79" t="n"/>
      <c r="BR301" s="79" t="n"/>
      <c r="BS301" s="79" t="n"/>
      <c r="BT301" s="79" t="n"/>
      <c r="BU301" s="79" t="n"/>
      <c r="BV301" s="79" t="n"/>
      <c r="BW301" s="79" t="n"/>
      <c r="BX301" s="79" t="n"/>
      <c r="BY301" s="79" t="n"/>
      <c r="BZ301" s="79" t="n"/>
      <c r="CA301" s="79" t="n"/>
    </row>
    <row r="302" hidden="1" ht="17.1" customHeight="1" s="37">
      <c r="A302" s="551" t="n"/>
      <c r="B302" s="150" t="inlineStr">
        <is>
          <t>W</t>
        </is>
      </c>
      <c r="C302" s="550">
        <f>C301+1</f>
        <v/>
      </c>
      <c r="G302" s="216" t="n"/>
      <c r="H302" s="57" t="n"/>
      <c r="O302" s="216" t="n"/>
      <c r="X302" s="20" t="n"/>
      <c r="AF302" s="450" t="n"/>
      <c r="AN302" s="45" t="n"/>
      <c r="AP302" s="45" t="n"/>
      <c r="AQ302" s="12" t="n"/>
      <c r="AR302" s="216" t="n">
        <v>40</v>
      </c>
      <c r="AS302" s="216" t="n"/>
      <c r="AT302" s="216" t="n"/>
      <c r="AU302" s="216">
        <f>N302+O302 + 0</f>
        <v/>
      </c>
      <c r="AW302" s="2">
        <f>SUM(AH302:AI302,AJ302/2,AK302:AL302)</f>
        <v/>
      </c>
      <c r="AX302" s="2">
        <f>AM302*0.5+SUM(AN302:AP302)</f>
        <v/>
      </c>
      <c r="AY302" s="39">
        <f>SUM(-AR302+AS302*0.01+AT302*0.5+AU302)</f>
        <v/>
      </c>
      <c r="AZ302" s="39">
        <f>'0分'!AF299</f>
        <v/>
      </c>
      <c r="BA302" s="39">
        <f>SUM(AY302,AX302,AW302)</f>
        <v/>
      </c>
      <c r="BB302" s="250" t="n"/>
      <c r="BC302" s="79">
        <f t="array" ref="BC302">SUMPRODUCT(--(NOT(ISBLANK('0₦'!D302:M302))), '0₦'!D$2:M$2) +  SUMPRODUCT(--(NOT(ISBLANK('0₦'!Q302:T302))), '0₦'!Q$2:T$2)</f>
        <v/>
      </c>
      <c r="BD302" s="250">
        <f t="array" ref="BD302">SUMPRODUCT(--(NOT(ISBLANK('0₦'!N302:P302))),'0₦'!N$2:P$2)+'0₦'!AY302</f>
        <v/>
      </c>
      <c r="BE302" s="79">
        <f t="array" ref="BE302">SUMPRODUCT(--(NOT(ISBLANK('0₦'!AA302:AC302))),'0₦'!AA$2:AC$2) + BF302</f>
        <v/>
      </c>
      <c r="BF302" s="79" t="n"/>
      <c r="BG302" s="79">
        <f t="array" ref="BG302">SUMPRODUCT(--(NOT(ISBLANK('0₦'!U302:Z302))), '0₦'!U$2:Z$2)</f>
        <v/>
      </c>
      <c r="BH302" s="79" t="n"/>
      <c r="BI302" s="79">
        <f>SUM(BG302:BH302)</f>
        <v/>
      </c>
      <c r="BJ302" s="79" t="n"/>
      <c r="BK302" s="79" t="n"/>
      <c r="BL302" s="79" t="n"/>
      <c r="BM302" s="79" t="n"/>
      <c r="BN302" s="79" t="n"/>
      <c r="BO302" s="79" t="n"/>
      <c r="BP302" s="79" t="n"/>
      <c r="BQ302" s="79" t="n"/>
      <c r="BR302" s="79" t="n"/>
      <c r="BS302" s="79" t="n"/>
      <c r="BT302" s="79" t="n"/>
      <c r="BU302" s="79" t="n"/>
      <c r="BV302" s="79" t="n"/>
      <c r="BW302" s="79" t="n"/>
      <c r="BX302" s="79" t="n"/>
      <c r="BY302" s="79" t="n"/>
      <c r="BZ302" s="79" t="n"/>
      <c r="CA302" s="79" t="n"/>
    </row>
    <row r="303" hidden="1" ht="18.95" customHeight="1" s="37">
      <c r="A303" s="551" t="n"/>
      <c r="B303" s="150" t="inlineStr">
        <is>
          <t>Th</t>
        </is>
      </c>
      <c r="C303" s="550">
        <f>C302+1</f>
        <v/>
      </c>
      <c r="G303" s="216" t="n"/>
      <c r="H303" s="57" t="n"/>
      <c r="O303" s="216" t="n"/>
      <c r="X303" s="20" t="n"/>
      <c r="AF303" s="450" t="n"/>
      <c r="AN303" s="45" t="n"/>
      <c r="AP303" s="45" t="n"/>
      <c r="AQ303" s="12" t="n"/>
      <c r="AR303" s="216" t="n">
        <v>40</v>
      </c>
      <c r="AS303" s="216" t="n"/>
      <c r="AT303" s="216" t="n"/>
      <c r="AU303" s="216">
        <f>N303+O303 + 0</f>
        <v/>
      </c>
      <c r="AW303" s="2">
        <f>SUM(AH303:AI303,AJ303/2,AK303:AL303)</f>
        <v/>
      </c>
      <c r="AX303" s="2">
        <f>AM303*0.5+SUM(AN303:AP303)</f>
        <v/>
      </c>
      <c r="AY303" s="39">
        <f>SUM(-AR303+AS303*0.01+AT303*0.5+AU303)</f>
        <v/>
      </c>
      <c r="AZ303" s="39">
        <f>'0分'!AF300</f>
        <v/>
      </c>
      <c r="BA303" s="39">
        <f>SUM(AY303,AX303,AW303)</f>
        <v/>
      </c>
      <c r="BB303" s="250" t="n"/>
      <c r="BC303" s="79">
        <f t="array" ref="BC303">SUMPRODUCT(--(NOT(ISBLANK('0₦'!D303:M303))), '0₦'!D$2:M$2) +  SUMPRODUCT(--(NOT(ISBLANK('0₦'!Q303:T303))), '0₦'!Q$2:T$2)</f>
        <v/>
      </c>
      <c r="BD303" s="250">
        <f t="array" ref="BD303">SUMPRODUCT(--(NOT(ISBLANK('0₦'!N303:P303))),'0₦'!N$2:P$2)+'0₦'!AY303</f>
        <v/>
      </c>
      <c r="BE303" s="79">
        <f t="array" ref="BE303">SUMPRODUCT(--(NOT(ISBLANK('0₦'!AA303:AC303))),'0₦'!AA$2:AC$2) + BF303</f>
        <v/>
      </c>
      <c r="BF303" s="79" t="n"/>
      <c r="BG303" s="79">
        <f t="array" ref="BG303">SUMPRODUCT(--(NOT(ISBLANK('0₦'!U303:Z303))), '0₦'!U$2:Z$2)</f>
        <v/>
      </c>
      <c r="BH303" s="79" t="n"/>
      <c r="BI303" s="79">
        <f>SUM(BG303:BH303)</f>
        <v/>
      </c>
      <c r="BJ303" s="79" t="n"/>
      <c r="BK303" s="79" t="n"/>
      <c r="BL303" s="79" t="n"/>
      <c r="BM303" s="79" t="n"/>
      <c r="BN303" s="79" t="n"/>
      <c r="BO303" s="79" t="n"/>
      <c r="BP303" s="79" t="n"/>
      <c r="BQ303" s="79" t="n"/>
      <c r="BR303" s="79" t="n"/>
      <c r="BS303" s="79" t="n"/>
      <c r="BT303" s="79" t="n"/>
      <c r="BU303" s="79" t="n"/>
      <c r="BV303" s="79" t="n"/>
      <c r="BW303" s="79" t="n"/>
      <c r="BX303" s="79" t="n"/>
      <c r="BY303" s="79" t="n"/>
      <c r="BZ303" s="79" t="n"/>
      <c r="CA303" s="79" t="n"/>
    </row>
    <row r="304" hidden="1" ht="17.1" customHeight="1" s="37">
      <c r="A304" s="551" t="n"/>
      <c r="B304" s="150" t="inlineStr">
        <is>
          <t>F</t>
        </is>
      </c>
      <c r="C304" s="550">
        <f>C303+1</f>
        <v/>
      </c>
      <c r="G304" s="216" t="n"/>
      <c r="H304" s="57" t="n"/>
      <c r="O304" s="216" t="n"/>
      <c r="X304" s="20" t="n"/>
      <c r="AF304" s="450" t="n"/>
      <c r="AN304" s="45" t="n"/>
      <c r="AP304" s="45" t="n"/>
      <c r="AQ304" s="12" t="n"/>
      <c r="AR304" s="216" t="n">
        <v>40</v>
      </c>
      <c r="AS304" s="216" t="n"/>
      <c r="AT304" s="216" t="n"/>
      <c r="AU304" s="216">
        <f>N304+O304 + 0</f>
        <v/>
      </c>
      <c r="AW304" s="2">
        <f>SUM(AH304:AI304,AJ304/2,AK304:AL304)</f>
        <v/>
      </c>
      <c r="AX304" s="2">
        <f>AM304*0.5+SUM(AN304:AP304)</f>
        <v/>
      </c>
      <c r="AY304" s="39">
        <f>SUM(-AR304+AS304*0.01+AT304*0.5+AU304)</f>
        <v/>
      </c>
      <c r="AZ304" s="39">
        <f>'0分'!AF301</f>
        <v/>
      </c>
      <c r="BA304" s="39">
        <f>SUM(AY304,AX304,AW304)</f>
        <v/>
      </c>
      <c r="BB304" s="250" t="n"/>
      <c r="BC304" s="79">
        <f t="array" ref="BC304">SUMPRODUCT(--(NOT(ISBLANK('0₦'!D304:M304))), '0₦'!D$2:M$2) +  SUMPRODUCT(--(NOT(ISBLANK('0₦'!Q304:T304))), '0₦'!Q$2:T$2)</f>
        <v/>
      </c>
      <c r="BD304" s="250">
        <f t="array" ref="BD304">SUMPRODUCT(--(NOT(ISBLANK('0₦'!N304:P304))),'0₦'!N$2:P$2)+'0₦'!AY304</f>
        <v/>
      </c>
      <c r="BE304" s="79">
        <f t="array" ref="BE304">SUMPRODUCT(--(NOT(ISBLANK('0₦'!AA304:AC304))),'0₦'!AA$2:AC$2) + BF304</f>
        <v/>
      </c>
      <c r="BF304" s="79" t="n"/>
      <c r="BG304" s="79">
        <f t="array" ref="BG304">SUMPRODUCT(--(NOT(ISBLANK('0₦'!U304:Z304))), '0₦'!U$2:Z$2)</f>
        <v/>
      </c>
      <c r="BH304" s="79" t="n"/>
      <c r="BI304" s="79">
        <f>SUM(BG304:BH304)</f>
        <v/>
      </c>
      <c r="BJ304" s="79" t="n"/>
      <c r="BK304" s="79" t="n"/>
      <c r="BL304" s="79" t="n"/>
      <c r="BM304" s="79" t="n"/>
      <c r="BN304" s="79" t="n"/>
      <c r="BO304" s="79" t="n"/>
      <c r="BP304" s="79" t="n"/>
      <c r="BQ304" s="79" t="n"/>
      <c r="BR304" s="79" t="n"/>
      <c r="BS304" s="79" t="n"/>
      <c r="BT304" s="79" t="n"/>
      <c r="BU304" s="79" t="n"/>
      <c r="BV304" s="79" t="n"/>
      <c r="BW304" s="79" t="n"/>
      <c r="BX304" s="79" t="n"/>
      <c r="BY304" s="79" t="n"/>
      <c r="BZ304" s="79" t="n"/>
      <c r="CA304" s="79" t="n"/>
    </row>
    <row r="305" hidden="1" ht="17.1" customHeight="1" s="37">
      <c r="A305" s="552" t="n"/>
      <c r="B305" s="150" t="inlineStr">
        <is>
          <t>S</t>
        </is>
      </c>
      <c r="C305" s="550">
        <f>C304+1</f>
        <v/>
      </c>
      <c r="G305" s="216" t="n"/>
      <c r="H305" s="57" t="n"/>
      <c r="O305" s="216" t="n"/>
      <c r="T305" s="38" t="n"/>
      <c r="X305" s="20" t="n"/>
      <c r="AF305" s="450" t="n"/>
      <c r="AN305" s="45" t="n"/>
      <c r="AP305" s="45" t="n"/>
      <c r="AQ305" s="12" t="n"/>
      <c r="AR305" s="216" t="n">
        <v>40</v>
      </c>
      <c r="AS305" s="216" t="n"/>
      <c r="AT305" s="216" t="n"/>
      <c r="AU305" s="216">
        <f>N305+O305 + 0</f>
        <v/>
      </c>
      <c r="AW305" s="2">
        <f>SUM(AH305:AI305,AJ305/2,AK305:AL305)</f>
        <v/>
      </c>
      <c r="AX305" s="2">
        <f>AM305*0.5+SUM(AN305:AP305)</f>
        <v/>
      </c>
      <c r="AY305" s="39">
        <f>SUM(-AR305+AS305*0.01+AT305*0.5+AU305)</f>
        <v/>
      </c>
      <c r="AZ305" s="39">
        <f>'0分'!AF302</f>
        <v/>
      </c>
      <c r="BA305" s="39">
        <f>SUM(AY305,AX305,AW305)</f>
        <v/>
      </c>
      <c r="BB305" s="250" t="n"/>
      <c r="BC305" s="79">
        <f t="array" ref="BC305">SUMPRODUCT(--(NOT(ISBLANK('0₦'!D305:M305))), '0₦'!D$2:M$2) +  SUMPRODUCT(--(NOT(ISBLANK('0₦'!Q305:T305))), '0₦'!Q$2:T$2)</f>
        <v/>
      </c>
      <c r="BD305" s="250">
        <f t="array" ref="BD305">SUMPRODUCT(--(NOT(ISBLANK('0₦'!N305:P305))),'0₦'!N$2:P$2)+'0₦'!AY305</f>
        <v/>
      </c>
      <c r="BE305" s="79">
        <f t="array" ref="BE305">SUMPRODUCT(--(NOT(ISBLANK('0₦'!AA305:AC305))),'0₦'!AA$2:AC$2) + BF305</f>
        <v/>
      </c>
      <c r="BF305" s="79" t="n"/>
      <c r="BG305" s="79">
        <f t="array" ref="BG305">SUMPRODUCT(--(NOT(ISBLANK('0₦'!U305:Z305))), '0₦'!U$2:Z$2)</f>
        <v/>
      </c>
      <c r="BH305" s="79" t="n"/>
      <c r="BI305" s="79">
        <f>SUM(BG305:BH305)</f>
        <v/>
      </c>
      <c r="BJ305" s="79" t="n"/>
      <c r="BK305" s="79" t="n"/>
      <c r="BL305" s="79" t="n"/>
      <c r="BM305" s="79" t="n"/>
      <c r="BN305" s="79" t="n"/>
      <c r="BO305" s="79" t="n"/>
      <c r="BP305" s="79" t="n"/>
      <c r="BQ305" s="79" t="n"/>
      <c r="BR305" s="79" t="n"/>
      <c r="BS305" s="79" t="n"/>
      <c r="BT305" s="79" t="n"/>
      <c r="BU305" s="79" t="n"/>
      <c r="BV305" s="79" t="n"/>
      <c r="BW305" s="79" t="n"/>
      <c r="BX305" s="79" t="n"/>
      <c r="BY305" s="79" t="n"/>
      <c r="BZ305" s="79" t="n"/>
      <c r="CA305" s="79" t="n"/>
    </row>
    <row r="306" hidden="1" ht="17.1" customHeight="1" s="37">
      <c r="A306" s="462">
        <f>A278+1</f>
        <v/>
      </c>
      <c r="B306" s="150" t="inlineStr">
        <is>
          <t>S</t>
        </is>
      </c>
      <c r="C306" s="550">
        <f>C305+1</f>
        <v/>
      </c>
      <c r="G306" s="216" t="n"/>
      <c r="H306" s="57" t="n"/>
      <c r="O306" s="216" t="n"/>
      <c r="X306" s="20" t="n"/>
      <c r="AF306" s="450" t="n"/>
      <c r="AN306" s="45" t="n"/>
      <c r="AP306" s="45" t="n"/>
      <c r="AQ306" s="12" t="n"/>
      <c r="AR306" s="216" t="n">
        <v>40</v>
      </c>
      <c r="AS306" s="216" t="n"/>
      <c r="AT306" s="216" t="n"/>
      <c r="AU306" s="216">
        <f>N306+O306 + 0</f>
        <v/>
      </c>
      <c r="AW306" s="2">
        <f>SUM(AH306:AI306,AJ306/2,AK306:AL306)</f>
        <v/>
      </c>
      <c r="AX306" s="2">
        <f>AM306*0.5+SUM(AN306:AP306)</f>
        <v/>
      </c>
      <c r="AY306" s="39">
        <f>SUM(-AR306+AS306*0.01+AT306*0.5+AU306)</f>
        <v/>
      </c>
      <c r="AZ306" s="39">
        <f>'0分'!AF303</f>
        <v/>
      </c>
      <c r="BA306" s="39">
        <f>SUM(AY306,AX306,AW306)</f>
        <v/>
      </c>
      <c r="BB306" s="250" t="n"/>
      <c r="BC306" s="79">
        <f t="array" ref="BC306">SUMPRODUCT(--(NOT(ISBLANK('0₦'!D306:M306))), '0₦'!D$2:M$2) +  SUMPRODUCT(--(NOT(ISBLANK('0₦'!Q306:T306))), '0₦'!Q$2:T$2)</f>
        <v/>
      </c>
      <c r="BD306" s="250">
        <f t="array" ref="BD306">SUMPRODUCT(--(NOT(ISBLANK('0₦'!N306:P306))),'0₦'!N$2:P$2)+'0₦'!AY306</f>
        <v/>
      </c>
      <c r="BE306" s="79">
        <f t="array" ref="BE306">SUMPRODUCT(--(NOT(ISBLANK('0₦'!AA306:AC306))),'0₦'!AA$2:AC$2) + BF306</f>
        <v/>
      </c>
      <c r="BF306" s="79" t="n"/>
      <c r="BG306" s="79">
        <f t="array" ref="BG306">SUMPRODUCT(--(NOT(ISBLANK('0₦'!U306:Z306))), '0₦'!U$2:Z$2)</f>
        <v/>
      </c>
      <c r="BH306" s="79" t="n"/>
      <c r="BI306" s="79">
        <f>SUM(BG306:BH306)</f>
        <v/>
      </c>
      <c r="BJ306" s="79" t="n"/>
      <c r="BK306" s="79" t="n"/>
      <c r="BL306" s="79" t="n"/>
      <c r="BM306" s="79" t="n"/>
      <c r="BN306" s="79" t="n"/>
      <c r="BO306" s="79" t="n"/>
      <c r="BP306" s="79" t="n"/>
      <c r="BQ306" s="79" t="n"/>
      <c r="BR306" s="79" t="n"/>
      <c r="BS306" s="79" t="n"/>
      <c r="BT306" s="79" t="n"/>
      <c r="BU306" s="79" t="n"/>
      <c r="BV306" s="79" t="n"/>
      <c r="BW306" s="79" t="n"/>
      <c r="BX306" s="79" t="n"/>
      <c r="BY306" s="79" t="n"/>
      <c r="BZ306" s="79" t="n"/>
      <c r="CA306" s="79" t="n"/>
    </row>
    <row r="307" hidden="1" ht="17.1" customHeight="1" s="37">
      <c r="A307" s="551" t="n"/>
      <c r="B307" s="150" t="inlineStr">
        <is>
          <t>M</t>
        </is>
      </c>
      <c r="C307" s="550">
        <f>C306+1</f>
        <v/>
      </c>
      <c r="G307" s="216" t="n"/>
      <c r="H307" s="57" t="n"/>
      <c r="O307" s="216" t="n"/>
      <c r="X307" s="20" t="n"/>
      <c r="AF307" s="450" t="n"/>
      <c r="AN307" s="45" t="n"/>
      <c r="AP307" s="45" t="n"/>
      <c r="AQ307" s="12" t="n"/>
      <c r="AR307" s="216" t="n">
        <v>40</v>
      </c>
      <c r="AS307" s="216" t="n"/>
      <c r="AT307" s="216" t="n"/>
      <c r="AU307" s="216">
        <f>N307+O307 + 0</f>
        <v/>
      </c>
      <c r="AW307" s="2">
        <f>SUM(AH307:AI307,AJ307/2,AK307:AL307)</f>
        <v/>
      </c>
      <c r="AX307" s="2">
        <f>AM307*0.5+SUM(AN307:AP307)</f>
        <v/>
      </c>
      <c r="AY307" s="39">
        <f>SUM(-AR307+AS307*0.01+AT307*0.5+AU307)</f>
        <v/>
      </c>
      <c r="AZ307" s="39">
        <f>'0分'!AF304</f>
        <v/>
      </c>
      <c r="BA307" s="39">
        <f>SUM(AY307,AX307,AW307)</f>
        <v/>
      </c>
      <c r="BB307" s="250" t="n"/>
      <c r="BC307" s="79">
        <f t="array" ref="BC307">SUMPRODUCT(--(NOT(ISBLANK('0₦'!D307:M307))), '0₦'!D$2:M$2) +  SUMPRODUCT(--(NOT(ISBLANK('0₦'!Q307:T307))), '0₦'!Q$2:T$2)</f>
        <v/>
      </c>
      <c r="BD307" s="250">
        <f t="array" ref="BD307">SUMPRODUCT(--(NOT(ISBLANK('0₦'!N307:P307))),'0₦'!N$2:P$2)+'0₦'!AY307</f>
        <v/>
      </c>
      <c r="BE307" s="79">
        <f t="array" ref="BE307">SUMPRODUCT(--(NOT(ISBLANK('0₦'!AA307:AC307))),'0₦'!AA$2:AC$2) + BF307</f>
        <v/>
      </c>
      <c r="BF307" s="79" t="n"/>
      <c r="BG307" s="79">
        <f t="array" ref="BG307">SUMPRODUCT(--(NOT(ISBLANK('0₦'!U307:Z307))), '0₦'!U$2:Z$2)</f>
        <v/>
      </c>
      <c r="BH307" s="79" t="n"/>
      <c r="BI307" s="79">
        <f>SUM(BG307:BH307)</f>
        <v/>
      </c>
      <c r="BJ307" s="79" t="n"/>
      <c r="BK307" s="79" t="n"/>
      <c r="BL307" s="79" t="n"/>
      <c r="BM307" s="79" t="n"/>
      <c r="BN307" s="79" t="n"/>
      <c r="BO307" s="79" t="n"/>
      <c r="BP307" s="79" t="n"/>
      <c r="BQ307" s="79" t="n"/>
      <c r="BR307" s="79" t="n"/>
      <c r="BS307" s="79" t="n"/>
      <c r="BT307" s="79" t="n"/>
      <c r="BU307" s="79" t="n"/>
      <c r="BV307" s="79" t="n"/>
      <c r="BW307" s="79" t="n"/>
      <c r="BX307" s="79" t="n"/>
      <c r="BY307" s="79" t="n"/>
      <c r="BZ307" s="79" t="n"/>
      <c r="CA307" s="79" t="n"/>
    </row>
    <row r="308" hidden="1" ht="17.1" customHeight="1" s="37">
      <c r="A308" s="551" t="n"/>
      <c r="B308" s="150" t="inlineStr">
        <is>
          <t>T</t>
        </is>
      </c>
      <c r="C308" s="550">
        <f>C307+1</f>
        <v/>
      </c>
      <c r="G308" s="216" t="n"/>
      <c r="H308" s="57" t="n"/>
      <c r="O308" s="216" t="n"/>
      <c r="X308" s="20" t="n"/>
      <c r="AF308" s="450" t="n"/>
      <c r="AN308" s="45" t="n"/>
      <c r="AP308" s="45" t="n"/>
      <c r="AQ308" s="12" t="n"/>
      <c r="AR308" s="216" t="n">
        <v>40</v>
      </c>
      <c r="AS308" s="216" t="n"/>
      <c r="AT308" s="216" t="n"/>
      <c r="AU308" s="216">
        <f>N308+O308 + 0</f>
        <v/>
      </c>
      <c r="AW308" s="2">
        <f>SUM(AH308:AI308,AJ308/2,AK308:AL308)</f>
        <v/>
      </c>
      <c r="AX308" s="2">
        <f>AM308*0.5+SUM(AN308:AP308)</f>
        <v/>
      </c>
      <c r="AY308" s="39">
        <f>SUM(-AR308+AS308*0.01+AT308*0.5+AU308)</f>
        <v/>
      </c>
      <c r="AZ308" s="39">
        <f>'0分'!AF305</f>
        <v/>
      </c>
      <c r="BA308" s="39">
        <f>SUM(AY308,AX308,AW308)</f>
        <v/>
      </c>
      <c r="BB308" s="250" t="n"/>
      <c r="BC308" s="79">
        <f t="array" ref="BC308">SUMPRODUCT(--(NOT(ISBLANK('0₦'!D308:M308))), '0₦'!D$2:M$2) +  SUMPRODUCT(--(NOT(ISBLANK('0₦'!Q308:T308))), '0₦'!Q$2:T$2)</f>
        <v/>
      </c>
      <c r="BD308" s="250">
        <f t="array" ref="BD308">SUMPRODUCT(--(NOT(ISBLANK('0₦'!N308:P308))),'0₦'!N$2:P$2)+'0₦'!AY308</f>
        <v/>
      </c>
      <c r="BE308" s="79">
        <f t="array" ref="BE308">SUMPRODUCT(--(NOT(ISBLANK('0₦'!AA308:AC308))),'0₦'!AA$2:AC$2) + BF308</f>
        <v/>
      </c>
      <c r="BF308" s="79" t="n"/>
      <c r="BG308" s="79">
        <f t="array" ref="BG308">SUMPRODUCT(--(NOT(ISBLANK('0₦'!U308:Z308))), '0₦'!U$2:Z$2)</f>
        <v/>
      </c>
      <c r="BH308" s="79" t="n"/>
      <c r="BI308" s="79">
        <f>SUM(BG308:BH308)</f>
        <v/>
      </c>
      <c r="BJ308" s="79" t="n"/>
      <c r="BK308" s="79" t="n"/>
      <c r="BL308" s="79" t="n"/>
      <c r="BM308" s="79" t="n"/>
      <c r="BN308" s="79" t="n"/>
      <c r="BO308" s="79" t="n"/>
      <c r="BP308" s="79" t="n"/>
      <c r="BQ308" s="79" t="n"/>
      <c r="BR308" s="79" t="n"/>
      <c r="BS308" s="79" t="n"/>
      <c r="BT308" s="79" t="n"/>
      <c r="BU308" s="79" t="n"/>
      <c r="BV308" s="79" t="n"/>
      <c r="BW308" s="79" t="n"/>
      <c r="BX308" s="79" t="n"/>
      <c r="BY308" s="79" t="n"/>
      <c r="BZ308" s="79" t="n"/>
      <c r="CA308" s="79" t="n"/>
    </row>
    <row r="309" hidden="1" ht="17.1" customHeight="1" s="37">
      <c r="A309" s="551" t="n"/>
      <c r="B309" s="150" t="inlineStr">
        <is>
          <t>W</t>
        </is>
      </c>
      <c r="C309" s="550">
        <f>C308+1</f>
        <v/>
      </c>
      <c r="G309" s="216" t="n"/>
      <c r="H309" s="57" t="n"/>
      <c r="O309" s="216" t="n"/>
      <c r="X309" s="20" t="n"/>
      <c r="AF309" s="450" t="n"/>
      <c r="AN309" s="45" t="n"/>
      <c r="AP309" s="45" t="n"/>
      <c r="AQ309" s="12" t="n"/>
      <c r="AR309" s="216" t="n">
        <v>40</v>
      </c>
      <c r="AS309" s="216" t="n"/>
      <c r="AT309" s="216" t="n"/>
      <c r="AU309" s="216">
        <f>N309+O309 + 0</f>
        <v/>
      </c>
      <c r="AW309" s="2">
        <f>SUM(AH309:AI309,AJ309/2,AK309:AL309)</f>
        <v/>
      </c>
      <c r="AX309" s="2">
        <f>AM309*0.5+SUM(AN309:AP309)</f>
        <v/>
      </c>
      <c r="AY309" s="39">
        <f>SUM(-AR309+AS309*0.01+AT309*0.5+AU309)</f>
        <v/>
      </c>
      <c r="AZ309" s="39">
        <f>'0分'!AF306</f>
        <v/>
      </c>
      <c r="BA309" s="39">
        <f>SUM(AY309,AX309,AW309)</f>
        <v/>
      </c>
      <c r="BB309" s="250" t="n"/>
      <c r="BC309" s="79">
        <f t="array" ref="BC309">SUMPRODUCT(--(NOT(ISBLANK('0₦'!D309:M309))), '0₦'!D$2:M$2) +  SUMPRODUCT(--(NOT(ISBLANK('0₦'!Q309:T309))), '0₦'!Q$2:T$2)</f>
        <v/>
      </c>
      <c r="BD309" s="250">
        <f t="array" ref="BD309">SUMPRODUCT(--(NOT(ISBLANK('0₦'!N309:P309))),'0₦'!N$2:P$2)+'0₦'!AY309</f>
        <v/>
      </c>
      <c r="BE309" s="79">
        <f t="array" ref="BE309">SUMPRODUCT(--(NOT(ISBLANK('0₦'!AA309:AC309))),'0₦'!AA$2:AC$2) + BF309</f>
        <v/>
      </c>
      <c r="BF309" s="79" t="n"/>
      <c r="BG309" s="79">
        <f t="array" ref="BG309">SUMPRODUCT(--(NOT(ISBLANK('0₦'!U309:Z309))), '0₦'!U$2:Z$2)</f>
        <v/>
      </c>
      <c r="BH309" s="79" t="n"/>
      <c r="BI309" s="79">
        <f>SUM(BG309:BH309)</f>
        <v/>
      </c>
      <c r="BJ309" s="79" t="n"/>
      <c r="BK309" s="79" t="n"/>
      <c r="BL309" s="79" t="n"/>
      <c r="BM309" s="79" t="n"/>
      <c r="BN309" s="79" t="n"/>
      <c r="BO309" s="79" t="n"/>
      <c r="BP309" s="79" t="n"/>
      <c r="BQ309" s="79" t="n"/>
      <c r="BR309" s="79" t="n"/>
      <c r="BS309" s="79" t="n"/>
      <c r="BT309" s="79" t="n"/>
      <c r="BU309" s="79" t="n"/>
      <c r="BV309" s="79" t="n"/>
      <c r="BW309" s="79" t="n"/>
      <c r="BX309" s="79" t="n"/>
      <c r="BY309" s="79" t="n"/>
      <c r="BZ309" s="79" t="n"/>
      <c r="CA309" s="79" t="n"/>
    </row>
    <row r="310" hidden="1" ht="17.1" customHeight="1" s="37">
      <c r="A310" s="551" t="n"/>
      <c r="B310" s="150" t="inlineStr">
        <is>
          <t>Th</t>
        </is>
      </c>
      <c r="C310" s="550">
        <f>C309+1</f>
        <v/>
      </c>
      <c r="G310" s="216" t="n"/>
      <c r="H310" s="57" t="n"/>
      <c r="O310" s="216" t="n"/>
      <c r="X310" s="20" t="n"/>
      <c r="AF310" s="450" t="n"/>
      <c r="AN310" s="45" t="n"/>
      <c r="AP310" s="45" t="n"/>
      <c r="AQ310" s="12" t="n"/>
      <c r="AR310" s="216" t="n">
        <v>40</v>
      </c>
      <c r="AS310" s="216" t="n"/>
      <c r="AT310" s="216" t="n"/>
      <c r="AU310" s="216">
        <f>N310+O310 + 0</f>
        <v/>
      </c>
      <c r="AW310" s="2">
        <f>SUM(AH310:AI310,AJ310/2,AK310:AL310)</f>
        <v/>
      </c>
      <c r="AX310" s="2">
        <f>AM310*0.5+SUM(AN310:AP310)</f>
        <v/>
      </c>
      <c r="AY310" s="39">
        <f>SUM(-AR310+AS310*0.01+AT310*0.5+AU310)</f>
        <v/>
      </c>
      <c r="AZ310" s="39">
        <f>'0分'!AF307</f>
        <v/>
      </c>
      <c r="BA310" s="39">
        <f>SUM(AY310,AX310,AW310)</f>
        <v/>
      </c>
      <c r="BB310" s="250" t="n"/>
      <c r="BC310" s="79">
        <f t="array" ref="BC310">SUMPRODUCT(--(NOT(ISBLANK('0₦'!D310:M310))), '0₦'!D$2:M$2) +  SUMPRODUCT(--(NOT(ISBLANK('0₦'!Q310:T310))), '0₦'!Q$2:T$2)</f>
        <v/>
      </c>
      <c r="BD310" s="250">
        <f t="array" ref="BD310">SUMPRODUCT(--(NOT(ISBLANK('0₦'!N310:P310))),'0₦'!N$2:P$2)+'0₦'!AY310</f>
        <v/>
      </c>
      <c r="BE310" s="79">
        <f t="array" ref="BE310">SUMPRODUCT(--(NOT(ISBLANK('0₦'!AA310:AC310))),'0₦'!AA$2:AC$2) + BF310</f>
        <v/>
      </c>
      <c r="BF310" s="79" t="n"/>
      <c r="BG310" s="79">
        <f t="array" ref="BG310">SUMPRODUCT(--(NOT(ISBLANK('0₦'!U310:Z310))), '0₦'!U$2:Z$2)</f>
        <v/>
      </c>
      <c r="BH310" s="79" t="n"/>
      <c r="BI310" s="79">
        <f>SUM(BG310:BH310)</f>
        <v/>
      </c>
      <c r="BJ310" s="79" t="n"/>
      <c r="BK310" s="79" t="n"/>
      <c r="BL310" s="79" t="n"/>
      <c r="BM310" s="79" t="n"/>
      <c r="BN310" s="79" t="n"/>
      <c r="BO310" s="79" t="n"/>
      <c r="BP310" s="79" t="n"/>
      <c r="BQ310" s="79" t="n"/>
      <c r="BR310" s="79" t="n"/>
      <c r="BS310" s="79" t="n"/>
      <c r="BT310" s="79" t="n"/>
      <c r="BU310" s="79" t="n"/>
      <c r="BV310" s="79" t="n"/>
      <c r="BW310" s="79" t="n"/>
      <c r="BX310" s="79" t="n"/>
      <c r="BY310" s="79" t="n"/>
      <c r="BZ310" s="79" t="n"/>
      <c r="CA310" s="79" t="n"/>
    </row>
    <row r="311" hidden="1" ht="17.1" customHeight="1" s="37">
      <c r="A311" s="551" t="n"/>
      <c r="B311" s="150" t="inlineStr">
        <is>
          <t>F</t>
        </is>
      </c>
      <c r="C311" s="550">
        <f>C310+1</f>
        <v/>
      </c>
      <c r="G311" s="216" t="n"/>
      <c r="H311" s="57" t="n"/>
      <c r="O311" s="216" t="n"/>
      <c r="X311" s="20" t="n"/>
      <c r="AF311" s="450" t="n"/>
      <c r="AN311" s="45" t="n"/>
      <c r="AP311" s="45" t="n"/>
      <c r="AQ311" s="12" t="n"/>
      <c r="AR311" s="216" t="n">
        <v>40</v>
      </c>
      <c r="AS311" s="216" t="n"/>
      <c r="AT311" s="216" t="n"/>
      <c r="AU311" s="216">
        <f>N311+O311 + 0</f>
        <v/>
      </c>
      <c r="AW311" s="2">
        <f>SUM(AH311:AI311,AJ311/2,AK311:AL311)</f>
        <v/>
      </c>
      <c r="AX311" s="2">
        <f>AM311*0.5+SUM(AN311:AP311)</f>
        <v/>
      </c>
      <c r="AY311" s="39">
        <f>SUM(-AR311+AS311*0.01+AT311*0.5+AU311)</f>
        <v/>
      </c>
      <c r="AZ311" s="39">
        <f>'0分'!AF308</f>
        <v/>
      </c>
      <c r="BA311" s="39">
        <f>SUM(AY311,AX311,AW311)</f>
        <v/>
      </c>
      <c r="BB311" s="250" t="n"/>
      <c r="BC311" s="79">
        <f t="array" ref="BC311">SUMPRODUCT(--(NOT(ISBLANK('0₦'!D311:M311))), '0₦'!D$2:M$2) +  SUMPRODUCT(--(NOT(ISBLANK('0₦'!Q311:T311))), '0₦'!Q$2:T$2)</f>
        <v/>
      </c>
      <c r="BD311" s="250">
        <f t="array" ref="BD311">SUMPRODUCT(--(NOT(ISBLANK('0₦'!N311:P311))),'0₦'!N$2:P$2)+'0₦'!AY311</f>
        <v/>
      </c>
      <c r="BE311" s="79">
        <f t="array" ref="BE311">SUMPRODUCT(--(NOT(ISBLANK('0₦'!AA311:AC311))),'0₦'!AA$2:AC$2) + BF311</f>
        <v/>
      </c>
      <c r="BF311" s="79" t="n"/>
      <c r="BG311" s="79">
        <f t="array" ref="BG311">SUMPRODUCT(--(NOT(ISBLANK('0₦'!U311:Z311))), '0₦'!U$2:Z$2)</f>
        <v/>
      </c>
      <c r="BH311" s="79" t="n"/>
      <c r="BI311" s="79">
        <f>SUM(BG311:BH311)</f>
        <v/>
      </c>
      <c r="BJ311" s="79" t="n"/>
      <c r="BK311" s="79" t="n"/>
      <c r="BL311" s="79" t="n"/>
      <c r="BM311" s="79" t="n"/>
      <c r="BN311" s="79" t="n"/>
      <c r="BO311" s="79" t="n"/>
      <c r="BP311" s="79" t="n"/>
      <c r="BQ311" s="79" t="n"/>
      <c r="BR311" s="79" t="n"/>
      <c r="BS311" s="79" t="n"/>
      <c r="BT311" s="79" t="n"/>
      <c r="BU311" s="79" t="n"/>
      <c r="BV311" s="79" t="n"/>
      <c r="BW311" s="79" t="n"/>
      <c r="BX311" s="79" t="n"/>
      <c r="BY311" s="79" t="n"/>
      <c r="BZ311" s="79" t="n"/>
      <c r="CA311" s="79" t="n"/>
    </row>
    <row r="312" hidden="1" ht="17.1" customHeight="1" s="37">
      <c r="A312" s="552" t="n"/>
      <c r="B312" s="150" t="inlineStr">
        <is>
          <t>S</t>
        </is>
      </c>
      <c r="C312" s="550">
        <f>C311+1</f>
        <v/>
      </c>
      <c r="G312" s="216" t="n"/>
      <c r="H312" s="57" t="n"/>
      <c r="O312" s="216" t="n"/>
      <c r="X312" s="20" t="n"/>
      <c r="AF312" s="450" t="n"/>
      <c r="AN312" s="45" t="n"/>
      <c r="AP312" s="45" t="n"/>
      <c r="AQ312" s="12" t="n"/>
      <c r="AR312" s="216" t="n">
        <v>40</v>
      </c>
      <c r="AS312" s="216" t="n"/>
      <c r="AT312" s="216" t="n"/>
      <c r="AU312" s="216">
        <f>N312+O312 + 0</f>
        <v/>
      </c>
      <c r="AW312" s="2">
        <f>SUM(AH312:AI312,AJ312/2,AK312:AL312)</f>
        <v/>
      </c>
      <c r="AX312" s="2">
        <f>AM312*0.5+SUM(AN312:AP312)</f>
        <v/>
      </c>
      <c r="AY312" s="39">
        <f>SUM(-AR312+AS312*0.01+AT312*0.5+AU312)</f>
        <v/>
      </c>
      <c r="AZ312" s="39">
        <f>'0分'!AF309</f>
        <v/>
      </c>
      <c r="BA312" s="39">
        <f>SUM(AY312,AX312,AW312)</f>
        <v/>
      </c>
      <c r="BB312" s="250" t="n"/>
      <c r="BC312" s="79">
        <f t="array" ref="BC312">SUMPRODUCT(--(NOT(ISBLANK('0₦'!D312:M312))), '0₦'!D$2:M$2) +  SUMPRODUCT(--(NOT(ISBLANK('0₦'!Q312:T312))), '0₦'!Q$2:T$2)</f>
        <v/>
      </c>
      <c r="BD312" s="250">
        <f t="array" ref="BD312">SUMPRODUCT(--(NOT(ISBLANK('0₦'!N312:P312))),'0₦'!N$2:P$2)+'0₦'!AY312</f>
        <v/>
      </c>
      <c r="BE312" s="79">
        <f t="array" ref="BE312">SUMPRODUCT(--(NOT(ISBLANK('0₦'!AA312:AC312))),'0₦'!AA$2:AC$2) + BF312</f>
        <v/>
      </c>
      <c r="BF312" s="79" t="n"/>
      <c r="BG312" s="79">
        <f t="array" ref="BG312">SUMPRODUCT(--(NOT(ISBLANK('0₦'!U312:Z312))), '0₦'!U$2:Z$2)</f>
        <v/>
      </c>
      <c r="BH312" s="79" t="n"/>
      <c r="BI312" s="79">
        <f>SUM(BG312:BH312)</f>
        <v/>
      </c>
      <c r="BJ312" s="79" t="n"/>
      <c r="BK312" s="79" t="n"/>
      <c r="BL312" s="79" t="n"/>
      <c r="BM312" s="79" t="n"/>
      <c r="BN312" s="79" t="n"/>
      <c r="BO312" s="79" t="n"/>
      <c r="BP312" s="79" t="n"/>
      <c r="BQ312" s="79" t="n"/>
      <c r="BR312" s="79" t="n"/>
      <c r="BS312" s="79" t="n"/>
      <c r="BT312" s="79" t="n"/>
      <c r="BU312" s="79" t="n"/>
      <c r="BV312" s="79" t="n"/>
      <c r="BW312" s="79" t="n"/>
      <c r="BX312" s="79" t="n"/>
      <c r="BY312" s="79" t="n"/>
      <c r="BZ312" s="79" t="n"/>
      <c r="CA312" s="79" t="n"/>
    </row>
    <row r="313" hidden="1" ht="17.1" customHeight="1" s="37">
      <c r="A313" s="462">
        <f>A306+0.1</f>
        <v/>
      </c>
      <c r="B313" s="150" t="inlineStr">
        <is>
          <t>S</t>
        </is>
      </c>
      <c r="C313" s="550">
        <f>C312+1</f>
        <v/>
      </c>
      <c r="G313" s="216" t="n"/>
      <c r="H313" s="57" t="n"/>
      <c r="O313" s="216" t="n"/>
      <c r="X313" s="20" t="n"/>
      <c r="AF313" s="450" t="n"/>
      <c r="AN313" s="45" t="n"/>
      <c r="AP313" s="45" t="n"/>
      <c r="AQ313" s="12" t="n"/>
      <c r="AR313" s="216" t="n">
        <v>40</v>
      </c>
      <c r="AS313" s="216" t="n"/>
      <c r="AT313" s="216" t="n"/>
      <c r="AU313" s="216">
        <f>N313+O313 + 0</f>
        <v/>
      </c>
      <c r="AW313" s="2">
        <f>SUM(AH313:AI313,AJ313/2,AK313:AL313)</f>
        <v/>
      </c>
      <c r="AX313" s="2">
        <f>AM313*0.5+SUM(AN313:AP313)</f>
        <v/>
      </c>
      <c r="AY313" s="39">
        <f>SUM(-AR313+AS313*0.01+AT313*0.5+AU313)</f>
        <v/>
      </c>
      <c r="AZ313" s="39">
        <f>'0分'!AF310</f>
        <v/>
      </c>
      <c r="BA313" s="39">
        <f>SUM(AY313,AX313,AW313)</f>
        <v/>
      </c>
      <c r="BB313" s="250" t="n"/>
      <c r="BC313" s="79">
        <f t="array" ref="BC313">SUMPRODUCT(--(NOT(ISBLANK('0₦'!D313:M313))), '0₦'!D$2:M$2) +  SUMPRODUCT(--(NOT(ISBLANK('0₦'!Q313:T313))), '0₦'!Q$2:T$2)</f>
        <v/>
      </c>
      <c r="BD313" s="250">
        <f t="array" ref="BD313">SUMPRODUCT(--(NOT(ISBLANK('0₦'!N313:P313))),'0₦'!N$2:P$2)+'0₦'!AY313</f>
        <v/>
      </c>
      <c r="BE313" s="79">
        <f t="array" ref="BE313">SUMPRODUCT(--(NOT(ISBLANK('0₦'!AA313:AC313))),'0₦'!AA$2:AC$2) + BF313</f>
        <v/>
      </c>
      <c r="BF313" s="79" t="n"/>
      <c r="BG313" s="79">
        <f t="array" ref="BG313">SUMPRODUCT(--(NOT(ISBLANK('0₦'!U313:Z313))), '0₦'!U$2:Z$2)</f>
        <v/>
      </c>
      <c r="BH313" s="79" t="n"/>
      <c r="BI313" s="79">
        <f>SUM(BG313:BH313)</f>
        <v/>
      </c>
      <c r="BJ313" s="79" t="n"/>
      <c r="BK313" s="79" t="n"/>
      <c r="BL313" s="79" t="n"/>
      <c r="BM313" s="79" t="n"/>
      <c r="BN313" s="79" t="n"/>
      <c r="BO313" s="79" t="n"/>
      <c r="BP313" s="79" t="n"/>
      <c r="BQ313" s="79" t="n"/>
      <c r="BR313" s="79" t="n"/>
      <c r="BS313" s="79" t="n"/>
      <c r="BT313" s="79" t="n"/>
      <c r="BU313" s="79" t="n"/>
      <c r="BV313" s="79" t="n"/>
      <c r="BW313" s="79" t="n"/>
      <c r="BX313" s="79" t="n"/>
      <c r="BY313" s="79" t="n"/>
      <c r="BZ313" s="79" t="n"/>
      <c r="CA313" s="79" t="n"/>
    </row>
    <row r="314" hidden="1" ht="18" customHeight="1" s="37">
      <c r="A314" s="551" t="n"/>
      <c r="B314" s="150" t="inlineStr">
        <is>
          <t>M</t>
        </is>
      </c>
      <c r="C314" s="550">
        <f>C313+1</f>
        <v/>
      </c>
      <c r="G314" s="216" t="n"/>
      <c r="H314" s="57" t="n"/>
      <c r="O314" s="216" t="n"/>
      <c r="X314" s="20" t="n"/>
      <c r="AF314" s="450" t="n"/>
      <c r="AN314" s="45" t="n"/>
      <c r="AP314" s="45" t="n"/>
      <c r="AQ314" s="12" t="n"/>
      <c r="AR314" s="216" t="n">
        <v>40</v>
      </c>
      <c r="AS314" s="216" t="n"/>
      <c r="AT314" s="216" t="n"/>
      <c r="AU314" s="216">
        <f>N314+O314 + 0</f>
        <v/>
      </c>
      <c r="AW314" s="2">
        <f>SUM(AH314:AI314,AJ314/2,AK314:AL314)</f>
        <v/>
      </c>
      <c r="AX314" s="2">
        <f>AM314*0.5+SUM(AN314:AP314)</f>
        <v/>
      </c>
      <c r="AY314" s="39">
        <f>SUM(-AR314+AS314*0.01+AT314*0.5+AU314)</f>
        <v/>
      </c>
      <c r="AZ314" s="39">
        <f>'0分'!AF311</f>
        <v/>
      </c>
      <c r="BA314" s="39">
        <f>SUM(AY314,AX314,AW314)</f>
        <v/>
      </c>
      <c r="BB314" s="250" t="n"/>
      <c r="BC314" s="79">
        <f t="array" ref="BC314">SUMPRODUCT(--(NOT(ISBLANK('0₦'!D314:M314))), '0₦'!D$2:M$2) +  SUMPRODUCT(--(NOT(ISBLANK('0₦'!Q314:T314))), '0₦'!Q$2:T$2)</f>
        <v/>
      </c>
      <c r="BD314" s="250">
        <f t="array" ref="BD314">SUMPRODUCT(--(NOT(ISBLANK('0₦'!N314:P314))),'0₦'!N$2:P$2)+'0₦'!AY314</f>
        <v/>
      </c>
      <c r="BE314" s="79">
        <f t="array" ref="BE314">SUMPRODUCT(--(NOT(ISBLANK('0₦'!AA314:AC314))),'0₦'!AA$2:AC$2) + BF314</f>
        <v/>
      </c>
      <c r="BF314" s="79" t="n"/>
      <c r="BG314" s="79">
        <f t="array" ref="BG314">SUMPRODUCT(--(NOT(ISBLANK('0₦'!U314:Z314))), '0₦'!U$2:Z$2)</f>
        <v/>
      </c>
      <c r="BH314" s="79" t="n"/>
      <c r="BI314" s="79">
        <f>SUM(BG314:BH314)</f>
        <v/>
      </c>
      <c r="BJ314" s="79" t="n"/>
      <c r="BK314" s="79" t="n"/>
      <c r="BL314" s="79" t="n"/>
      <c r="BM314" s="79" t="n"/>
      <c r="BN314" s="79" t="n"/>
      <c r="BO314" s="79" t="n"/>
      <c r="BP314" s="79" t="n"/>
      <c r="BQ314" s="79" t="n"/>
      <c r="BR314" s="79" t="n"/>
      <c r="BS314" s="79" t="n"/>
      <c r="BT314" s="79" t="n"/>
      <c r="BU314" s="79" t="n"/>
      <c r="BV314" s="79" t="n"/>
      <c r="BW314" s="79" t="n"/>
      <c r="BX314" s="79" t="n"/>
      <c r="BY314" s="79" t="n"/>
      <c r="BZ314" s="79" t="n"/>
      <c r="CA314" s="79" t="n"/>
    </row>
    <row r="315" hidden="1" ht="17.1" customHeight="1" s="37">
      <c r="A315" s="551" t="n"/>
      <c r="B315" s="150" t="inlineStr">
        <is>
          <t>T</t>
        </is>
      </c>
      <c r="C315" s="550">
        <f>C314+1</f>
        <v/>
      </c>
      <c r="G315" s="216" t="n"/>
      <c r="H315" s="57" t="n"/>
      <c r="O315" s="216" t="n"/>
      <c r="X315" s="20" t="n"/>
      <c r="AF315" s="450" t="n"/>
      <c r="AN315" s="45" t="n"/>
      <c r="AP315" s="45" t="n"/>
      <c r="AQ315" s="12" t="n"/>
      <c r="AR315" s="216" t="n">
        <v>40</v>
      </c>
      <c r="AS315" s="216" t="n"/>
      <c r="AT315" s="216" t="n"/>
      <c r="AU315" s="216">
        <f>N315+O315 + 0</f>
        <v/>
      </c>
      <c r="AW315" s="2">
        <f>SUM(AH315:AI315,AJ315/2,AK315:AL315)</f>
        <v/>
      </c>
      <c r="AX315" s="2">
        <f>AM315*0.5+SUM(AN315:AP315)</f>
        <v/>
      </c>
      <c r="AY315" s="39">
        <f>SUM(-AR315+AS315*0.01+AT315*0.5+AU315)</f>
        <v/>
      </c>
      <c r="AZ315" s="39">
        <f>'0分'!AF312</f>
        <v/>
      </c>
      <c r="BA315" s="39">
        <f>SUM(AY315,AX315,AW315)</f>
        <v/>
      </c>
      <c r="BB315" s="250" t="n"/>
      <c r="BC315" s="79">
        <f t="array" ref="BC315">SUMPRODUCT(--(NOT(ISBLANK('0₦'!D315:M315))), '0₦'!D$2:M$2) +  SUMPRODUCT(--(NOT(ISBLANK('0₦'!Q315:T315))), '0₦'!Q$2:T$2)</f>
        <v/>
      </c>
      <c r="BD315" s="250">
        <f t="array" ref="BD315">SUMPRODUCT(--(NOT(ISBLANK('0₦'!N315:P315))),'0₦'!N$2:P$2)+'0₦'!AY315</f>
        <v/>
      </c>
      <c r="BE315" s="79">
        <f t="array" ref="BE315">SUMPRODUCT(--(NOT(ISBLANK('0₦'!AA315:AC315))),'0₦'!AA$2:AC$2) + BF315</f>
        <v/>
      </c>
      <c r="BF315" s="79" t="n"/>
      <c r="BG315" s="79">
        <f t="array" ref="BG315">SUMPRODUCT(--(NOT(ISBLANK('0₦'!U315:Z315))), '0₦'!U$2:Z$2)</f>
        <v/>
      </c>
      <c r="BH315" s="79" t="n"/>
      <c r="BI315" s="79">
        <f>SUM(BG315:BH315)</f>
        <v/>
      </c>
      <c r="BJ315" s="79" t="n"/>
      <c r="BK315" s="79" t="n"/>
      <c r="BL315" s="79" t="n"/>
      <c r="BM315" s="79" t="n"/>
      <c r="BN315" s="79" t="n"/>
      <c r="BO315" s="79" t="n"/>
      <c r="BP315" s="79" t="n"/>
      <c r="BQ315" s="79" t="n"/>
      <c r="BR315" s="79" t="n"/>
      <c r="BS315" s="79" t="n"/>
      <c r="BT315" s="79" t="n"/>
      <c r="BU315" s="79" t="n"/>
      <c r="BV315" s="79" t="n"/>
      <c r="BW315" s="79" t="n"/>
      <c r="BX315" s="79" t="n"/>
      <c r="BY315" s="79" t="n"/>
      <c r="BZ315" s="79" t="n"/>
      <c r="CA315" s="79" t="n"/>
    </row>
    <row r="316" hidden="1" ht="17.1" customHeight="1" s="37">
      <c r="A316" s="551" t="n"/>
      <c r="B316" s="150" t="inlineStr">
        <is>
          <t>W</t>
        </is>
      </c>
      <c r="C316" s="550">
        <f>C315+1</f>
        <v/>
      </c>
      <c r="G316" s="216" t="n"/>
      <c r="H316" s="57" t="n"/>
      <c r="O316" s="216" t="n"/>
      <c r="X316" s="20" t="n"/>
      <c r="AF316" s="450" t="n"/>
      <c r="AN316" s="45" t="n"/>
      <c r="AP316" s="45" t="n"/>
      <c r="AQ316" s="12" t="n"/>
      <c r="AR316" s="216" t="n">
        <v>40</v>
      </c>
      <c r="AS316" s="216" t="n"/>
      <c r="AT316" s="216" t="n"/>
      <c r="AU316" s="216">
        <f>N316+O316 + 0</f>
        <v/>
      </c>
      <c r="AW316" s="2">
        <f>SUM(AH316:AI316,AJ316/2,AK316:AL316)</f>
        <v/>
      </c>
      <c r="AX316" s="2">
        <f>AM316*0.5+SUM(AN316:AP316)</f>
        <v/>
      </c>
      <c r="AY316" s="39">
        <f>SUM(-AR316+AS316*0.01+AT316*0.5+AU316)</f>
        <v/>
      </c>
      <c r="AZ316" s="39">
        <f>'0分'!AF313</f>
        <v/>
      </c>
      <c r="BA316" s="39">
        <f>SUM(AY316,AX316,AW316)</f>
        <v/>
      </c>
      <c r="BB316" s="250" t="n"/>
      <c r="BC316" s="79">
        <f t="array" ref="BC316">SUMPRODUCT(--(NOT(ISBLANK('0₦'!D316:M316))), '0₦'!D$2:M$2) +  SUMPRODUCT(--(NOT(ISBLANK('0₦'!Q316:T316))), '0₦'!Q$2:T$2)</f>
        <v/>
      </c>
      <c r="BD316" s="250">
        <f t="array" ref="BD316">SUMPRODUCT(--(NOT(ISBLANK('0₦'!N316:P316))),'0₦'!N$2:P$2)+'0₦'!AY316</f>
        <v/>
      </c>
      <c r="BE316" s="79">
        <f t="array" ref="BE316">SUMPRODUCT(--(NOT(ISBLANK('0₦'!AA316:AC316))),'0₦'!AA$2:AC$2) + BF316</f>
        <v/>
      </c>
      <c r="BF316" s="79" t="n"/>
      <c r="BG316" s="79">
        <f t="array" ref="BG316">SUMPRODUCT(--(NOT(ISBLANK('0₦'!U316:Z316))), '0₦'!U$2:Z$2)</f>
        <v/>
      </c>
      <c r="BH316" s="79" t="n"/>
      <c r="BI316" s="79">
        <f>SUM(BG316:BH316)</f>
        <v/>
      </c>
      <c r="BJ316" s="79" t="n"/>
      <c r="BK316" s="79" t="n"/>
      <c r="BL316" s="79" t="n"/>
      <c r="BM316" s="79" t="n"/>
      <c r="BN316" s="79" t="n"/>
      <c r="BO316" s="79" t="n"/>
      <c r="BP316" s="79" t="n"/>
      <c r="BQ316" s="79" t="n"/>
      <c r="BR316" s="79" t="n"/>
      <c r="BS316" s="79" t="n"/>
      <c r="BT316" s="79" t="n"/>
      <c r="BU316" s="79" t="n"/>
      <c r="BV316" s="79" t="n"/>
      <c r="BW316" s="79" t="n"/>
      <c r="BX316" s="79" t="n"/>
      <c r="BY316" s="79" t="n"/>
      <c r="BZ316" s="79" t="n"/>
      <c r="CA316" s="79" t="n"/>
    </row>
    <row r="317" hidden="1" ht="17.1" customHeight="1" s="37">
      <c r="A317" s="551" t="n"/>
      <c r="B317" s="150" t="inlineStr">
        <is>
          <t>Th</t>
        </is>
      </c>
      <c r="C317" s="550">
        <f>C316+1</f>
        <v/>
      </c>
      <c r="G317" s="216" t="n"/>
      <c r="H317" s="57" t="n"/>
      <c r="O317" s="216" t="n"/>
      <c r="X317" s="20" t="n"/>
      <c r="AF317" s="450" t="n"/>
      <c r="AN317" s="45" t="n"/>
      <c r="AP317" s="45" t="n"/>
      <c r="AQ317" s="12" t="n"/>
      <c r="AR317" s="216" t="n">
        <v>40</v>
      </c>
      <c r="AS317" s="216" t="n"/>
      <c r="AT317" s="216" t="n"/>
      <c r="AU317" s="216">
        <f>N317+O317 + 0</f>
        <v/>
      </c>
      <c r="AW317" s="2">
        <f>SUM(AH317:AI317,AJ317/2,AK317:AL317)</f>
        <v/>
      </c>
      <c r="AX317" s="2">
        <f>AM317*0.5+SUM(AN317:AP317)</f>
        <v/>
      </c>
      <c r="AY317" s="39">
        <f>SUM(-AR317+AS317*0.01+AT317*0.5+AU317)</f>
        <v/>
      </c>
      <c r="AZ317" s="39">
        <f>'0分'!AF314</f>
        <v/>
      </c>
      <c r="BA317" s="39">
        <f>SUM(AY317,AX317,AW317)</f>
        <v/>
      </c>
      <c r="BB317" s="250" t="n"/>
      <c r="BC317" s="79">
        <f t="array" ref="BC317">SUMPRODUCT(--(NOT(ISBLANK('0₦'!D317:M317))), '0₦'!D$2:M$2) +  SUMPRODUCT(--(NOT(ISBLANK('0₦'!Q317:T317))), '0₦'!Q$2:T$2)</f>
        <v/>
      </c>
      <c r="BD317" s="250">
        <f t="array" ref="BD317">SUMPRODUCT(--(NOT(ISBLANK('0₦'!N317:P317))),'0₦'!N$2:P$2)+'0₦'!AY317</f>
        <v/>
      </c>
      <c r="BE317" s="79">
        <f t="array" ref="BE317">SUMPRODUCT(--(NOT(ISBLANK('0₦'!AA317:AC317))),'0₦'!AA$2:AC$2) + BF317</f>
        <v/>
      </c>
      <c r="BF317" s="79" t="n"/>
      <c r="BG317" s="79">
        <f t="array" ref="BG317">SUMPRODUCT(--(NOT(ISBLANK('0₦'!U317:Z317))), '0₦'!U$2:Z$2)</f>
        <v/>
      </c>
      <c r="BH317" s="79" t="n"/>
      <c r="BI317" s="79">
        <f>SUM(BG317:BH317)</f>
        <v/>
      </c>
      <c r="BJ317" s="79" t="n"/>
      <c r="BK317" s="79" t="n"/>
      <c r="BL317" s="79" t="n"/>
      <c r="BM317" s="79" t="n"/>
      <c r="BN317" s="79" t="n"/>
      <c r="BO317" s="79" t="n"/>
      <c r="BP317" s="79" t="n"/>
      <c r="BQ317" s="79" t="n"/>
      <c r="BR317" s="79" t="n"/>
      <c r="BS317" s="79" t="n"/>
      <c r="BT317" s="79" t="n"/>
      <c r="BU317" s="79" t="n"/>
      <c r="BV317" s="79" t="n"/>
      <c r="BW317" s="79" t="n"/>
      <c r="BX317" s="79" t="n"/>
      <c r="BY317" s="79" t="n"/>
      <c r="BZ317" s="79" t="n"/>
      <c r="CA317" s="79" t="n"/>
    </row>
    <row r="318" hidden="1" ht="17.1" customHeight="1" s="37">
      <c r="A318" s="551" t="n"/>
      <c r="B318" s="150" t="inlineStr">
        <is>
          <t>F</t>
        </is>
      </c>
      <c r="C318" s="550">
        <f>C317+1</f>
        <v/>
      </c>
      <c r="G318" s="216" t="n"/>
      <c r="H318" s="57" t="n"/>
      <c r="O318" s="216" t="n"/>
      <c r="X318" s="20" t="n"/>
      <c r="AF318" s="450" t="n"/>
      <c r="AN318" s="45" t="n"/>
      <c r="AP318" s="45" t="n"/>
      <c r="AQ318" s="12" t="n"/>
      <c r="AR318" s="216" t="n">
        <v>40</v>
      </c>
      <c r="AS318" s="216" t="n"/>
      <c r="AT318" s="216" t="n"/>
      <c r="AU318" s="216">
        <f>N318+O318 + 0</f>
        <v/>
      </c>
      <c r="AW318" s="2">
        <f>SUM(AH318:AI318,AJ318/2,AK318:AL318)</f>
        <v/>
      </c>
      <c r="AX318" s="2">
        <f>AM318*0.5+SUM(AN318:AP318)</f>
        <v/>
      </c>
      <c r="AY318" s="39">
        <f>SUM(-AR318+AS318*0.01+AT318*0.5+AU318)</f>
        <v/>
      </c>
      <c r="AZ318" s="39">
        <f>'0分'!AF315</f>
        <v/>
      </c>
      <c r="BA318" s="39">
        <f>SUM(AY318,AX318,AW318)</f>
        <v/>
      </c>
      <c r="BB318" s="250" t="n"/>
      <c r="BC318" s="79">
        <f t="array" ref="BC318">SUMPRODUCT(--(NOT(ISBLANK('0₦'!D318:M318))), '0₦'!D$2:M$2) +  SUMPRODUCT(--(NOT(ISBLANK('0₦'!Q318:T318))), '0₦'!Q$2:T$2)</f>
        <v/>
      </c>
      <c r="BD318" s="250">
        <f t="array" ref="BD318">SUMPRODUCT(--(NOT(ISBLANK('0₦'!N318:P318))),'0₦'!N$2:P$2)+'0₦'!AY318</f>
        <v/>
      </c>
      <c r="BE318" s="79">
        <f t="array" ref="BE318">SUMPRODUCT(--(NOT(ISBLANK('0₦'!AA318:AC318))),'0₦'!AA$2:AC$2) + BF318</f>
        <v/>
      </c>
      <c r="BF318" s="79" t="n"/>
      <c r="BG318" s="79">
        <f t="array" ref="BG318">SUMPRODUCT(--(NOT(ISBLANK('0₦'!U318:Z318))), '0₦'!U$2:Z$2)</f>
        <v/>
      </c>
      <c r="BH318" s="79" t="n"/>
      <c r="BI318" s="79">
        <f>SUM(BG318:BH318)</f>
        <v/>
      </c>
      <c r="BJ318" s="79" t="n"/>
      <c r="BK318" s="79" t="n"/>
      <c r="BL318" s="79" t="n"/>
      <c r="BM318" s="79" t="n"/>
      <c r="BN318" s="79" t="n"/>
      <c r="BO318" s="79" t="n"/>
      <c r="BP318" s="79" t="n"/>
      <c r="BQ318" s="79" t="n"/>
      <c r="BR318" s="79" t="n"/>
      <c r="BS318" s="79" t="n"/>
      <c r="BT318" s="79" t="n"/>
      <c r="BU318" s="79" t="n"/>
      <c r="BV318" s="79" t="n"/>
      <c r="BW318" s="79" t="n"/>
      <c r="BX318" s="79" t="n"/>
      <c r="BY318" s="79" t="n"/>
      <c r="BZ318" s="79" t="n"/>
      <c r="CA318" s="79" t="n"/>
    </row>
    <row r="319" hidden="1" ht="17.1" customHeight="1" s="37">
      <c r="A319" s="552" t="n"/>
      <c r="B319" s="150" t="inlineStr">
        <is>
          <t>S</t>
        </is>
      </c>
      <c r="C319" s="550">
        <f>C318+1</f>
        <v/>
      </c>
      <c r="G319" s="216" t="n"/>
      <c r="H319" s="57" t="n"/>
      <c r="O319" s="216" t="n"/>
      <c r="X319" s="20" t="n"/>
      <c r="AF319" s="450" t="n"/>
      <c r="AN319" s="45" t="n"/>
      <c r="AP319" s="45" t="n"/>
      <c r="AQ319" s="12" t="n"/>
      <c r="AR319" s="216" t="n">
        <v>40</v>
      </c>
      <c r="AS319" s="216" t="n"/>
      <c r="AT319" s="216" t="n"/>
      <c r="AU319" s="216">
        <f>N319+O319 + 0</f>
        <v/>
      </c>
      <c r="AW319" s="2">
        <f>SUM(AH319:AI319,AJ319/2,AK319:AL319)</f>
        <v/>
      </c>
      <c r="AX319" s="2">
        <f>AM319*0.5+SUM(AN319:AP319)</f>
        <v/>
      </c>
      <c r="AY319" s="39">
        <f>SUM(-AR319+AS319*0.01+AT319*0.5+AU319)</f>
        <v/>
      </c>
      <c r="AZ319" s="39">
        <f>'0分'!AF316</f>
        <v/>
      </c>
      <c r="BA319" s="39">
        <f>SUM(AY319,AX319,AW319)</f>
        <v/>
      </c>
      <c r="BB319" s="250" t="n"/>
      <c r="BC319" s="79">
        <f t="array" ref="BC319">SUMPRODUCT(--(NOT(ISBLANK('0₦'!D319:M319))), '0₦'!D$2:M$2) +  SUMPRODUCT(--(NOT(ISBLANK('0₦'!Q319:T319))), '0₦'!Q$2:T$2)</f>
        <v/>
      </c>
      <c r="BD319" s="250">
        <f t="array" ref="BD319">SUMPRODUCT(--(NOT(ISBLANK('0₦'!N319:P319))),'0₦'!N$2:P$2)+'0₦'!AY319</f>
        <v/>
      </c>
      <c r="BE319" s="79">
        <f t="array" ref="BE319">SUMPRODUCT(--(NOT(ISBLANK('0₦'!AA319:AC319))),'0₦'!AA$2:AC$2) + BF319</f>
        <v/>
      </c>
      <c r="BF319" s="79" t="n"/>
      <c r="BG319" s="79">
        <f t="array" ref="BG319">SUMPRODUCT(--(NOT(ISBLANK('0₦'!U319:Z319))), '0₦'!U$2:Z$2)</f>
        <v/>
      </c>
      <c r="BH319" s="79" t="n"/>
      <c r="BI319" s="79">
        <f>SUM(BG319:BH319)</f>
        <v/>
      </c>
      <c r="BJ319" s="79" t="n"/>
      <c r="BK319" s="79" t="n"/>
      <c r="BL319" s="79" t="n"/>
      <c r="BM319" s="79" t="n"/>
      <c r="BN319" s="79" t="n"/>
      <c r="BO319" s="79" t="n"/>
      <c r="BP319" s="79" t="n"/>
      <c r="BQ319" s="79" t="n"/>
      <c r="BR319" s="79" t="n"/>
      <c r="BS319" s="79" t="n"/>
      <c r="BT319" s="79" t="n"/>
      <c r="BU319" s="79" t="n"/>
      <c r="BV319" s="79" t="n"/>
      <c r="BW319" s="79" t="n"/>
      <c r="BX319" s="79" t="n"/>
      <c r="BY319" s="79" t="n"/>
      <c r="BZ319" s="79" t="n"/>
      <c r="CA319" s="79" t="n"/>
    </row>
    <row r="320" hidden="1" ht="18" customHeight="1" s="37">
      <c r="A320" s="462">
        <f>A313+0.1</f>
        <v/>
      </c>
      <c r="B320" s="150" t="inlineStr">
        <is>
          <t>S</t>
        </is>
      </c>
      <c r="C320" s="550">
        <f>C319+1</f>
        <v/>
      </c>
      <c r="G320" s="216" t="n"/>
      <c r="H320" s="57" t="n"/>
      <c r="O320" s="216" t="n"/>
      <c r="X320" s="20" t="n"/>
      <c r="AF320" s="450" t="n"/>
      <c r="AN320" s="45" t="n"/>
      <c r="AP320" s="45" t="n"/>
      <c r="AQ320" s="12" t="n"/>
      <c r="AR320" s="216" t="n">
        <v>40</v>
      </c>
      <c r="AS320" s="216" t="n"/>
      <c r="AT320" s="216" t="n"/>
      <c r="AU320" s="216">
        <f>N320+O320 + 0</f>
        <v/>
      </c>
      <c r="AW320" s="2">
        <f>SUM(AH320:AI320,AJ320/2,AK320:AL320)</f>
        <v/>
      </c>
      <c r="AX320" s="2">
        <f>AM320*0.5+SUM(AN320:AP320)</f>
        <v/>
      </c>
      <c r="AY320" s="39">
        <f>SUM(-AR320+AS320*0.01+AT320*0.5+AU320)</f>
        <v/>
      </c>
      <c r="AZ320" s="39">
        <f>'0分'!AF317</f>
        <v/>
      </c>
      <c r="BA320" s="39">
        <f>SUM(AY320,AX320,AW320)</f>
        <v/>
      </c>
      <c r="BB320" s="250" t="n"/>
      <c r="BC320" s="79">
        <f t="array" ref="BC320">SUMPRODUCT(--(NOT(ISBLANK('0₦'!D320:M320))), '0₦'!D$2:M$2) +  SUMPRODUCT(--(NOT(ISBLANK('0₦'!Q320:T320))), '0₦'!Q$2:T$2)</f>
        <v/>
      </c>
      <c r="BD320" s="250">
        <f t="array" ref="BD320">SUMPRODUCT(--(NOT(ISBLANK('0₦'!N320:P320))),'0₦'!N$2:P$2)+'0₦'!AY320</f>
        <v/>
      </c>
      <c r="BE320" s="79">
        <f t="array" ref="BE320">SUMPRODUCT(--(NOT(ISBLANK('0₦'!AA320:AC320))),'0₦'!AA$2:AC$2) + BF320</f>
        <v/>
      </c>
      <c r="BF320" s="79" t="n"/>
      <c r="BG320" s="79">
        <f t="array" ref="BG320">SUMPRODUCT(--(NOT(ISBLANK('0₦'!U320:Z320))), '0₦'!U$2:Z$2)</f>
        <v/>
      </c>
      <c r="BH320" s="79" t="n"/>
      <c r="BI320" s="79">
        <f>SUM(BG320:BH320)</f>
        <v/>
      </c>
      <c r="BJ320" s="79" t="n"/>
      <c r="BK320" s="79" t="n"/>
      <c r="BL320" s="79" t="n"/>
      <c r="BM320" s="79" t="n"/>
      <c r="BN320" s="79" t="n"/>
      <c r="BO320" s="79" t="n"/>
      <c r="BP320" s="79" t="n"/>
      <c r="BQ320" s="79" t="n"/>
      <c r="BR320" s="79" t="n"/>
      <c r="BS320" s="79" t="n"/>
      <c r="BT320" s="79" t="n"/>
      <c r="BU320" s="79" t="n"/>
      <c r="BV320" s="79" t="n"/>
      <c r="BW320" s="79" t="n"/>
      <c r="BX320" s="79" t="n"/>
      <c r="BY320" s="79" t="n"/>
      <c r="BZ320" s="79" t="n"/>
      <c r="CA320" s="79" t="n"/>
    </row>
    <row r="321" hidden="1" ht="17.1" customHeight="1" s="37">
      <c r="A321" s="551" t="n"/>
      <c r="B321" s="150" t="inlineStr">
        <is>
          <t>M</t>
        </is>
      </c>
      <c r="C321" s="550">
        <f>C320+1</f>
        <v/>
      </c>
      <c r="G321" s="216" t="n"/>
      <c r="H321" s="57" t="n"/>
      <c r="O321" s="216" t="n"/>
      <c r="X321" s="20" t="n"/>
      <c r="AF321" s="450" t="n"/>
      <c r="AN321" s="45" t="n"/>
      <c r="AP321" s="45" t="n"/>
      <c r="AQ321" s="12" t="n"/>
      <c r="AR321" s="216" t="n">
        <v>40</v>
      </c>
      <c r="AS321" s="216" t="n"/>
      <c r="AT321" s="216" t="n"/>
      <c r="AU321" s="216">
        <f>N321+O321 + 0</f>
        <v/>
      </c>
      <c r="AW321" s="2">
        <f>SUM(AH321:AI321,AJ321/2,AK321:AL321)</f>
        <v/>
      </c>
      <c r="AX321" s="2">
        <f>AM321*0.5+SUM(AN321:AP321)</f>
        <v/>
      </c>
      <c r="AY321" s="39">
        <f>SUM(-AR321+AS321*0.01+AT321*0.5+AU321)</f>
        <v/>
      </c>
      <c r="AZ321" s="39">
        <f>'0分'!AF318</f>
        <v/>
      </c>
      <c r="BA321" s="39">
        <f>SUM(AY321,AX321,AW321)</f>
        <v/>
      </c>
      <c r="BB321" s="250" t="n"/>
      <c r="BC321" s="79">
        <f t="array" ref="BC321">SUMPRODUCT(--(NOT(ISBLANK('0₦'!D321:M321))), '0₦'!D$2:M$2) +  SUMPRODUCT(--(NOT(ISBLANK('0₦'!Q321:T321))), '0₦'!Q$2:T$2)</f>
        <v/>
      </c>
      <c r="BD321" s="250">
        <f t="array" ref="BD321">SUMPRODUCT(--(NOT(ISBLANK('0₦'!N321:P321))),'0₦'!N$2:P$2)+'0₦'!AY321</f>
        <v/>
      </c>
      <c r="BE321" s="79">
        <f t="array" ref="BE321">SUMPRODUCT(--(NOT(ISBLANK('0₦'!AA321:AC321))),'0₦'!AA$2:AC$2) + BF321</f>
        <v/>
      </c>
      <c r="BF321" s="79" t="n"/>
      <c r="BG321" s="79">
        <f t="array" ref="BG321">SUMPRODUCT(--(NOT(ISBLANK('0₦'!U321:Z321))), '0₦'!U$2:Z$2)</f>
        <v/>
      </c>
      <c r="BH321" s="79" t="n"/>
      <c r="BI321" s="79">
        <f>SUM(BG321:BH321)</f>
        <v/>
      </c>
      <c r="BJ321" s="79" t="n"/>
      <c r="BK321" s="79" t="n"/>
      <c r="BL321" s="79" t="n"/>
      <c r="BM321" s="79" t="n"/>
      <c r="BN321" s="79" t="n"/>
      <c r="BO321" s="79" t="n"/>
      <c r="BP321" s="79" t="n"/>
      <c r="BQ321" s="79" t="n"/>
      <c r="BR321" s="79" t="n"/>
      <c r="BS321" s="79" t="n"/>
      <c r="BT321" s="79" t="n"/>
      <c r="BU321" s="79" t="n"/>
      <c r="BV321" s="79" t="n"/>
      <c r="BW321" s="79" t="n"/>
      <c r="BX321" s="79" t="n"/>
      <c r="BY321" s="79" t="n"/>
      <c r="BZ321" s="79" t="n"/>
      <c r="CA321" s="79" t="n"/>
    </row>
    <row r="322" hidden="1" ht="17.1" customHeight="1" s="37">
      <c r="A322" s="551" t="n"/>
      <c r="B322" s="150" t="inlineStr">
        <is>
          <t>T</t>
        </is>
      </c>
      <c r="C322" s="550">
        <f>C321+1</f>
        <v/>
      </c>
      <c r="G322" s="216" t="n"/>
      <c r="H322" s="57" t="n"/>
      <c r="O322" s="216" t="n"/>
      <c r="X322" s="20" t="n"/>
      <c r="AF322" s="450" t="n"/>
      <c r="AN322" s="45" t="n"/>
      <c r="AP322" s="45" t="n"/>
      <c r="AQ322" s="12" t="n"/>
      <c r="AR322" s="216" t="n">
        <v>40</v>
      </c>
      <c r="AS322" s="216" t="n"/>
      <c r="AT322" s="216" t="n"/>
      <c r="AU322" s="216">
        <f>N322+O322 + 0</f>
        <v/>
      </c>
      <c r="AW322" s="2">
        <f>SUM(AH322:AI322,AJ322/2,AK322:AL322)</f>
        <v/>
      </c>
      <c r="AX322" s="2">
        <f>AM322*0.5+SUM(AN322:AP322)</f>
        <v/>
      </c>
      <c r="AY322" s="39">
        <f>SUM(-AR322+AS322*0.01+AT322*0.5+AU322)</f>
        <v/>
      </c>
      <c r="AZ322" s="39">
        <f>'0分'!AF319</f>
        <v/>
      </c>
      <c r="BA322" s="39">
        <f>SUM(AY322,AX322,AW322)</f>
        <v/>
      </c>
      <c r="BB322" s="250" t="n"/>
      <c r="BC322" s="79">
        <f t="array" ref="BC322">SUMPRODUCT(--(NOT(ISBLANK('0₦'!D322:M322))), '0₦'!D$2:M$2) +  SUMPRODUCT(--(NOT(ISBLANK('0₦'!Q322:T322))), '0₦'!Q$2:T$2)</f>
        <v/>
      </c>
      <c r="BD322" s="250">
        <f t="array" ref="BD322">SUMPRODUCT(--(NOT(ISBLANK('0₦'!N322:P322))),'0₦'!N$2:P$2)+'0₦'!AY322</f>
        <v/>
      </c>
      <c r="BE322" s="79">
        <f t="array" ref="BE322">SUMPRODUCT(--(NOT(ISBLANK('0₦'!AA322:AC322))),'0₦'!AA$2:AC$2) + BF322</f>
        <v/>
      </c>
      <c r="BF322" s="79" t="n"/>
      <c r="BG322" s="79">
        <f t="array" ref="BG322">SUMPRODUCT(--(NOT(ISBLANK('0₦'!U322:Z322))), '0₦'!U$2:Z$2)</f>
        <v/>
      </c>
      <c r="BH322" s="79" t="n"/>
      <c r="BI322" s="79">
        <f>SUM(BG322:BH322)</f>
        <v/>
      </c>
      <c r="BJ322" s="79" t="n"/>
      <c r="BK322" s="79" t="n"/>
      <c r="BL322" s="79" t="n"/>
      <c r="BM322" s="79" t="n"/>
      <c r="BN322" s="79" t="n"/>
      <c r="BO322" s="79" t="n"/>
      <c r="BP322" s="79" t="n"/>
      <c r="BQ322" s="79" t="n"/>
      <c r="BR322" s="79" t="n"/>
      <c r="BS322" s="79" t="n"/>
      <c r="BT322" s="79" t="n"/>
      <c r="BU322" s="79" t="n"/>
      <c r="BV322" s="79" t="n"/>
      <c r="BW322" s="79" t="n"/>
      <c r="BX322" s="79" t="n"/>
      <c r="BY322" s="79" t="n"/>
      <c r="BZ322" s="79" t="n"/>
      <c r="CA322" s="79" t="n"/>
    </row>
    <row r="323" hidden="1" ht="17.1" customHeight="1" s="37">
      <c r="A323" s="551" t="n"/>
      <c r="B323" s="150" t="inlineStr">
        <is>
          <t>W</t>
        </is>
      </c>
      <c r="C323" s="550">
        <f>C322+1</f>
        <v/>
      </c>
      <c r="G323" s="216" t="n"/>
      <c r="H323" s="57" t="n"/>
      <c r="O323" s="216" t="n"/>
      <c r="X323" s="20" t="n"/>
      <c r="AF323" s="450" t="n"/>
      <c r="AN323" s="45" t="n"/>
      <c r="AP323" s="45" t="n"/>
      <c r="AQ323" s="12" t="n"/>
      <c r="AR323" s="216" t="n">
        <v>40</v>
      </c>
      <c r="AS323" s="216" t="n"/>
      <c r="AT323" s="216" t="n"/>
      <c r="AU323" s="216">
        <f>N323+O323 + 0</f>
        <v/>
      </c>
      <c r="AW323" s="2">
        <f>SUM(AH323:AI323,AJ323/2,AK323:AL323)</f>
        <v/>
      </c>
      <c r="AX323" s="2">
        <f>AM323*0.5+SUM(AN323:AP323)</f>
        <v/>
      </c>
      <c r="AY323" s="39">
        <f>SUM(-AR323+AS323*0.01+AT323*0.5+AU323)</f>
        <v/>
      </c>
      <c r="AZ323" s="39">
        <f>'0分'!AF320</f>
        <v/>
      </c>
      <c r="BA323" s="39">
        <f>SUM(AY323,AX323,AW323)</f>
        <v/>
      </c>
      <c r="BB323" s="250" t="n"/>
      <c r="BC323" s="79">
        <f t="array" ref="BC323">SUMPRODUCT(--(NOT(ISBLANK('0₦'!D323:M323))), '0₦'!D$2:M$2) +  SUMPRODUCT(--(NOT(ISBLANK('0₦'!Q323:T323))), '0₦'!Q$2:T$2)</f>
        <v/>
      </c>
      <c r="BD323" s="250">
        <f t="array" ref="BD323">SUMPRODUCT(--(NOT(ISBLANK('0₦'!N323:P323))),'0₦'!N$2:P$2)+'0₦'!AY323</f>
        <v/>
      </c>
      <c r="BE323" s="79">
        <f t="array" ref="BE323">SUMPRODUCT(--(NOT(ISBLANK('0₦'!AA323:AC323))),'0₦'!AA$2:AC$2) + BF323</f>
        <v/>
      </c>
      <c r="BF323" s="79" t="n"/>
      <c r="BG323" s="79">
        <f t="array" ref="BG323">SUMPRODUCT(--(NOT(ISBLANK('0₦'!U323:Z323))), '0₦'!U$2:Z$2)</f>
        <v/>
      </c>
      <c r="BH323" s="79" t="n"/>
      <c r="BI323" s="79">
        <f>SUM(BG323:BH323)</f>
        <v/>
      </c>
      <c r="BJ323" s="79" t="n"/>
      <c r="BK323" s="79" t="n"/>
      <c r="BL323" s="79" t="n"/>
      <c r="BM323" s="79" t="n"/>
      <c r="BN323" s="79" t="n"/>
      <c r="BO323" s="79" t="n"/>
      <c r="BP323" s="79" t="n"/>
      <c r="BQ323" s="79" t="n"/>
      <c r="BR323" s="79" t="n"/>
      <c r="BS323" s="79" t="n"/>
      <c r="BT323" s="79" t="n"/>
      <c r="BU323" s="79" t="n"/>
      <c r="BV323" s="79" t="n"/>
      <c r="BW323" s="79" t="n"/>
      <c r="BX323" s="79" t="n"/>
      <c r="BY323" s="79" t="n"/>
      <c r="BZ323" s="79" t="n"/>
      <c r="CA323" s="79" t="n"/>
    </row>
    <row r="324" hidden="1" ht="18" customHeight="1" s="37">
      <c r="A324" s="551" t="n"/>
      <c r="B324" s="150" t="inlineStr">
        <is>
          <t>Th</t>
        </is>
      </c>
      <c r="C324" s="550">
        <f>C323+1</f>
        <v/>
      </c>
      <c r="G324" s="216" t="n"/>
      <c r="H324" s="57" t="n"/>
      <c r="O324" s="216" t="n"/>
      <c r="X324" s="20" t="n"/>
      <c r="AF324" s="450" t="n"/>
      <c r="AN324" s="45" t="n"/>
      <c r="AP324" s="45" t="n"/>
      <c r="AQ324" s="12" t="n"/>
      <c r="AR324" s="216" t="n">
        <v>40</v>
      </c>
      <c r="AS324" s="216" t="n"/>
      <c r="AT324" s="216" t="n"/>
      <c r="AU324" s="216">
        <f>N324+O324 + 0</f>
        <v/>
      </c>
      <c r="AW324" s="2">
        <f>SUM(AH324:AI324,AJ324/2,AK324:AL324)</f>
        <v/>
      </c>
      <c r="AX324" s="2">
        <f>AM324*0.5+SUM(AN324:AP324)</f>
        <v/>
      </c>
      <c r="AY324" s="39">
        <f>SUM(-AR324+AS324*0.01+AT324*0.5+AU324)</f>
        <v/>
      </c>
      <c r="AZ324" s="39">
        <f>'0分'!AF321</f>
        <v/>
      </c>
      <c r="BA324" s="39">
        <f>SUM(AY324,AX324,AW324)</f>
        <v/>
      </c>
      <c r="BB324" s="250" t="n"/>
      <c r="BC324" s="79">
        <f t="array" ref="BC324">SUMPRODUCT(--(NOT(ISBLANK('0₦'!D324:M324))), '0₦'!D$2:M$2) +  SUMPRODUCT(--(NOT(ISBLANK('0₦'!Q324:T324))), '0₦'!Q$2:T$2)</f>
        <v/>
      </c>
      <c r="BD324" s="250">
        <f t="array" ref="BD324">SUMPRODUCT(--(NOT(ISBLANK('0₦'!N324:P324))),'0₦'!N$2:P$2)+'0₦'!AY324</f>
        <v/>
      </c>
      <c r="BE324" s="79">
        <f t="array" ref="BE324">SUMPRODUCT(--(NOT(ISBLANK('0₦'!AA324:AC324))),'0₦'!AA$2:AC$2) + BF324</f>
        <v/>
      </c>
      <c r="BF324" s="79" t="n"/>
      <c r="BG324" s="79">
        <f t="array" ref="BG324">SUMPRODUCT(--(NOT(ISBLANK('0₦'!U324:Z324))), '0₦'!U$2:Z$2)</f>
        <v/>
      </c>
      <c r="BH324" s="79" t="n"/>
      <c r="BI324" s="79">
        <f>SUM(BG324:BH324)</f>
        <v/>
      </c>
      <c r="BJ324" s="79" t="n"/>
      <c r="BK324" s="79" t="n"/>
      <c r="BL324" s="79" t="n"/>
      <c r="BM324" s="79" t="n"/>
      <c r="BN324" s="79" t="n"/>
      <c r="BO324" s="79" t="n"/>
      <c r="BP324" s="79" t="n"/>
      <c r="BQ324" s="79" t="n"/>
      <c r="BR324" s="79" t="n"/>
      <c r="BS324" s="79" t="n"/>
      <c r="BT324" s="79" t="n"/>
      <c r="BU324" s="79" t="n"/>
      <c r="BV324" s="79" t="n"/>
      <c r="BW324" s="79" t="n"/>
      <c r="BX324" s="79" t="n"/>
      <c r="BY324" s="79" t="n"/>
      <c r="BZ324" s="79" t="n"/>
      <c r="CA324" s="79" t="n"/>
    </row>
    <row r="325" hidden="1" ht="17.1" customHeight="1" s="37">
      <c r="A325" s="551" t="n"/>
      <c r="B325" s="150" t="inlineStr">
        <is>
          <t>F</t>
        </is>
      </c>
      <c r="C325" s="550">
        <f>C324+1</f>
        <v/>
      </c>
      <c r="G325" s="216" t="n"/>
      <c r="H325" s="57" t="n"/>
      <c r="O325" s="216" t="n"/>
      <c r="X325" s="20" t="n"/>
      <c r="AF325" s="450" t="n"/>
      <c r="AN325" s="45" t="n"/>
      <c r="AP325" s="45" t="n"/>
      <c r="AQ325" s="12" t="n"/>
      <c r="AR325" s="216" t="n">
        <v>40</v>
      </c>
      <c r="AS325" s="216" t="n"/>
      <c r="AT325" s="216" t="n"/>
      <c r="AU325" s="216">
        <f>N325+O325 + 0</f>
        <v/>
      </c>
      <c r="AW325" s="2">
        <f>SUM(AH325:AI325,AJ325/2,AK325:AL325)</f>
        <v/>
      </c>
      <c r="AX325" s="2">
        <f>AM325*0.5+SUM(AN325:AP325)</f>
        <v/>
      </c>
      <c r="AY325" s="39">
        <f>SUM(-AR325+AS325*0.01+AT325*0.5+AU325)</f>
        <v/>
      </c>
      <c r="AZ325" s="39">
        <f>'0分'!AF322</f>
        <v/>
      </c>
      <c r="BA325" s="39">
        <f>SUM(AY325,AX325,AW325)</f>
        <v/>
      </c>
      <c r="BB325" s="250" t="n"/>
      <c r="BC325" s="79">
        <f t="array" ref="BC325">SUMPRODUCT(--(NOT(ISBLANK('0₦'!D325:M325))), '0₦'!D$2:M$2) +  SUMPRODUCT(--(NOT(ISBLANK('0₦'!Q325:T325))), '0₦'!Q$2:T$2)</f>
        <v/>
      </c>
      <c r="BD325" s="250">
        <f t="array" ref="BD325">SUMPRODUCT(--(NOT(ISBLANK('0₦'!N325:P325))),'0₦'!N$2:P$2)+'0₦'!AY325</f>
        <v/>
      </c>
      <c r="BE325" s="79">
        <f t="array" ref="BE325">SUMPRODUCT(--(NOT(ISBLANK('0₦'!AA325:AC325))),'0₦'!AA$2:AC$2) + BF325</f>
        <v/>
      </c>
      <c r="BF325" s="79" t="n"/>
      <c r="BG325" s="79">
        <f t="array" ref="BG325">SUMPRODUCT(--(NOT(ISBLANK('0₦'!U325:Z325))), '0₦'!U$2:Z$2)</f>
        <v/>
      </c>
      <c r="BH325" s="79" t="n"/>
      <c r="BI325" s="79">
        <f>SUM(BG325:BH325)</f>
        <v/>
      </c>
      <c r="BJ325" s="79" t="n"/>
      <c r="BK325" s="79" t="n"/>
      <c r="BL325" s="79" t="n"/>
      <c r="BM325" s="79" t="n"/>
      <c r="BN325" s="79" t="n"/>
      <c r="BO325" s="79" t="n"/>
      <c r="BP325" s="79" t="n"/>
      <c r="BQ325" s="79" t="n"/>
      <c r="BR325" s="79" t="n"/>
      <c r="BS325" s="79" t="n"/>
      <c r="BT325" s="79" t="n"/>
      <c r="BU325" s="79" t="n"/>
      <c r="BV325" s="79" t="n"/>
      <c r="BW325" s="79" t="n"/>
      <c r="BX325" s="79" t="n"/>
      <c r="BY325" s="79" t="n"/>
      <c r="BZ325" s="79" t="n"/>
      <c r="CA325" s="79" t="n"/>
    </row>
    <row r="326" hidden="1" ht="17.1" customHeight="1" s="37">
      <c r="A326" s="552" t="n"/>
      <c r="B326" s="150" t="inlineStr">
        <is>
          <t>S</t>
        </is>
      </c>
      <c r="C326" s="550">
        <f>C325+1</f>
        <v/>
      </c>
      <c r="G326" s="216" t="n"/>
      <c r="H326" s="57" t="n"/>
      <c r="O326" s="216" t="n"/>
      <c r="X326" s="20" t="n"/>
      <c r="AF326" s="450" t="n"/>
      <c r="AN326" s="45" t="n"/>
      <c r="AP326" s="45" t="n"/>
      <c r="AQ326" s="12" t="n"/>
      <c r="AR326" s="216" t="n">
        <v>40</v>
      </c>
      <c r="AS326" s="216" t="n"/>
      <c r="AT326" s="216" t="n"/>
      <c r="AU326" s="216">
        <f>N326+O326 + 0</f>
        <v/>
      </c>
      <c r="AW326" s="2">
        <f>SUM(AH326:AI326,AJ326/2,AK326:AL326)</f>
        <v/>
      </c>
      <c r="AX326" s="2">
        <f>AM326*0.5+SUM(AN326:AP326)</f>
        <v/>
      </c>
      <c r="AY326" s="39">
        <f>SUM(-AR326+AS326*0.01+AT326*0.5+AU326)</f>
        <v/>
      </c>
      <c r="AZ326" s="39">
        <f>'0分'!AF323</f>
        <v/>
      </c>
      <c r="BA326" s="39">
        <f>SUM(AY326,AX326,AW326)</f>
        <v/>
      </c>
      <c r="BB326" s="250" t="n"/>
      <c r="BC326" s="79">
        <f t="array" ref="BC326">SUMPRODUCT(--(NOT(ISBLANK('0₦'!D326:M326))), '0₦'!D$2:M$2) +  SUMPRODUCT(--(NOT(ISBLANK('0₦'!Q326:T326))), '0₦'!Q$2:T$2)</f>
        <v/>
      </c>
      <c r="BD326" s="250">
        <f t="array" ref="BD326">SUMPRODUCT(--(NOT(ISBLANK('0₦'!N326:P326))),'0₦'!N$2:P$2)+'0₦'!AY326</f>
        <v/>
      </c>
      <c r="BE326" s="79">
        <f t="array" ref="BE326">SUMPRODUCT(--(NOT(ISBLANK('0₦'!AA326:AC326))),'0₦'!AA$2:AC$2) + BF326</f>
        <v/>
      </c>
      <c r="BF326" s="79" t="n"/>
      <c r="BG326" s="79">
        <f t="array" ref="BG326">SUMPRODUCT(--(NOT(ISBLANK('0₦'!U326:Z326))), '0₦'!U$2:Z$2)</f>
        <v/>
      </c>
      <c r="BH326" s="79" t="n"/>
      <c r="BI326" s="79">
        <f>SUM(BG326:BH326)</f>
        <v/>
      </c>
      <c r="BJ326" s="79" t="n"/>
      <c r="BK326" s="79" t="n"/>
      <c r="BL326" s="79" t="n"/>
      <c r="BM326" s="79" t="n"/>
      <c r="BN326" s="79" t="n"/>
      <c r="BO326" s="79" t="n"/>
      <c r="BP326" s="79" t="n"/>
      <c r="BQ326" s="79" t="n"/>
      <c r="BR326" s="79" t="n"/>
      <c r="BS326" s="79" t="n"/>
      <c r="BT326" s="79" t="n"/>
      <c r="BU326" s="79" t="n"/>
      <c r="BV326" s="79" t="n"/>
      <c r="BW326" s="79" t="n"/>
      <c r="BX326" s="79" t="n"/>
      <c r="BY326" s="79" t="n"/>
      <c r="BZ326" s="79" t="n"/>
      <c r="CA326" s="79" t="n"/>
    </row>
    <row r="327" hidden="1" ht="17.1" customHeight="1" s="37">
      <c r="A327" s="462">
        <f>A320+0.1</f>
        <v/>
      </c>
      <c r="B327" s="150" t="inlineStr">
        <is>
          <t>S</t>
        </is>
      </c>
      <c r="C327" s="550">
        <f>C326+1</f>
        <v/>
      </c>
      <c r="G327" s="216" t="n"/>
      <c r="H327" s="57" t="n"/>
      <c r="O327" s="216" t="n"/>
      <c r="X327" s="20" t="n"/>
      <c r="AF327" s="450" t="n"/>
      <c r="AN327" s="45" t="n"/>
      <c r="AP327" s="45" t="n"/>
      <c r="AQ327" s="12" t="n"/>
      <c r="AR327" s="216" t="n">
        <v>40</v>
      </c>
      <c r="AS327" s="216" t="n"/>
      <c r="AT327" s="216" t="n"/>
      <c r="AU327" s="216">
        <f>N327+O327 + 0</f>
        <v/>
      </c>
      <c r="AW327" s="2">
        <f>SUM(AH327:AI327,AJ327/2,AK327:AL327)</f>
        <v/>
      </c>
      <c r="AX327" s="2">
        <f>AM327*0.5+SUM(AN327:AP327)</f>
        <v/>
      </c>
      <c r="AY327" s="39">
        <f>SUM(-AR327+AS327*0.01+AT327*0.5+AU327)</f>
        <v/>
      </c>
      <c r="AZ327" s="39">
        <f>'0分'!AF324</f>
        <v/>
      </c>
      <c r="BA327" s="39">
        <f>SUM(AY327,AX327,AW327)</f>
        <v/>
      </c>
      <c r="BB327" s="250" t="n"/>
      <c r="BC327" s="79">
        <f t="array" ref="BC327">SUMPRODUCT(--(NOT(ISBLANK('0₦'!D327:M327))), '0₦'!D$2:M$2) +  SUMPRODUCT(--(NOT(ISBLANK('0₦'!Q327:T327))), '0₦'!Q$2:T$2)</f>
        <v/>
      </c>
      <c r="BD327" s="250">
        <f t="array" ref="BD327">SUMPRODUCT(--(NOT(ISBLANK('0₦'!N327:P327))),'0₦'!N$2:P$2)+'0₦'!AY327</f>
        <v/>
      </c>
      <c r="BE327" s="79">
        <f t="array" ref="BE327">SUMPRODUCT(--(NOT(ISBLANK('0₦'!AA327:AC327))),'0₦'!AA$2:AC$2) + BF327</f>
        <v/>
      </c>
      <c r="BF327" s="79" t="n"/>
      <c r="BG327" s="79">
        <f t="array" ref="BG327">SUMPRODUCT(--(NOT(ISBLANK('0₦'!U327:Z327))), '0₦'!U$2:Z$2)</f>
        <v/>
      </c>
      <c r="BH327" s="79" t="n"/>
      <c r="BI327" s="79">
        <f>SUM(BG327:BH327)</f>
        <v/>
      </c>
      <c r="BJ327" s="79" t="n"/>
      <c r="BK327" s="79" t="n"/>
      <c r="BL327" s="79" t="n"/>
      <c r="BM327" s="79" t="n"/>
      <c r="BN327" s="79" t="n"/>
      <c r="BO327" s="79" t="n"/>
      <c r="BP327" s="79" t="n"/>
      <c r="BQ327" s="79" t="n"/>
      <c r="BR327" s="79" t="n"/>
      <c r="BS327" s="79" t="n"/>
      <c r="BT327" s="79" t="n"/>
      <c r="BU327" s="79" t="n"/>
      <c r="BV327" s="79" t="n"/>
      <c r="BW327" s="79" t="n"/>
      <c r="BX327" s="79" t="n"/>
      <c r="BY327" s="79" t="n"/>
      <c r="BZ327" s="79" t="n"/>
      <c r="CA327" s="79" t="n"/>
    </row>
    <row r="328" hidden="1" ht="17.1" customHeight="1" s="37">
      <c r="A328" s="551" t="n"/>
      <c r="B328" s="150" t="inlineStr">
        <is>
          <t>M</t>
        </is>
      </c>
      <c r="C328" s="550">
        <f>C327+1</f>
        <v/>
      </c>
      <c r="G328" s="216" t="n"/>
      <c r="H328" s="57" t="n"/>
      <c r="O328" s="216" t="n"/>
      <c r="X328" s="20" t="n"/>
      <c r="AF328" s="450" t="n"/>
      <c r="AN328" s="45" t="n"/>
      <c r="AP328" s="45" t="n"/>
      <c r="AQ328" s="12" t="n"/>
      <c r="AR328" s="216" t="n">
        <v>40</v>
      </c>
      <c r="AS328" s="216" t="n"/>
      <c r="AT328" s="216" t="n"/>
      <c r="AU328" s="216">
        <f>N328+O328 + 0</f>
        <v/>
      </c>
      <c r="AW328" s="2">
        <f>SUM(AH328:AI328,AJ328/2,AK328:AL328)</f>
        <v/>
      </c>
      <c r="AX328" s="2">
        <f>AM328*0.5+SUM(AN328:AP328)</f>
        <v/>
      </c>
      <c r="AY328" s="39">
        <f>SUM(-AR328+AS328*0.01+AT328*0.5+AU328)</f>
        <v/>
      </c>
      <c r="AZ328" s="39">
        <f>'0分'!AF325</f>
        <v/>
      </c>
      <c r="BA328" s="39">
        <f>SUM(AY328,AX328,AW328)</f>
        <v/>
      </c>
      <c r="BB328" s="250" t="n"/>
      <c r="BC328" s="79">
        <f t="array" ref="BC328">SUMPRODUCT(--(NOT(ISBLANK('0₦'!D328:M328))), '0₦'!D$2:M$2) +  SUMPRODUCT(--(NOT(ISBLANK('0₦'!Q328:T328))), '0₦'!Q$2:T$2)</f>
        <v/>
      </c>
      <c r="BD328" s="250">
        <f t="array" ref="BD328">SUMPRODUCT(--(NOT(ISBLANK('0₦'!N328:P328))),'0₦'!N$2:P$2)+'0₦'!AY328</f>
        <v/>
      </c>
      <c r="BE328" s="79">
        <f t="array" ref="BE328">SUMPRODUCT(--(NOT(ISBLANK('0₦'!AA328:AC328))),'0₦'!AA$2:AC$2) + BF328</f>
        <v/>
      </c>
      <c r="BF328" s="79" t="n"/>
      <c r="BG328" s="79">
        <f t="array" ref="BG328">SUMPRODUCT(--(NOT(ISBLANK('0₦'!U328:Z328))), '0₦'!U$2:Z$2)</f>
        <v/>
      </c>
      <c r="BH328" s="79" t="n"/>
      <c r="BI328" s="79">
        <f>SUM(BG328:BH328)</f>
        <v/>
      </c>
      <c r="BJ328" s="79" t="n"/>
      <c r="BK328" s="79" t="n"/>
      <c r="BL328" s="79" t="n"/>
      <c r="BM328" s="79" t="n"/>
      <c r="BN328" s="79" t="n"/>
      <c r="BO328" s="79" t="n"/>
      <c r="BP328" s="79" t="n"/>
      <c r="BQ328" s="79" t="n"/>
      <c r="BR328" s="79" t="n"/>
      <c r="BS328" s="79" t="n"/>
      <c r="BT328" s="79" t="n"/>
      <c r="BU328" s="79" t="n"/>
      <c r="BV328" s="79" t="n"/>
      <c r="BW328" s="79" t="n"/>
      <c r="BX328" s="79" t="n"/>
      <c r="BY328" s="79" t="n"/>
      <c r="BZ328" s="79" t="n"/>
      <c r="CA328" s="79" t="n"/>
    </row>
    <row r="329" hidden="1" ht="15.95" customHeight="1" s="37">
      <c r="A329" s="551" t="n"/>
      <c r="B329" s="150" t="inlineStr">
        <is>
          <t>T</t>
        </is>
      </c>
      <c r="C329" s="550">
        <f>C328+1</f>
        <v/>
      </c>
      <c r="G329" s="216" t="n"/>
      <c r="H329" s="57" t="n"/>
      <c r="O329" s="216" t="n"/>
      <c r="X329" s="20" t="n"/>
      <c r="AF329" s="450" t="n"/>
      <c r="AN329" s="45" t="n"/>
      <c r="AP329" s="45" t="n"/>
      <c r="AQ329" s="12" t="n"/>
      <c r="AR329" s="216" t="n">
        <v>40</v>
      </c>
      <c r="AS329" s="216" t="n"/>
      <c r="AT329" s="216" t="n"/>
      <c r="AU329" s="216">
        <f>N329+O329 + 0</f>
        <v/>
      </c>
      <c r="AW329" s="2">
        <f>SUM(AH329:AI329,AJ329/2,AK329:AL329)</f>
        <v/>
      </c>
      <c r="AX329" s="2">
        <f>AM329*0.5+SUM(AN329:AP329)</f>
        <v/>
      </c>
      <c r="AY329" s="39">
        <f>SUM(-AR329+AS329*0.01+AT329*0.5+AU329)</f>
        <v/>
      </c>
      <c r="AZ329" s="39">
        <f>'0分'!AF326</f>
        <v/>
      </c>
      <c r="BA329" s="39">
        <f>SUM(AY329,AX329,AW329)</f>
        <v/>
      </c>
      <c r="BB329" s="250" t="n"/>
      <c r="BC329" s="79">
        <f t="array" ref="BC329">SUMPRODUCT(--(NOT(ISBLANK('0₦'!D329:M329))), '0₦'!D$2:M$2) +  SUMPRODUCT(--(NOT(ISBLANK('0₦'!Q329:T329))), '0₦'!Q$2:T$2)</f>
        <v/>
      </c>
      <c r="BD329" s="250">
        <f t="array" ref="BD329">SUMPRODUCT(--(NOT(ISBLANK('0₦'!N329:P329))),'0₦'!N$2:P$2)+'0₦'!AY329</f>
        <v/>
      </c>
      <c r="BE329" s="79">
        <f t="array" ref="BE329">SUMPRODUCT(--(NOT(ISBLANK('0₦'!AA329:AC329))),'0₦'!AA$2:AC$2) + BF329</f>
        <v/>
      </c>
      <c r="BF329" s="79" t="n"/>
      <c r="BG329" s="79">
        <f t="array" ref="BG329">SUMPRODUCT(--(NOT(ISBLANK('0₦'!U329:Z329))), '0₦'!U$2:Z$2)</f>
        <v/>
      </c>
      <c r="BH329" s="79" t="n"/>
      <c r="BI329" s="79">
        <f>SUM(BG329:BH329)</f>
        <v/>
      </c>
      <c r="BJ329" s="79" t="n"/>
      <c r="BK329" s="79" t="n"/>
      <c r="BL329" s="79" t="n"/>
      <c r="BM329" s="79" t="n"/>
      <c r="BN329" s="79" t="n"/>
      <c r="BO329" s="79" t="n"/>
      <c r="BP329" s="79" t="n"/>
      <c r="BQ329" s="79" t="n"/>
      <c r="BR329" s="79" t="n"/>
      <c r="BS329" s="79" t="n"/>
      <c r="BT329" s="79" t="n"/>
      <c r="BU329" s="79" t="n"/>
      <c r="BV329" s="79" t="n"/>
      <c r="BW329" s="79" t="n"/>
      <c r="BX329" s="79" t="n"/>
      <c r="BY329" s="79" t="n"/>
      <c r="BZ329" s="79" t="n"/>
      <c r="CA329" s="79" t="n"/>
    </row>
    <row r="330" hidden="1" ht="17.1" customHeight="1" s="37">
      <c r="A330" s="551" t="n"/>
      <c r="B330" s="150" t="inlineStr">
        <is>
          <t>W</t>
        </is>
      </c>
      <c r="C330" s="550">
        <f>C329+1</f>
        <v/>
      </c>
      <c r="G330" s="216" t="n"/>
      <c r="H330" s="57" t="n"/>
      <c r="O330" s="216" t="n"/>
      <c r="X330" s="20" t="n"/>
      <c r="AF330" s="450" t="n"/>
      <c r="AN330" s="45" t="n"/>
      <c r="AP330" s="45" t="n"/>
      <c r="AQ330" s="12" t="n"/>
      <c r="AR330" s="216" t="n">
        <v>40</v>
      </c>
      <c r="AS330" s="216" t="n"/>
      <c r="AT330" s="216" t="n"/>
      <c r="AU330" s="216">
        <f>N330+O330 + 0</f>
        <v/>
      </c>
      <c r="AW330" s="2">
        <f>SUM(AH330:AI330,AJ330/2,AK330:AL330)</f>
        <v/>
      </c>
      <c r="AX330" s="2">
        <f>AM330*0.5+SUM(AN330:AP330)</f>
        <v/>
      </c>
      <c r="AY330" s="39">
        <f>SUM(-AR330+AS330*0.01+AT330*0.5+AU330)</f>
        <v/>
      </c>
      <c r="AZ330" s="39">
        <f>'0分'!AF327</f>
        <v/>
      </c>
      <c r="BA330" s="39">
        <f>SUM(AY330,AX330,AW330)</f>
        <v/>
      </c>
      <c r="BB330" s="250" t="n"/>
      <c r="BC330" s="79">
        <f t="array" ref="BC330">SUMPRODUCT(--(NOT(ISBLANK('0₦'!D330:M330))), '0₦'!D$2:M$2) +  SUMPRODUCT(--(NOT(ISBLANK('0₦'!Q330:T330))), '0₦'!Q$2:T$2)</f>
        <v/>
      </c>
      <c r="BD330" s="250">
        <f t="array" ref="BD330">SUMPRODUCT(--(NOT(ISBLANK('0₦'!N330:P330))),'0₦'!N$2:P$2)+'0₦'!AY330</f>
        <v/>
      </c>
      <c r="BE330" s="79">
        <f t="array" ref="BE330">SUMPRODUCT(--(NOT(ISBLANK('0₦'!AA330:AC330))),'0₦'!AA$2:AC$2) + BF330</f>
        <v/>
      </c>
      <c r="BF330" s="79" t="n"/>
      <c r="BG330" s="79">
        <f t="array" ref="BG330">SUMPRODUCT(--(NOT(ISBLANK('0₦'!U330:Z330))), '0₦'!U$2:Z$2)</f>
        <v/>
      </c>
      <c r="BH330" s="79" t="n"/>
      <c r="BI330" s="79">
        <f>SUM(BG330:BH330)</f>
        <v/>
      </c>
      <c r="BJ330" s="79" t="n"/>
      <c r="BK330" s="79" t="n"/>
      <c r="BL330" s="79" t="n"/>
      <c r="BM330" s="79" t="n"/>
      <c r="BN330" s="79" t="n"/>
      <c r="BO330" s="79" t="n"/>
      <c r="BP330" s="79" t="n"/>
      <c r="BQ330" s="79" t="n"/>
      <c r="BR330" s="79" t="n"/>
      <c r="BS330" s="79" t="n"/>
      <c r="BT330" s="79" t="n"/>
      <c r="BU330" s="79" t="n"/>
      <c r="BV330" s="79" t="n"/>
      <c r="BW330" s="79" t="n"/>
      <c r="BX330" s="79" t="n"/>
      <c r="BY330" s="79" t="n"/>
      <c r="BZ330" s="79" t="n"/>
      <c r="CA330" s="79" t="n"/>
    </row>
    <row r="331" hidden="1" ht="17.1" customHeight="1" s="37">
      <c r="A331" s="551" t="n"/>
      <c r="B331" s="150" t="inlineStr">
        <is>
          <t>Th</t>
        </is>
      </c>
      <c r="C331" s="550">
        <f>C330+1</f>
        <v/>
      </c>
      <c r="G331" s="216" t="n"/>
      <c r="H331" s="57" t="n"/>
      <c r="O331" s="216" t="n"/>
      <c r="T331" s="38" t="n"/>
      <c r="X331" s="20" t="n"/>
      <c r="AF331" s="450" t="n"/>
      <c r="AN331" s="45" t="n"/>
      <c r="AP331" s="45" t="n"/>
      <c r="AQ331" s="12" t="n"/>
      <c r="AR331" s="216" t="n">
        <v>40</v>
      </c>
      <c r="AS331" s="216" t="n"/>
      <c r="AT331" s="216" t="n"/>
      <c r="AU331" s="216">
        <f>N331+O331 + 0</f>
        <v/>
      </c>
      <c r="AW331" s="2">
        <f>SUM(AH331:AI331,AJ331/2,AK331:AL331)</f>
        <v/>
      </c>
      <c r="AX331" s="2">
        <f>AM331*0.5+SUM(AN331:AP331)</f>
        <v/>
      </c>
      <c r="AY331" s="39">
        <f>SUM(-AR331+AS331*0.01+AT331*0.5+AU331)</f>
        <v/>
      </c>
      <c r="AZ331" s="39">
        <f>'0分'!AF328</f>
        <v/>
      </c>
      <c r="BA331" s="39">
        <f>SUM(AY331,AX331,AW331)</f>
        <v/>
      </c>
      <c r="BB331" s="250" t="n"/>
      <c r="BC331" s="79">
        <f t="array" ref="BC331">SUMPRODUCT(--(NOT(ISBLANK('0₦'!D331:M331))), '0₦'!D$2:M$2) +  SUMPRODUCT(--(NOT(ISBLANK('0₦'!Q331:T331))), '0₦'!Q$2:T$2)</f>
        <v/>
      </c>
      <c r="BD331" s="250">
        <f t="array" ref="BD331">SUMPRODUCT(--(NOT(ISBLANK('0₦'!N331:P331))),'0₦'!N$2:P$2)+'0₦'!AY331</f>
        <v/>
      </c>
      <c r="BE331" s="79">
        <f t="array" ref="BE331">SUMPRODUCT(--(NOT(ISBLANK('0₦'!AA331:AC331))),'0₦'!AA$2:AC$2) + BF331</f>
        <v/>
      </c>
      <c r="BF331" s="79" t="n"/>
      <c r="BG331" s="79">
        <f t="array" ref="BG331">SUMPRODUCT(--(NOT(ISBLANK('0₦'!U331:Z331))), '0₦'!U$2:Z$2)</f>
        <v/>
      </c>
      <c r="BH331" s="79" t="n"/>
      <c r="BI331" s="79">
        <f>SUM(BG331:BH331)</f>
        <v/>
      </c>
      <c r="BJ331" s="79" t="n"/>
      <c r="BK331" s="79" t="n"/>
      <c r="BL331" s="79" t="n"/>
      <c r="BM331" s="79" t="n"/>
      <c r="BN331" s="79" t="n"/>
      <c r="BO331" s="79" t="n"/>
      <c r="BP331" s="79" t="n"/>
      <c r="BQ331" s="79" t="n"/>
      <c r="BR331" s="79" t="n"/>
      <c r="BS331" s="79" t="n"/>
      <c r="BT331" s="79" t="n"/>
      <c r="BU331" s="79" t="n"/>
      <c r="BV331" s="79" t="n"/>
      <c r="BW331" s="79" t="n"/>
      <c r="BX331" s="79" t="n"/>
      <c r="BY331" s="79" t="n"/>
      <c r="BZ331" s="79" t="n"/>
      <c r="CA331" s="79" t="n"/>
    </row>
    <row r="332" hidden="1" ht="17.1" customHeight="1" s="37">
      <c r="A332" s="551" t="n"/>
      <c r="B332" s="150" t="inlineStr">
        <is>
          <t>F</t>
        </is>
      </c>
      <c r="C332" s="550">
        <f>C331+1</f>
        <v/>
      </c>
      <c r="G332" s="216" t="n"/>
      <c r="H332" s="57" t="n"/>
      <c r="O332" s="216" t="n"/>
      <c r="X332" s="20" t="n"/>
      <c r="AF332" s="450" t="n"/>
      <c r="AN332" s="45" t="n"/>
      <c r="AP332" s="45" t="n"/>
      <c r="AQ332" s="12" t="n"/>
      <c r="AR332" s="216" t="n">
        <v>40</v>
      </c>
      <c r="AS332" s="216" t="n"/>
      <c r="AT332" s="216" t="n"/>
      <c r="AU332" s="216">
        <f>N332+O332 + 0</f>
        <v/>
      </c>
      <c r="AW332" s="2">
        <f>SUM(AH332:AI332,AJ332/2,AK332:AL332)</f>
        <v/>
      </c>
      <c r="AX332" s="2">
        <f>AM332*0.5+SUM(AN332:AP332)</f>
        <v/>
      </c>
      <c r="AY332" s="39">
        <f>SUM(-AR332+AS332*0.01+AT332*0.5+AU332)</f>
        <v/>
      </c>
      <c r="AZ332" s="39">
        <f>'0分'!AF329</f>
        <v/>
      </c>
      <c r="BA332" s="39">
        <f>SUM(AY332,AX332,AW332)</f>
        <v/>
      </c>
      <c r="BB332" s="250" t="n"/>
      <c r="BC332" s="79">
        <f t="array" ref="BC332">SUMPRODUCT(--(NOT(ISBLANK('0₦'!D332:M332))), '0₦'!D$2:M$2) +  SUMPRODUCT(--(NOT(ISBLANK('0₦'!Q332:T332))), '0₦'!Q$2:T$2)</f>
        <v/>
      </c>
      <c r="BD332" s="250">
        <f t="array" ref="BD332">SUMPRODUCT(--(NOT(ISBLANK('0₦'!N332:P332))),'0₦'!N$2:P$2)+'0₦'!AY332</f>
        <v/>
      </c>
      <c r="BE332" s="79">
        <f t="array" ref="BE332">SUMPRODUCT(--(NOT(ISBLANK('0₦'!AA332:AC332))),'0₦'!AA$2:AC$2) + BF332</f>
        <v/>
      </c>
      <c r="BF332" s="79" t="n"/>
      <c r="BG332" s="79">
        <f t="array" ref="BG332">SUMPRODUCT(--(NOT(ISBLANK('0₦'!U332:Z332))), '0₦'!U$2:Z$2)</f>
        <v/>
      </c>
      <c r="BH332" s="79" t="n"/>
      <c r="BI332" s="79">
        <f>SUM(BG332:BH332)</f>
        <v/>
      </c>
      <c r="BJ332" s="79" t="n"/>
      <c r="BK332" s="79" t="n"/>
      <c r="BL332" s="79" t="n"/>
      <c r="BM332" s="79" t="n"/>
      <c r="BN332" s="79" t="n"/>
      <c r="BO332" s="79" t="n"/>
      <c r="BP332" s="79" t="n"/>
      <c r="BQ332" s="79" t="n"/>
      <c r="BR332" s="79" t="n"/>
      <c r="BS332" s="79" t="n"/>
      <c r="BT332" s="79" t="n"/>
      <c r="BU332" s="79" t="n"/>
      <c r="BV332" s="79" t="n"/>
      <c r="BW332" s="79" t="n"/>
      <c r="BX332" s="79" t="n"/>
      <c r="BY332" s="79" t="n"/>
      <c r="BZ332" s="79" t="n"/>
      <c r="CA332" s="79" t="n"/>
    </row>
    <row r="333" hidden="1" ht="17.1" customHeight="1" s="37">
      <c r="A333" s="552" t="n"/>
      <c r="B333" s="150" t="inlineStr">
        <is>
          <t>S</t>
        </is>
      </c>
      <c r="C333" s="550">
        <f>C332+1</f>
        <v/>
      </c>
      <c r="G333" s="216" t="n"/>
      <c r="H333" s="57" t="n"/>
      <c r="O333" s="216" t="n"/>
      <c r="T333" s="38" t="n"/>
      <c r="X333" s="20" t="n"/>
      <c r="AF333" s="450" t="n"/>
      <c r="AN333" s="45" t="n"/>
      <c r="AP333" s="45" t="n"/>
      <c r="AQ333" s="12" t="n"/>
      <c r="AR333" s="216" t="n">
        <v>40</v>
      </c>
      <c r="AS333" s="216" t="n"/>
      <c r="AT333" s="216" t="n"/>
      <c r="AU333" s="216">
        <f>N333+O333 + 0</f>
        <v/>
      </c>
      <c r="AW333" s="2">
        <f>SUM(AH333:AI333,AJ333/2,AK333:AL333)</f>
        <v/>
      </c>
      <c r="AX333" s="2">
        <f>AM333*0.5+SUM(AN333:AP333)</f>
        <v/>
      </c>
      <c r="AY333" s="39">
        <f>SUM(-AR333+AS333*0.01+AT333*0.5+AU333)</f>
        <v/>
      </c>
      <c r="AZ333" s="39">
        <f>'0分'!AF330</f>
        <v/>
      </c>
      <c r="BA333" s="39">
        <f>SUM(AY333,AX333,AW333)</f>
        <v/>
      </c>
      <c r="BB333" s="250" t="n"/>
      <c r="BC333" s="79">
        <f t="array" ref="BC333">SUMPRODUCT(--(NOT(ISBLANK('0₦'!D333:M333))), '0₦'!D$2:M$2) +  SUMPRODUCT(--(NOT(ISBLANK('0₦'!Q333:T333))), '0₦'!Q$2:T$2)</f>
        <v/>
      </c>
      <c r="BD333" s="250">
        <f t="array" ref="BD333">SUMPRODUCT(--(NOT(ISBLANK('0₦'!N333:P333))),'0₦'!N$2:P$2)+'0₦'!AY333</f>
        <v/>
      </c>
      <c r="BE333" s="79">
        <f t="array" ref="BE333">SUMPRODUCT(--(NOT(ISBLANK('0₦'!AA333:AC333))),'0₦'!AA$2:AC$2) + BF333</f>
        <v/>
      </c>
      <c r="BF333" s="79" t="n"/>
      <c r="BG333" s="79">
        <f t="array" ref="BG333">SUMPRODUCT(--(NOT(ISBLANK('0₦'!U333:Z333))), '0₦'!U$2:Z$2)</f>
        <v/>
      </c>
      <c r="BH333" s="79" t="n"/>
      <c r="BI333" s="79">
        <f>SUM(BG333:BH333)</f>
        <v/>
      </c>
      <c r="BJ333" s="79" t="n"/>
      <c r="BK333" s="79" t="n"/>
      <c r="BL333" s="79" t="n"/>
      <c r="BM333" s="79" t="n"/>
      <c r="BN333" s="79" t="n"/>
      <c r="BO333" s="79" t="n"/>
      <c r="BP333" s="79" t="n"/>
      <c r="BQ333" s="79" t="n"/>
      <c r="BR333" s="79" t="n"/>
      <c r="BS333" s="79" t="n"/>
      <c r="BT333" s="79" t="n"/>
      <c r="BU333" s="79" t="n"/>
      <c r="BV333" s="79" t="n"/>
      <c r="BW333" s="79" t="n"/>
      <c r="BX333" s="79" t="n"/>
      <c r="BY333" s="79" t="n"/>
      <c r="BZ333" s="79" t="n"/>
      <c r="CA333" s="79" t="n"/>
    </row>
    <row r="334" hidden="1" ht="17.1" customHeight="1" s="37">
      <c r="A334" s="462">
        <f>A306+1</f>
        <v/>
      </c>
      <c r="B334" s="150" t="inlineStr">
        <is>
          <t>S</t>
        </is>
      </c>
      <c r="C334" s="550">
        <f>C333+1</f>
        <v/>
      </c>
      <c r="G334" s="216" t="n"/>
      <c r="H334" s="57" t="n"/>
      <c r="O334" s="216" t="n"/>
      <c r="X334" s="20" t="n"/>
      <c r="AF334" s="450" t="n"/>
      <c r="AN334" s="45" t="n"/>
      <c r="AP334" s="45" t="n"/>
      <c r="AQ334" s="12" t="n"/>
      <c r="AR334" s="216" t="n">
        <v>40</v>
      </c>
      <c r="AS334" s="216" t="n"/>
      <c r="AT334" s="216" t="n"/>
      <c r="AU334" s="216">
        <f>N334+O334 + 0</f>
        <v/>
      </c>
      <c r="AW334" s="2">
        <f>SUM(AH334:AI334,AJ334/2,AK334:AL334)</f>
        <v/>
      </c>
      <c r="AX334" s="2">
        <f>AM334*0.5+SUM(AN334:AP334)</f>
        <v/>
      </c>
      <c r="AY334" s="39">
        <f>SUM(-AR334+AS334*0.01+AT334*0.5+AU334)</f>
        <v/>
      </c>
      <c r="AZ334" s="39">
        <f>'0分'!AF331</f>
        <v/>
      </c>
      <c r="BA334" s="39">
        <f>SUM(AY334,AX334,AW334)</f>
        <v/>
      </c>
      <c r="BB334" s="250" t="n"/>
      <c r="BC334" s="79">
        <f t="array" ref="BC334">SUMPRODUCT(--(NOT(ISBLANK('0₦'!D334:M334))), '0₦'!D$2:M$2) +  SUMPRODUCT(--(NOT(ISBLANK('0₦'!Q334:T334))), '0₦'!Q$2:T$2)</f>
        <v/>
      </c>
      <c r="BD334" s="250">
        <f t="array" ref="BD334">SUMPRODUCT(--(NOT(ISBLANK('0₦'!N334:P334))),'0₦'!N$2:P$2)+'0₦'!AY334</f>
        <v/>
      </c>
      <c r="BE334" s="79">
        <f t="array" ref="BE334">SUMPRODUCT(--(NOT(ISBLANK('0₦'!AA334:AC334))),'0₦'!AA$2:AC$2) + BF334</f>
        <v/>
      </c>
      <c r="BF334" s="79" t="n"/>
      <c r="BG334" s="79">
        <f t="array" ref="BG334">SUMPRODUCT(--(NOT(ISBLANK('0₦'!U334:Z334))), '0₦'!U$2:Z$2)</f>
        <v/>
      </c>
      <c r="BH334" s="79" t="n"/>
      <c r="BI334" s="79">
        <f>SUM(BG334:BH334)</f>
        <v/>
      </c>
      <c r="BJ334" s="79" t="n"/>
      <c r="BK334" s="79" t="n"/>
      <c r="BL334" s="79" t="n"/>
      <c r="BM334" s="79" t="n"/>
      <c r="BN334" s="79" t="n"/>
      <c r="BO334" s="79" t="n"/>
      <c r="BP334" s="79" t="n"/>
      <c r="BQ334" s="79" t="n"/>
      <c r="BR334" s="79" t="n"/>
      <c r="BS334" s="79" t="n"/>
      <c r="BT334" s="79" t="n"/>
      <c r="BU334" s="79" t="n"/>
      <c r="BV334" s="79" t="n"/>
      <c r="BW334" s="79" t="n"/>
      <c r="BX334" s="79" t="n"/>
      <c r="BY334" s="79" t="n"/>
      <c r="BZ334" s="79" t="n"/>
      <c r="CA334" s="79" t="n"/>
    </row>
    <row r="335" hidden="1" ht="18.95" customHeight="1" s="37">
      <c r="A335" s="551" t="n"/>
      <c r="B335" s="150" t="inlineStr">
        <is>
          <t>M</t>
        </is>
      </c>
      <c r="C335" s="550">
        <f>C334+1</f>
        <v/>
      </c>
      <c r="G335" s="216" t="n"/>
      <c r="H335" s="57" t="n"/>
      <c r="O335" s="216" t="n"/>
      <c r="T335" s="512" t="n"/>
      <c r="X335" s="20" t="n"/>
      <c r="AF335" s="450" t="n"/>
      <c r="AN335" s="45" t="n"/>
      <c r="AP335" s="45" t="n"/>
      <c r="AQ335" s="12" t="n"/>
      <c r="AR335" s="216" t="n">
        <v>40</v>
      </c>
      <c r="AS335" s="216" t="n"/>
      <c r="AT335" s="216" t="n"/>
      <c r="AU335" s="216">
        <f>N335+O335 + 0</f>
        <v/>
      </c>
      <c r="AW335" s="2">
        <f>SUM(AH335:AI335,AJ335/2,AK335:AL335)</f>
        <v/>
      </c>
      <c r="AX335" s="2">
        <f>AM335*0.5+SUM(AN335:AP335)</f>
        <v/>
      </c>
      <c r="AY335" s="39">
        <f>SUM(-AR335+AS335*0.01+AT335*0.5+AU335)</f>
        <v/>
      </c>
      <c r="AZ335" s="39">
        <f>'0分'!AF332</f>
        <v/>
      </c>
      <c r="BA335" s="39">
        <f>SUM(AY335,AX335,AW335)</f>
        <v/>
      </c>
      <c r="BB335" s="250" t="n"/>
      <c r="BC335" s="79">
        <f t="array" ref="BC335">SUMPRODUCT(--(NOT(ISBLANK('0₦'!D335:M335))), '0₦'!D$2:M$2) +  SUMPRODUCT(--(NOT(ISBLANK('0₦'!Q335:T335))), '0₦'!Q$2:T$2)</f>
        <v/>
      </c>
      <c r="BD335" s="250">
        <f t="array" ref="BD335">SUMPRODUCT(--(NOT(ISBLANK('0₦'!N335:P335))),'0₦'!N$2:P$2)+'0₦'!AY335</f>
        <v/>
      </c>
      <c r="BE335" s="79">
        <f t="array" ref="BE335">SUMPRODUCT(--(NOT(ISBLANK('0₦'!AA335:AC335))),'0₦'!AA$2:AC$2) + BF335</f>
        <v/>
      </c>
      <c r="BF335" s="79" t="n"/>
      <c r="BG335" s="79">
        <f t="array" ref="BG335">SUMPRODUCT(--(NOT(ISBLANK('0₦'!U335:Z335))), '0₦'!U$2:Z$2)</f>
        <v/>
      </c>
      <c r="BH335" s="79" t="n"/>
      <c r="BI335" s="79">
        <f>SUM(BG335:BH335)</f>
        <v/>
      </c>
      <c r="BJ335" s="79" t="n"/>
      <c r="BK335" s="79" t="n"/>
      <c r="BL335" s="79" t="n"/>
      <c r="BM335" s="79" t="n"/>
      <c r="BN335" s="79" t="n"/>
      <c r="BO335" s="79" t="n"/>
      <c r="BP335" s="79" t="n"/>
      <c r="BQ335" s="79" t="n"/>
      <c r="BR335" s="79" t="n"/>
      <c r="BS335" s="79" t="n"/>
      <c r="BT335" s="79" t="n"/>
      <c r="BU335" s="79" t="n"/>
      <c r="BV335" s="79" t="n"/>
      <c r="BW335" s="79" t="n"/>
      <c r="BX335" s="79" t="n"/>
      <c r="BY335" s="79" t="n"/>
      <c r="BZ335" s="79" t="n"/>
      <c r="CA335" s="79" t="n"/>
    </row>
    <row r="336" hidden="1" ht="17.1" customHeight="1" s="37">
      <c r="A336" s="551" t="n"/>
      <c r="B336" s="150" t="inlineStr">
        <is>
          <t>T</t>
        </is>
      </c>
      <c r="C336" s="550">
        <f>C335+1</f>
        <v/>
      </c>
      <c r="G336" s="216" t="n"/>
      <c r="H336" s="57" t="n"/>
      <c r="O336" s="216" t="n"/>
      <c r="X336" s="20" t="n"/>
      <c r="AF336" s="450" t="n"/>
      <c r="AN336" s="45" t="n"/>
      <c r="AP336" s="45" t="n"/>
      <c r="AQ336" s="12" t="n"/>
      <c r="AR336" s="216" t="n">
        <v>40</v>
      </c>
      <c r="AS336" s="216" t="n"/>
      <c r="AT336" s="216" t="n"/>
      <c r="AU336" s="216">
        <f>N336+O336 + 0</f>
        <v/>
      </c>
      <c r="AW336" s="2">
        <f>SUM(AH336:AI336,AJ336/2,AK336:AL336)</f>
        <v/>
      </c>
      <c r="AX336" s="2">
        <f>AM336*0.5+SUM(AN336:AP336)</f>
        <v/>
      </c>
      <c r="AY336" s="39">
        <f>SUM(-AR336+AS336*0.01+AT336*0.5+AU336)</f>
        <v/>
      </c>
      <c r="AZ336" s="39">
        <f>'0分'!AF333</f>
        <v/>
      </c>
      <c r="BA336" s="39">
        <f>SUM(AY336,AX336,AW336)</f>
        <v/>
      </c>
      <c r="BB336" s="250" t="n"/>
      <c r="BC336" s="79">
        <f t="array" ref="BC336">SUMPRODUCT(--(NOT(ISBLANK('0₦'!D336:M336))), '0₦'!D$2:M$2) +  SUMPRODUCT(--(NOT(ISBLANK('0₦'!Q336:T336))), '0₦'!Q$2:T$2)</f>
        <v/>
      </c>
      <c r="BD336" s="250">
        <f t="array" ref="BD336">SUMPRODUCT(--(NOT(ISBLANK('0₦'!N336:P336))),'0₦'!N$2:P$2)+'0₦'!AY336</f>
        <v/>
      </c>
      <c r="BE336" s="79">
        <f t="array" ref="BE336">SUMPRODUCT(--(NOT(ISBLANK('0₦'!AA336:AC336))),'0₦'!AA$2:AC$2) + BF336</f>
        <v/>
      </c>
      <c r="BF336" s="79" t="n"/>
      <c r="BG336" s="79">
        <f t="array" ref="BG336">SUMPRODUCT(--(NOT(ISBLANK('0₦'!U336:Z336))), '0₦'!U$2:Z$2)</f>
        <v/>
      </c>
      <c r="BH336" s="79" t="n"/>
      <c r="BI336" s="79">
        <f>SUM(BG336:BH336)</f>
        <v/>
      </c>
      <c r="BJ336" s="79" t="n"/>
      <c r="BK336" s="79" t="n"/>
      <c r="BL336" s="79" t="n"/>
      <c r="BM336" s="79" t="n"/>
      <c r="BN336" s="79" t="n"/>
      <c r="BO336" s="79" t="n"/>
      <c r="BP336" s="79" t="n"/>
      <c r="BQ336" s="79" t="n"/>
      <c r="BR336" s="79" t="n"/>
      <c r="BS336" s="79" t="n"/>
      <c r="BT336" s="79" t="n"/>
      <c r="BU336" s="79" t="n"/>
      <c r="BV336" s="79" t="n"/>
      <c r="BW336" s="79" t="n"/>
      <c r="BX336" s="79" t="n"/>
      <c r="BY336" s="79" t="n"/>
      <c r="BZ336" s="79" t="n"/>
      <c r="CA336" s="79" t="n"/>
    </row>
    <row r="337" hidden="1" ht="18" customHeight="1" s="37">
      <c r="A337" s="551" t="n"/>
      <c r="B337" s="150" t="inlineStr">
        <is>
          <t>W</t>
        </is>
      </c>
      <c r="C337" s="550">
        <f>C336+1</f>
        <v/>
      </c>
      <c r="G337" s="216" t="n"/>
      <c r="H337" s="57" t="n"/>
      <c r="O337" s="216" t="n"/>
      <c r="X337" s="20" t="n"/>
      <c r="AF337" s="450" t="n"/>
      <c r="AN337" s="45" t="n"/>
      <c r="AP337" s="45" t="n"/>
      <c r="AQ337" s="12" t="n"/>
      <c r="AR337" s="216" t="n">
        <v>40</v>
      </c>
      <c r="AS337" s="216" t="n"/>
      <c r="AT337" s="216" t="n"/>
      <c r="AU337" s="216">
        <f>N337+O337 + 0</f>
        <v/>
      </c>
      <c r="AW337" s="2">
        <f>SUM(AH337:AI337,AJ337/2,AK337:AL337)</f>
        <v/>
      </c>
      <c r="AX337" s="2">
        <f>AM337*0.5+SUM(AN337:AP337)</f>
        <v/>
      </c>
      <c r="AY337" s="39">
        <f>SUM(-AR337+AS337*0.01+AT337*0.5+AU337)</f>
        <v/>
      </c>
      <c r="AZ337" s="39">
        <f>'0分'!AF334</f>
        <v/>
      </c>
      <c r="BA337" s="39">
        <f>SUM(AY337,AX337,AW337)</f>
        <v/>
      </c>
      <c r="BB337" s="250" t="n"/>
      <c r="BC337" s="79">
        <f t="array" ref="BC337">SUMPRODUCT(--(NOT(ISBLANK('0₦'!D337:M337))), '0₦'!D$2:M$2) +  SUMPRODUCT(--(NOT(ISBLANK('0₦'!Q337:T337))), '0₦'!Q$2:T$2)</f>
        <v/>
      </c>
      <c r="BD337" s="250">
        <f t="array" ref="BD337">SUMPRODUCT(--(NOT(ISBLANK('0₦'!N337:P337))),'0₦'!N$2:P$2)+'0₦'!AY337</f>
        <v/>
      </c>
      <c r="BE337" s="79">
        <f t="array" ref="BE337">SUMPRODUCT(--(NOT(ISBLANK('0₦'!AA337:AC337))),'0₦'!AA$2:AC$2) + BF337</f>
        <v/>
      </c>
      <c r="BF337" s="79" t="n"/>
      <c r="BG337" s="79">
        <f t="array" ref="BG337">SUMPRODUCT(--(NOT(ISBLANK('0₦'!U337:Z337))), '0₦'!U$2:Z$2)</f>
        <v/>
      </c>
      <c r="BH337" s="79" t="n"/>
      <c r="BI337" s="79">
        <f>SUM(BG337:BH337)</f>
        <v/>
      </c>
      <c r="BJ337" s="79" t="n"/>
      <c r="BK337" s="79" t="n"/>
      <c r="BL337" s="79" t="n"/>
      <c r="BM337" s="79" t="n"/>
      <c r="BN337" s="79" t="n"/>
      <c r="BO337" s="79" t="n"/>
      <c r="BP337" s="79" t="n"/>
      <c r="BQ337" s="79" t="n"/>
      <c r="BR337" s="79" t="n"/>
      <c r="BS337" s="79" t="n"/>
      <c r="BT337" s="79" t="n"/>
      <c r="BU337" s="79" t="n"/>
      <c r="BV337" s="79" t="n"/>
      <c r="BW337" s="79" t="n"/>
      <c r="BX337" s="79" t="n"/>
      <c r="BY337" s="79" t="n"/>
      <c r="BZ337" s="79" t="n"/>
      <c r="CA337" s="79" t="n"/>
    </row>
    <row r="338" hidden="1" ht="17.1" customHeight="1" s="37">
      <c r="A338" s="551" t="n"/>
      <c r="B338" s="150" t="inlineStr">
        <is>
          <t>Th</t>
        </is>
      </c>
      <c r="C338" s="550">
        <f>C337+1</f>
        <v/>
      </c>
      <c r="G338" s="216" t="n"/>
      <c r="H338" s="57" t="n"/>
      <c r="O338" s="216" t="n"/>
      <c r="X338" s="20" t="n"/>
      <c r="AF338" s="450" t="n"/>
      <c r="AN338" s="45" t="n"/>
      <c r="AP338" s="45" t="n"/>
      <c r="AQ338" s="12" t="n"/>
      <c r="AR338" s="216" t="n">
        <v>40</v>
      </c>
      <c r="AS338" s="216" t="n"/>
      <c r="AT338" s="216" t="n"/>
      <c r="AU338" s="216">
        <f>N338+O338 + 0</f>
        <v/>
      </c>
      <c r="AW338" s="2">
        <f>SUM(AH338:AI338,AJ338/2,AK338:AL338)</f>
        <v/>
      </c>
      <c r="AX338" s="2">
        <f>AM338*0.5+SUM(AN338:AP338)</f>
        <v/>
      </c>
      <c r="AY338" s="39">
        <f>SUM(-AR338+AS338*0.01+AT338*0.5+AU338)</f>
        <v/>
      </c>
      <c r="AZ338" s="39">
        <f>'0分'!AF335</f>
        <v/>
      </c>
      <c r="BA338" s="39">
        <f>SUM(AY338,AX338,AW338)</f>
        <v/>
      </c>
      <c r="BB338" s="250" t="n"/>
      <c r="BC338" s="79">
        <f t="array" ref="BC338">SUMPRODUCT(--(NOT(ISBLANK('0₦'!D338:M338))), '0₦'!D$2:M$2) +  SUMPRODUCT(--(NOT(ISBLANK('0₦'!Q338:T338))), '0₦'!Q$2:T$2)</f>
        <v/>
      </c>
      <c r="BD338" s="250">
        <f t="array" ref="BD338">SUMPRODUCT(--(NOT(ISBLANK('0₦'!N338:P338))),'0₦'!N$2:P$2)+'0₦'!AY338</f>
        <v/>
      </c>
      <c r="BE338" s="79">
        <f t="array" ref="BE338">SUMPRODUCT(--(NOT(ISBLANK('0₦'!AA338:AC338))),'0₦'!AA$2:AC$2) + BF338</f>
        <v/>
      </c>
      <c r="BF338" s="79" t="n"/>
      <c r="BG338" s="79">
        <f t="array" ref="BG338">SUMPRODUCT(--(NOT(ISBLANK('0₦'!U338:Z338))), '0₦'!U$2:Z$2)</f>
        <v/>
      </c>
      <c r="BH338" s="79" t="n"/>
      <c r="BI338" s="79">
        <f>SUM(BG338:BH338)</f>
        <v/>
      </c>
      <c r="BJ338" s="79" t="n"/>
      <c r="BK338" s="79" t="n"/>
      <c r="BL338" s="79" t="n"/>
      <c r="BM338" s="79" t="n"/>
      <c r="BN338" s="79" t="n"/>
      <c r="BO338" s="79" t="n"/>
      <c r="BP338" s="79" t="n"/>
      <c r="BQ338" s="79" t="n"/>
      <c r="BR338" s="79" t="n"/>
      <c r="BS338" s="79" t="n"/>
      <c r="BT338" s="79" t="n"/>
      <c r="BU338" s="79" t="n"/>
      <c r="BV338" s="79" t="n"/>
      <c r="BW338" s="79" t="n"/>
      <c r="BX338" s="79" t="n"/>
      <c r="BY338" s="79" t="n"/>
      <c r="BZ338" s="79" t="n"/>
      <c r="CA338" s="79" t="n"/>
    </row>
    <row r="339" hidden="1" ht="17.1" customHeight="1" s="37">
      <c r="A339" s="551" t="n"/>
      <c r="B339" s="150" t="inlineStr">
        <is>
          <t>F</t>
        </is>
      </c>
      <c r="C339" s="550">
        <f>C338+1</f>
        <v/>
      </c>
      <c r="G339" s="216" t="n"/>
      <c r="H339" s="57" t="n"/>
      <c r="O339" s="216" t="n"/>
      <c r="X339" s="20" t="n"/>
      <c r="AF339" s="450" t="n"/>
      <c r="AN339" s="45" t="n"/>
      <c r="AP339" s="45" t="n"/>
      <c r="AQ339" s="12" t="n"/>
      <c r="AR339" s="216" t="n">
        <v>40</v>
      </c>
      <c r="AS339" s="216" t="n"/>
      <c r="AT339" s="216" t="n"/>
      <c r="AU339" s="216">
        <f>N339+O339 + 0</f>
        <v/>
      </c>
      <c r="AW339" s="2">
        <f>SUM(AH339:AI339,AJ339/2,AK339:AL339)</f>
        <v/>
      </c>
      <c r="AX339" s="2">
        <f>AM339*0.5+SUM(AN339:AP339)</f>
        <v/>
      </c>
      <c r="AY339" s="39">
        <f>SUM(-AR339+AS339*0.01+AT339*0.5+AU339)</f>
        <v/>
      </c>
      <c r="AZ339" s="39">
        <f>'0分'!AF336</f>
        <v/>
      </c>
      <c r="BA339" s="39">
        <f>SUM(AY339,AX339,AW339)</f>
        <v/>
      </c>
      <c r="BB339" s="250" t="n"/>
      <c r="BC339" s="79">
        <f t="array" ref="BC339">SUMPRODUCT(--(NOT(ISBLANK('0₦'!D339:M339))), '0₦'!D$2:M$2) +  SUMPRODUCT(--(NOT(ISBLANK('0₦'!Q339:T339))), '0₦'!Q$2:T$2)</f>
        <v/>
      </c>
      <c r="BD339" s="250">
        <f t="array" ref="BD339">SUMPRODUCT(--(NOT(ISBLANK('0₦'!N339:P339))),'0₦'!N$2:P$2)+'0₦'!AY339</f>
        <v/>
      </c>
      <c r="BE339" s="79">
        <f t="array" ref="BE339">SUMPRODUCT(--(NOT(ISBLANK('0₦'!AA339:AC339))),'0₦'!AA$2:AC$2) + BF339</f>
        <v/>
      </c>
      <c r="BF339" s="79" t="n"/>
      <c r="BG339" s="79">
        <f t="array" ref="BG339">SUMPRODUCT(--(NOT(ISBLANK('0₦'!U339:Z339))), '0₦'!U$2:Z$2)</f>
        <v/>
      </c>
      <c r="BH339" s="79" t="n"/>
      <c r="BI339" s="79">
        <f>SUM(BG339:BH339)</f>
        <v/>
      </c>
      <c r="BJ339" s="79" t="n"/>
      <c r="BK339" s="79" t="n"/>
      <c r="BL339" s="79" t="n"/>
      <c r="BM339" s="79" t="n"/>
      <c r="BN339" s="79" t="n"/>
      <c r="BO339" s="79" t="n"/>
      <c r="BP339" s="79" t="n"/>
      <c r="BQ339" s="79" t="n"/>
      <c r="BR339" s="79" t="n"/>
      <c r="BS339" s="79" t="n"/>
      <c r="BT339" s="79" t="n"/>
      <c r="BU339" s="79" t="n"/>
      <c r="BV339" s="79" t="n"/>
      <c r="BW339" s="79" t="n"/>
      <c r="BX339" s="79" t="n"/>
      <c r="BY339" s="79" t="n"/>
      <c r="BZ339" s="79" t="n"/>
      <c r="CA339" s="79" t="n"/>
    </row>
    <row r="340" hidden="1" ht="17.1" customHeight="1" s="37">
      <c r="A340" s="552" t="n"/>
      <c r="B340" s="150" t="inlineStr">
        <is>
          <t>S</t>
        </is>
      </c>
      <c r="C340" s="550">
        <f>C339+1</f>
        <v/>
      </c>
      <c r="G340" s="216" t="n"/>
      <c r="H340" s="57" t="n"/>
      <c r="O340" s="216" t="n"/>
      <c r="X340" s="20" t="n"/>
      <c r="AF340" s="450" t="n"/>
      <c r="AN340" s="45" t="n"/>
      <c r="AP340" s="45" t="n"/>
      <c r="AQ340" s="12" t="n"/>
      <c r="AR340" s="216" t="n">
        <v>40</v>
      </c>
      <c r="AS340" s="216" t="n"/>
      <c r="AT340" s="216" t="n"/>
      <c r="AU340" s="216">
        <f>N340+O340 + 0</f>
        <v/>
      </c>
      <c r="AW340" s="2">
        <f>SUM(AH340:AI340,AJ340/2,AK340:AL340)</f>
        <v/>
      </c>
      <c r="AX340" s="2">
        <f>AM340*0.5+SUM(AN340:AP340)</f>
        <v/>
      </c>
      <c r="AY340" s="39">
        <f>SUM(-AR340+AS340*0.01+AT340*0.5+AU340)</f>
        <v/>
      </c>
      <c r="AZ340" s="39">
        <f>'0分'!AF337</f>
        <v/>
      </c>
      <c r="BA340" s="39">
        <f>SUM(AY340,AX340,AW340)</f>
        <v/>
      </c>
      <c r="BB340" s="250" t="n"/>
      <c r="BC340" s="79">
        <f t="array" ref="BC340">SUMPRODUCT(--(NOT(ISBLANK('0₦'!D340:M340))), '0₦'!D$2:M$2) +  SUMPRODUCT(--(NOT(ISBLANK('0₦'!Q340:T340))), '0₦'!Q$2:T$2)</f>
        <v/>
      </c>
      <c r="BD340" s="250">
        <f t="array" ref="BD340">SUMPRODUCT(--(NOT(ISBLANK('0₦'!N340:P340))),'0₦'!N$2:P$2)+'0₦'!AY340</f>
        <v/>
      </c>
      <c r="BE340" s="79">
        <f t="array" ref="BE340">SUMPRODUCT(--(NOT(ISBLANK('0₦'!AA340:AC340))),'0₦'!AA$2:AC$2) + BF340</f>
        <v/>
      </c>
      <c r="BF340" s="79" t="n"/>
      <c r="BG340" s="79">
        <f t="array" ref="BG340">SUMPRODUCT(--(NOT(ISBLANK('0₦'!U340:Z340))), '0₦'!U$2:Z$2)</f>
        <v/>
      </c>
      <c r="BH340" s="79" t="n"/>
      <c r="BI340" s="79">
        <f>SUM(BG340:BH340)</f>
        <v/>
      </c>
      <c r="BJ340" s="79" t="n"/>
      <c r="BK340" s="79" t="n"/>
      <c r="BL340" s="79" t="n"/>
      <c r="BM340" s="79" t="n"/>
      <c r="BN340" s="79" t="n"/>
      <c r="BO340" s="79" t="n"/>
      <c r="BP340" s="79" t="n"/>
      <c r="BQ340" s="79" t="n"/>
      <c r="BR340" s="79" t="n"/>
      <c r="BS340" s="79" t="n"/>
      <c r="BT340" s="79" t="n"/>
      <c r="BU340" s="79" t="n"/>
      <c r="BV340" s="79" t="n"/>
      <c r="BW340" s="79" t="n"/>
      <c r="BX340" s="79" t="n"/>
      <c r="BY340" s="79" t="n"/>
      <c r="BZ340" s="79" t="n"/>
      <c r="CA340" s="79" t="n"/>
    </row>
    <row r="341" hidden="1" ht="17.1" customHeight="1" s="37">
      <c r="A341" s="462">
        <f>A334+0.1</f>
        <v/>
      </c>
      <c r="B341" s="150" t="inlineStr">
        <is>
          <t>S</t>
        </is>
      </c>
      <c r="C341" s="550">
        <f>C340+1</f>
        <v/>
      </c>
      <c r="G341" s="216" t="n"/>
      <c r="H341" s="57" t="n"/>
      <c r="O341" s="216" t="n"/>
      <c r="X341" s="20" t="n"/>
      <c r="AF341" s="450" t="n"/>
      <c r="AN341" s="45" t="n"/>
      <c r="AP341" s="45" t="n"/>
      <c r="AQ341" s="12" t="n"/>
      <c r="AR341" s="216" t="n">
        <v>40</v>
      </c>
      <c r="AS341" s="216" t="n"/>
      <c r="AT341" s="216" t="n"/>
      <c r="AU341" s="216">
        <f>N341+O341 + 0</f>
        <v/>
      </c>
      <c r="AW341" s="2">
        <f>SUM(AH341:AI341,AJ341/2,AK341:AL341)</f>
        <v/>
      </c>
      <c r="AX341" s="2">
        <f>AM341*0.5+SUM(AN341:AP341)</f>
        <v/>
      </c>
      <c r="AY341" s="39">
        <f>SUM(-AR341+AS341*0.01+AT341*0.5+AU341)</f>
        <v/>
      </c>
      <c r="AZ341" s="39">
        <f>'0分'!AF338</f>
        <v/>
      </c>
      <c r="BA341" s="39">
        <f>SUM(AY341,AX341,AW341)</f>
        <v/>
      </c>
      <c r="BB341" s="250" t="n"/>
      <c r="BC341" s="79">
        <f t="array" ref="BC341">SUMPRODUCT(--(NOT(ISBLANK('0₦'!D341:M341))), '0₦'!D$2:M$2) +  SUMPRODUCT(--(NOT(ISBLANK('0₦'!Q341:T341))), '0₦'!Q$2:T$2)</f>
        <v/>
      </c>
      <c r="BD341" s="250">
        <f t="array" ref="BD341">SUMPRODUCT(--(NOT(ISBLANK('0₦'!N341:P341))),'0₦'!N$2:P$2)+'0₦'!AY341</f>
        <v/>
      </c>
      <c r="BE341" s="79">
        <f t="array" ref="BE341">SUMPRODUCT(--(NOT(ISBLANK('0₦'!AA341:AC341))),'0₦'!AA$2:AC$2) + BF341</f>
        <v/>
      </c>
      <c r="BF341" s="79" t="n"/>
      <c r="BG341" s="79">
        <f t="array" ref="BG341">SUMPRODUCT(--(NOT(ISBLANK('0₦'!U341:Z341))), '0₦'!U$2:Z$2)</f>
        <v/>
      </c>
      <c r="BH341" s="79" t="n"/>
      <c r="BI341" s="79">
        <f>SUM(BG341:BH341)</f>
        <v/>
      </c>
      <c r="BJ341" s="79" t="n"/>
      <c r="BK341" s="79" t="n"/>
      <c r="BL341" s="79" t="n"/>
      <c r="BM341" s="79" t="n"/>
      <c r="BN341" s="79" t="n"/>
      <c r="BO341" s="79" t="n"/>
      <c r="BP341" s="79" t="n"/>
      <c r="BQ341" s="79" t="n"/>
      <c r="BR341" s="79" t="n"/>
      <c r="BS341" s="79" t="n"/>
      <c r="BT341" s="79" t="n"/>
      <c r="BU341" s="79" t="n"/>
      <c r="BV341" s="79" t="n"/>
      <c r="BW341" s="79" t="n"/>
      <c r="BX341" s="79" t="n"/>
      <c r="BY341" s="79" t="n"/>
      <c r="BZ341" s="79" t="n"/>
      <c r="CA341" s="79" t="n"/>
    </row>
    <row r="342" hidden="1" ht="18.95" customHeight="1" s="37">
      <c r="A342" s="551" t="n"/>
      <c r="B342" s="150" t="inlineStr">
        <is>
          <t>M</t>
        </is>
      </c>
      <c r="C342" s="550">
        <f>C341+1</f>
        <v/>
      </c>
      <c r="G342" s="216" t="n"/>
      <c r="H342" s="57" t="n"/>
      <c r="O342" s="216" t="n"/>
      <c r="X342" s="20" t="n"/>
      <c r="AF342" s="450" t="n"/>
      <c r="AN342" s="45" t="n"/>
      <c r="AP342" s="45" t="n"/>
      <c r="AQ342" s="12" t="n"/>
      <c r="AR342" s="216" t="n">
        <v>40</v>
      </c>
      <c r="AS342" s="216" t="n"/>
      <c r="AT342" s="216" t="n"/>
      <c r="AU342" s="216">
        <f>N342+O342 + 0</f>
        <v/>
      </c>
      <c r="AW342" s="2">
        <f>SUM(AH342:AI342,AJ342/2,AK342:AL342)</f>
        <v/>
      </c>
      <c r="AX342" s="2">
        <f>AM342*0.5+SUM(AN342:AP342)</f>
        <v/>
      </c>
      <c r="AY342" s="39">
        <f>SUM(-AR342+AS342*0.01+AT342*0.5+AU342)</f>
        <v/>
      </c>
      <c r="AZ342" s="39">
        <f>'0分'!AF339</f>
        <v/>
      </c>
      <c r="BA342" s="39">
        <f>SUM(AY342,AX342,AW342)</f>
        <v/>
      </c>
      <c r="BB342" s="250" t="n"/>
      <c r="BC342" s="79">
        <f t="array" ref="BC342">SUMPRODUCT(--(NOT(ISBLANK('0₦'!D342:M342))), '0₦'!D$2:M$2) +  SUMPRODUCT(--(NOT(ISBLANK('0₦'!Q342:T342))), '0₦'!Q$2:T$2)</f>
        <v/>
      </c>
      <c r="BD342" s="250">
        <f t="array" ref="BD342">SUMPRODUCT(--(NOT(ISBLANK('0₦'!N342:P342))),'0₦'!N$2:P$2)+'0₦'!AY342</f>
        <v/>
      </c>
      <c r="BE342" s="79">
        <f t="array" ref="BE342">SUMPRODUCT(--(NOT(ISBLANK('0₦'!AA342:AC342))),'0₦'!AA$2:AC$2) + BF342</f>
        <v/>
      </c>
      <c r="BF342" s="79" t="n"/>
      <c r="BG342" s="79">
        <f t="array" ref="BG342">SUMPRODUCT(--(NOT(ISBLANK('0₦'!U342:Z342))), '0₦'!U$2:Z$2)</f>
        <v/>
      </c>
      <c r="BH342" s="79" t="n"/>
      <c r="BI342" s="79">
        <f>SUM(BG342:BH342)</f>
        <v/>
      </c>
      <c r="BJ342" s="79" t="n"/>
      <c r="BK342" s="79" t="n"/>
      <c r="BL342" s="79" t="n"/>
      <c r="BM342" s="79" t="n"/>
      <c r="BN342" s="79" t="n"/>
      <c r="BO342" s="79" t="n"/>
      <c r="BP342" s="79" t="n"/>
      <c r="BQ342" s="79" t="n"/>
      <c r="BR342" s="79" t="n"/>
      <c r="BS342" s="79" t="n"/>
      <c r="BT342" s="79" t="n"/>
      <c r="BU342" s="79" t="n"/>
      <c r="BV342" s="79" t="n"/>
      <c r="BW342" s="79" t="n"/>
      <c r="BX342" s="79" t="n"/>
      <c r="BY342" s="79" t="n"/>
      <c r="BZ342" s="79" t="n"/>
      <c r="CA342" s="79" t="n"/>
    </row>
    <row r="343" hidden="1" ht="17.1" customHeight="1" s="37">
      <c r="A343" s="551" t="n"/>
      <c r="B343" s="150" t="inlineStr">
        <is>
          <t>T</t>
        </is>
      </c>
      <c r="C343" s="550">
        <f>C342+1</f>
        <v/>
      </c>
      <c r="G343" s="216" t="n"/>
      <c r="H343" s="57" t="n"/>
      <c r="O343" s="216" t="n"/>
      <c r="X343" s="20" t="n"/>
      <c r="AF343" s="450" t="n"/>
      <c r="AN343" s="45" t="n"/>
      <c r="AP343" s="45" t="n"/>
      <c r="AQ343" s="12" t="n"/>
      <c r="AR343" s="216" t="n">
        <v>40</v>
      </c>
      <c r="AS343" s="216" t="n"/>
      <c r="AT343" s="216" t="n"/>
      <c r="AU343" s="216">
        <f>N343+O343 + 0</f>
        <v/>
      </c>
      <c r="AW343" s="2">
        <f>SUM(AH343:AI343,AJ343/2,AK343:AL343)</f>
        <v/>
      </c>
      <c r="AX343" s="2">
        <f>AM343*0.5+SUM(AN343:AP343)</f>
        <v/>
      </c>
      <c r="AY343" s="39">
        <f>SUM(-AR343+AS343*0.01+AT343*0.5+AU343)</f>
        <v/>
      </c>
      <c r="AZ343" s="39">
        <f>'0分'!AF340</f>
        <v/>
      </c>
      <c r="BA343" s="39">
        <f>SUM(AY343,AX343,AW343)</f>
        <v/>
      </c>
      <c r="BB343" s="250" t="n"/>
      <c r="BC343" s="79">
        <f t="array" ref="BC343">SUMPRODUCT(--(NOT(ISBLANK('0₦'!D343:M343))), '0₦'!D$2:M$2) +  SUMPRODUCT(--(NOT(ISBLANK('0₦'!Q343:T343))), '0₦'!Q$2:T$2)</f>
        <v/>
      </c>
      <c r="BD343" s="250">
        <f t="array" ref="BD343">SUMPRODUCT(--(NOT(ISBLANK('0₦'!N343:P343))),'0₦'!N$2:P$2)+'0₦'!AY343</f>
        <v/>
      </c>
      <c r="BE343" s="79">
        <f t="array" ref="BE343">SUMPRODUCT(--(NOT(ISBLANK('0₦'!AA343:AC343))),'0₦'!AA$2:AC$2) + BF343</f>
        <v/>
      </c>
      <c r="BF343" s="79" t="n"/>
      <c r="BG343" s="79">
        <f t="array" ref="BG343">SUMPRODUCT(--(NOT(ISBLANK('0₦'!U343:Z343))), '0₦'!U$2:Z$2)</f>
        <v/>
      </c>
      <c r="BH343" s="79" t="n"/>
      <c r="BI343" s="79">
        <f>SUM(BG343:BH343)</f>
        <v/>
      </c>
      <c r="BJ343" s="79" t="n"/>
      <c r="BK343" s="79" t="n"/>
      <c r="BL343" s="79" t="n"/>
      <c r="BM343" s="79" t="n"/>
      <c r="BN343" s="79" t="n"/>
      <c r="BO343" s="79" t="n"/>
      <c r="BP343" s="79" t="n"/>
      <c r="BQ343" s="79" t="n"/>
      <c r="BR343" s="79" t="n"/>
      <c r="BS343" s="79" t="n"/>
      <c r="BT343" s="79" t="n"/>
      <c r="BU343" s="79" t="n"/>
      <c r="BV343" s="79" t="n"/>
      <c r="BW343" s="79" t="n"/>
      <c r="BX343" s="79" t="n"/>
      <c r="BY343" s="79" t="n"/>
      <c r="BZ343" s="79" t="n"/>
      <c r="CA343" s="79" t="n"/>
    </row>
    <row r="344" hidden="1" ht="17.1" customHeight="1" s="37">
      <c r="A344" s="551" t="n"/>
      <c r="B344" s="150" t="inlineStr">
        <is>
          <t>W</t>
        </is>
      </c>
      <c r="C344" s="550">
        <f>C343+1</f>
        <v/>
      </c>
      <c r="G344" s="216" t="n"/>
      <c r="H344" s="57" t="n"/>
      <c r="O344" s="216" t="n"/>
      <c r="X344" s="20" t="n"/>
      <c r="AF344" s="450" t="n"/>
      <c r="AN344" s="45" t="n"/>
      <c r="AP344" s="45" t="n"/>
      <c r="AQ344" s="12" t="n"/>
      <c r="AR344" s="216" t="n">
        <v>40</v>
      </c>
      <c r="AS344" s="216" t="n"/>
      <c r="AT344" s="216" t="n"/>
      <c r="AU344" s="216">
        <f>N344+O344 + 0</f>
        <v/>
      </c>
      <c r="AW344" s="2">
        <f>SUM(AH344:AI344,AJ344/2,AK344:AL344)</f>
        <v/>
      </c>
      <c r="AX344" s="2">
        <f>AM344*0.5+SUM(AN344:AP344)</f>
        <v/>
      </c>
      <c r="AY344" s="39">
        <f>SUM(-AR344+AS344*0.01+AT344*0.5+AU344)</f>
        <v/>
      </c>
      <c r="AZ344" s="39">
        <f>'0分'!AF341</f>
        <v/>
      </c>
      <c r="BA344" s="39">
        <f>SUM(AY344,AX344,AW344)</f>
        <v/>
      </c>
      <c r="BB344" s="250" t="n"/>
      <c r="BC344" s="79">
        <f t="array" ref="BC344">SUMPRODUCT(--(NOT(ISBLANK('0₦'!D344:M344))), '0₦'!D$2:M$2) +  SUMPRODUCT(--(NOT(ISBLANK('0₦'!Q344:T344))), '0₦'!Q$2:T$2)</f>
        <v/>
      </c>
      <c r="BD344" s="250">
        <f t="array" ref="BD344">SUMPRODUCT(--(NOT(ISBLANK('0₦'!N344:P344))),'0₦'!N$2:P$2)+'0₦'!AY344</f>
        <v/>
      </c>
      <c r="BE344" s="79">
        <f t="array" ref="BE344">SUMPRODUCT(--(NOT(ISBLANK('0₦'!AA344:AC344))),'0₦'!AA$2:AC$2) + BF344</f>
        <v/>
      </c>
      <c r="BF344" s="79" t="n"/>
      <c r="BG344" s="79">
        <f t="array" ref="BG344">SUMPRODUCT(--(NOT(ISBLANK('0₦'!U344:Z344))), '0₦'!U$2:Z$2)</f>
        <v/>
      </c>
      <c r="BH344" s="79" t="n"/>
      <c r="BI344" s="79">
        <f>SUM(BG344:BH344)</f>
        <v/>
      </c>
      <c r="BJ344" s="79" t="n"/>
      <c r="BK344" s="79" t="n"/>
      <c r="BL344" s="79" t="n"/>
      <c r="BM344" s="79" t="n"/>
      <c r="BN344" s="79" t="n"/>
      <c r="BO344" s="79" t="n"/>
      <c r="BP344" s="79" t="n"/>
      <c r="BQ344" s="79" t="n"/>
      <c r="BR344" s="79" t="n"/>
      <c r="BS344" s="79" t="n"/>
      <c r="BT344" s="79" t="n"/>
      <c r="BU344" s="79" t="n"/>
      <c r="BV344" s="79" t="n"/>
      <c r="BW344" s="79" t="n"/>
      <c r="BX344" s="79" t="n"/>
      <c r="BY344" s="79" t="n"/>
      <c r="BZ344" s="79" t="n"/>
      <c r="CA344" s="79" t="n"/>
    </row>
    <row r="345" hidden="1" ht="17.1" customHeight="1" s="37">
      <c r="A345" s="551" t="n"/>
      <c r="B345" s="150" t="inlineStr">
        <is>
          <t>Th</t>
        </is>
      </c>
      <c r="C345" s="550">
        <f>C344+1</f>
        <v/>
      </c>
      <c r="G345" s="216" t="n"/>
      <c r="H345" s="57" t="n"/>
      <c r="O345" s="216" t="n"/>
      <c r="X345" s="20" t="n"/>
      <c r="AF345" s="450" t="n"/>
      <c r="AN345" s="45" t="n"/>
      <c r="AP345" s="45" t="n"/>
      <c r="AQ345" s="12" t="n"/>
      <c r="AR345" s="216" t="n">
        <v>40</v>
      </c>
      <c r="AS345" s="216" t="n"/>
      <c r="AT345" s="216" t="n"/>
      <c r="AU345" s="216">
        <f>N345+O345 + 0</f>
        <v/>
      </c>
      <c r="AW345" s="2">
        <f>SUM(AH345:AI345,AJ345/2,AK345:AL345)</f>
        <v/>
      </c>
      <c r="AX345" s="2">
        <f>AM345*0.5+SUM(AN345:AP345)</f>
        <v/>
      </c>
      <c r="AY345" s="39">
        <f>SUM(-AR345+AS345*0.01+AT345*0.5+AU345)</f>
        <v/>
      </c>
      <c r="AZ345" s="39">
        <f>'0分'!AF342</f>
        <v/>
      </c>
      <c r="BA345" s="39">
        <f>SUM(AY345,AX345,AW345)</f>
        <v/>
      </c>
      <c r="BB345" s="250" t="n"/>
      <c r="BC345" s="79">
        <f t="array" ref="BC345">SUMPRODUCT(--(NOT(ISBLANK('0₦'!D345:M345))), '0₦'!D$2:M$2) +  SUMPRODUCT(--(NOT(ISBLANK('0₦'!Q345:T345))), '0₦'!Q$2:T$2)</f>
        <v/>
      </c>
      <c r="BD345" s="250">
        <f t="array" ref="BD345">SUMPRODUCT(--(NOT(ISBLANK('0₦'!N345:P345))),'0₦'!N$2:P$2)+'0₦'!AY345</f>
        <v/>
      </c>
      <c r="BE345" s="79">
        <f t="array" ref="BE345">SUMPRODUCT(--(NOT(ISBLANK('0₦'!AA345:AC345))),'0₦'!AA$2:AC$2) + BF345</f>
        <v/>
      </c>
      <c r="BF345" s="79" t="n"/>
      <c r="BG345" s="79">
        <f t="array" ref="BG345">SUMPRODUCT(--(NOT(ISBLANK('0₦'!U345:Z345))), '0₦'!U$2:Z$2)</f>
        <v/>
      </c>
      <c r="BH345" s="79" t="n"/>
      <c r="BI345" s="79">
        <f>SUM(BG345:BH345)</f>
        <v/>
      </c>
      <c r="BJ345" s="79" t="n"/>
      <c r="BK345" s="79" t="n"/>
      <c r="BL345" s="79" t="n"/>
      <c r="BM345" s="79" t="n"/>
      <c r="BN345" s="79" t="n"/>
      <c r="BO345" s="79" t="n"/>
      <c r="BP345" s="79" t="n"/>
      <c r="BQ345" s="79" t="n"/>
      <c r="BR345" s="79" t="n"/>
      <c r="BS345" s="79" t="n"/>
      <c r="BT345" s="79" t="n"/>
      <c r="BU345" s="79" t="n"/>
      <c r="BV345" s="79" t="n"/>
      <c r="BW345" s="79" t="n"/>
      <c r="BX345" s="79" t="n"/>
      <c r="BY345" s="79" t="n"/>
      <c r="BZ345" s="79" t="n"/>
      <c r="CA345" s="79" t="n"/>
    </row>
    <row r="346" hidden="1" ht="17.1" customHeight="1" s="37">
      <c r="A346" s="551" t="n"/>
      <c r="B346" s="150" t="inlineStr">
        <is>
          <t>F</t>
        </is>
      </c>
      <c r="C346" s="550">
        <f>C345+1</f>
        <v/>
      </c>
      <c r="G346" s="216" t="n"/>
      <c r="H346" s="57" t="n"/>
      <c r="O346" s="216" t="n"/>
      <c r="X346" s="20" t="n"/>
      <c r="AF346" s="450" t="n"/>
      <c r="AN346" s="45" t="n"/>
      <c r="AP346" s="45" t="n"/>
      <c r="AQ346" s="12" t="n"/>
      <c r="AR346" s="216" t="n">
        <v>40</v>
      </c>
      <c r="AS346" s="216" t="n"/>
      <c r="AT346" s="216" t="n"/>
      <c r="AU346" s="216">
        <f>N346+O346 + 0</f>
        <v/>
      </c>
      <c r="AW346" s="2">
        <f>SUM(AH346:AI346,AJ346/2,AK346:AL346)</f>
        <v/>
      </c>
      <c r="AX346" s="2">
        <f>AM346*0.5+SUM(AN346:AP346)</f>
        <v/>
      </c>
      <c r="AY346" s="39">
        <f>SUM(-AR346+AS346*0.01+AT346*0.5+AU346)</f>
        <v/>
      </c>
      <c r="AZ346" s="39">
        <f>'0分'!AF343</f>
        <v/>
      </c>
      <c r="BA346" s="39">
        <f>SUM(AY346,AX346,AW346)</f>
        <v/>
      </c>
      <c r="BB346" s="250" t="n"/>
      <c r="BC346" s="79">
        <f t="array" ref="BC346">SUMPRODUCT(--(NOT(ISBLANK('0₦'!D346:M346))), '0₦'!D$2:M$2) +  SUMPRODUCT(--(NOT(ISBLANK('0₦'!Q346:T346))), '0₦'!Q$2:T$2)</f>
        <v/>
      </c>
      <c r="BD346" s="250">
        <f t="array" ref="BD346">SUMPRODUCT(--(NOT(ISBLANK('0₦'!N346:P346))),'0₦'!N$2:P$2)+'0₦'!AY346</f>
        <v/>
      </c>
      <c r="BE346" s="79">
        <f t="array" ref="BE346">SUMPRODUCT(--(NOT(ISBLANK('0₦'!AA346:AC346))),'0₦'!AA$2:AC$2) + BF346</f>
        <v/>
      </c>
      <c r="BF346" s="79" t="n"/>
      <c r="BG346" s="79">
        <f t="array" ref="BG346">SUMPRODUCT(--(NOT(ISBLANK('0₦'!U346:Z346))), '0₦'!U$2:Z$2)</f>
        <v/>
      </c>
      <c r="BH346" s="79" t="n"/>
      <c r="BI346" s="79">
        <f>SUM(BG346:BH346)</f>
        <v/>
      </c>
      <c r="BJ346" s="79" t="n"/>
      <c r="BK346" s="79" t="n"/>
      <c r="BL346" s="79" t="n"/>
      <c r="BM346" s="79" t="n"/>
      <c r="BN346" s="79" t="n"/>
      <c r="BO346" s="79" t="n"/>
      <c r="BP346" s="79" t="n"/>
      <c r="BQ346" s="79" t="n"/>
      <c r="BR346" s="79" t="n"/>
      <c r="BS346" s="79" t="n"/>
      <c r="BT346" s="79" t="n"/>
      <c r="BU346" s="79" t="n"/>
      <c r="BV346" s="79" t="n"/>
      <c r="BW346" s="79" t="n"/>
      <c r="BX346" s="79" t="n"/>
      <c r="BY346" s="79" t="n"/>
      <c r="BZ346" s="79" t="n"/>
      <c r="CA346" s="79" t="n"/>
    </row>
    <row r="347" hidden="1" ht="17.1" customHeight="1" s="37">
      <c r="A347" s="552" t="n"/>
      <c r="B347" s="150" t="inlineStr">
        <is>
          <t>S</t>
        </is>
      </c>
      <c r="C347" s="550">
        <f>C346+1</f>
        <v/>
      </c>
      <c r="G347" s="216" t="n"/>
      <c r="H347" s="57" t="n"/>
      <c r="O347" s="216" t="n"/>
      <c r="X347" s="20" t="n"/>
      <c r="AF347" s="450" t="n"/>
      <c r="AN347" s="45" t="n"/>
      <c r="AP347" s="45" t="n"/>
      <c r="AQ347" s="12" t="n"/>
      <c r="AR347" s="216" t="n">
        <v>40</v>
      </c>
      <c r="AS347" s="216" t="n"/>
      <c r="AT347" s="216" t="n"/>
      <c r="AU347" s="216">
        <f>N347+O347 + 0</f>
        <v/>
      </c>
      <c r="AW347" s="2">
        <f>SUM(AH347:AI347,AJ347/2,AK347:AL347)</f>
        <v/>
      </c>
      <c r="AX347" s="2">
        <f>AM347*0.5+SUM(AN347:AP347)</f>
        <v/>
      </c>
      <c r="AY347" s="39">
        <f>SUM(-AR347+AS347*0.01+AT347*0.5+AU347)</f>
        <v/>
      </c>
      <c r="AZ347" s="39">
        <f>'0分'!AF344</f>
        <v/>
      </c>
      <c r="BA347" s="39">
        <f>SUM(AY347,AX347,AW347)</f>
        <v/>
      </c>
      <c r="BB347" s="250" t="n"/>
      <c r="BC347" s="79">
        <f t="array" ref="BC347">SUMPRODUCT(--(NOT(ISBLANK('0₦'!D347:M347))), '0₦'!D$2:M$2) +  SUMPRODUCT(--(NOT(ISBLANK('0₦'!Q347:T347))), '0₦'!Q$2:T$2)</f>
        <v/>
      </c>
      <c r="BD347" s="250">
        <f t="array" ref="BD347">SUMPRODUCT(--(NOT(ISBLANK('0₦'!N347:P347))),'0₦'!N$2:P$2)+'0₦'!AY347</f>
        <v/>
      </c>
      <c r="BE347" s="79">
        <f t="array" ref="BE347">SUMPRODUCT(--(NOT(ISBLANK('0₦'!AA347:AC347))),'0₦'!AA$2:AC$2) + BF347</f>
        <v/>
      </c>
      <c r="BF347" s="79" t="n"/>
      <c r="BG347" s="79">
        <f t="array" ref="BG347">SUMPRODUCT(--(NOT(ISBLANK('0₦'!U347:Z347))), '0₦'!U$2:Z$2)</f>
        <v/>
      </c>
      <c r="BH347" s="79" t="n"/>
      <c r="BI347" s="79">
        <f>SUM(BG347:BH347)</f>
        <v/>
      </c>
      <c r="BJ347" s="79" t="n"/>
      <c r="BK347" s="79" t="n"/>
      <c r="BL347" s="79" t="n"/>
      <c r="BM347" s="79" t="n"/>
      <c r="BN347" s="79" t="n"/>
      <c r="BO347" s="79" t="n"/>
      <c r="BP347" s="79" t="n"/>
      <c r="BQ347" s="79" t="n"/>
      <c r="BR347" s="79" t="n"/>
      <c r="BS347" s="79" t="n"/>
      <c r="BT347" s="79" t="n"/>
      <c r="BU347" s="79" t="n"/>
      <c r="BV347" s="79" t="n"/>
      <c r="BW347" s="79" t="n"/>
      <c r="BX347" s="79" t="n"/>
      <c r="BY347" s="79" t="n"/>
      <c r="BZ347" s="79" t="n"/>
      <c r="CA347" s="79" t="n"/>
    </row>
    <row r="348" hidden="1" ht="18" customHeight="1" s="37">
      <c r="A348" s="462">
        <f>A341+0.1</f>
        <v/>
      </c>
      <c r="B348" s="150" t="inlineStr">
        <is>
          <t>S</t>
        </is>
      </c>
      <c r="C348" s="550">
        <f>C347+1</f>
        <v/>
      </c>
      <c r="G348" s="216" t="n"/>
      <c r="H348" s="57" t="n"/>
      <c r="O348" s="216" t="n"/>
      <c r="X348" s="20" t="n"/>
      <c r="AF348" s="450" t="n"/>
      <c r="AN348" s="45" t="n"/>
      <c r="AP348" s="45" t="n"/>
      <c r="AQ348" s="12" t="n"/>
      <c r="AR348" s="216" t="n">
        <v>40</v>
      </c>
      <c r="AS348" s="216" t="n"/>
      <c r="AT348" s="216" t="n"/>
      <c r="AU348" s="216">
        <f>N348+O348 + 0</f>
        <v/>
      </c>
      <c r="AW348" s="2">
        <f>SUM(AH348:AI348,AJ348/2,AK348:AL348)</f>
        <v/>
      </c>
      <c r="AX348" s="2">
        <f>AM348*0.5+SUM(AN348:AP348)</f>
        <v/>
      </c>
      <c r="AY348" s="39">
        <f>SUM(-AR348+AS348*0.01+AT348*0.5+AU348)</f>
        <v/>
      </c>
      <c r="AZ348" s="39">
        <f>'0分'!AF345</f>
        <v/>
      </c>
      <c r="BA348" s="39">
        <f>SUM(AY348,AX348,AW348)</f>
        <v/>
      </c>
      <c r="BB348" s="250" t="n"/>
      <c r="BC348" s="79">
        <f t="array" ref="BC348">SUMPRODUCT(--(NOT(ISBLANK('0₦'!D348:M348))), '0₦'!D$2:M$2) +  SUMPRODUCT(--(NOT(ISBLANK('0₦'!Q348:T348))), '0₦'!Q$2:T$2)</f>
        <v/>
      </c>
      <c r="BD348" s="250">
        <f t="array" ref="BD348">SUMPRODUCT(--(NOT(ISBLANK('0₦'!N348:P348))),'0₦'!N$2:P$2)+'0₦'!AY348</f>
        <v/>
      </c>
      <c r="BE348" s="79">
        <f t="array" ref="BE348">SUMPRODUCT(--(NOT(ISBLANK('0₦'!AA348:AC348))),'0₦'!AA$2:AC$2) + BF348</f>
        <v/>
      </c>
      <c r="BF348" s="79" t="n"/>
      <c r="BG348" s="79">
        <f t="array" ref="BG348">SUMPRODUCT(--(NOT(ISBLANK('0₦'!U348:Z348))), '0₦'!U$2:Z$2)</f>
        <v/>
      </c>
      <c r="BH348" s="79" t="n"/>
      <c r="BI348" s="79">
        <f>SUM(BG348:BH348)</f>
        <v/>
      </c>
      <c r="BJ348" s="79" t="n"/>
      <c r="BK348" s="79" t="n"/>
      <c r="BL348" s="79" t="n"/>
      <c r="BM348" s="79" t="n"/>
      <c r="BN348" s="79" t="n"/>
      <c r="BO348" s="79" t="n"/>
      <c r="BP348" s="79" t="n"/>
      <c r="BQ348" s="79" t="n"/>
      <c r="BR348" s="79" t="n"/>
      <c r="BS348" s="79" t="n"/>
      <c r="BT348" s="79" t="n"/>
      <c r="BU348" s="79" t="n"/>
      <c r="BV348" s="79" t="n"/>
      <c r="BW348" s="79" t="n"/>
      <c r="BX348" s="79" t="n"/>
      <c r="BY348" s="79" t="n"/>
      <c r="BZ348" s="79" t="n"/>
      <c r="CA348" s="79" t="n"/>
    </row>
    <row r="349" hidden="1" ht="20.1" customHeight="1" s="37">
      <c r="A349" s="551" t="n"/>
      <c r="B349" s="150" t="inlineStr">
        <is>
          <t>M</t>
        </is>
      </c>
      <c r="C349" s="550">
        <f>C348+1</f>
        <v/>
      </c>
      <c r="G349" s="216" t="n"/>
      <c r="H349" s="57" t="n"/>
      <c r="O349" s="216" t="n"/>
      <c r="X349" s="20" t="n"/>
      <c r="AF349" s="450" t="n"/>
      <c r="AN349" s="45" t="n"/>
      <c r="AP349" s="45" t="n"/>
      <c r="AQ349" s="12" t="n"/>
      <c r="AR349" s="216" t="n">
        <v>40</v>
      </c>
      <c r="AS349" s="216" t="n"/>
      <c r="AT349" s="216" t="n"/>
      <c r="AU349" s="216">
        <f>N349+O349 + 0</f>
        <v/>
      </c>
      <c r="AW349" s="2">
        <f>SUM(AH349:AI349,AJ349/2,AK349:AL349)</f>
        <v/>
      </c>
      <c r="AX349" s="2">
        <f>AM349*0.5+SUM(AN349:AP349)</f>
        <v/>
      </c>
      <c r="AY349" s="39">
        <f>SUM(-AR349+AS349*0.01+AT349*0.5+AU349)</f>
        <v/>
      </c>
      <c r="AZ349" s="39">
        <f>'0分'!AF346</f>
        <v/>
      </c>
      <c r="BA349" s="39">
        <f>SUM(AY349,AX349,AW349)</f>
        <v/>
      </c>
      <c r="BB349" s="250" t="n"/>
      <c r="BC349" s="79">
        <f t="array" ref="BC349">SUMPRODUCT(--(NOT(ISBLANK('0₦'!D349:M349))), '0₦'!D$2:M$2) +  SUMPRODUCT(--(NOT(ISBLANK('0₦'!Q349:T349))), '0₦'!Q$2:T$2)</f>
        <v/>
      </c>
      <c r="BD349" s="250">
        <f t="array" ref="BD349">SUMPRODUCT(--(NOT(ISBLANK('0₦'!N349:P349))),'0₦'!N$2:P$2)+'0₦'!AY349</f>
        <v/>
      </c>
      <c r="BE349" s="79">
        <f t="array" ref="BE349">SUMPRODUCT(--(NOT(ISBLANK('0₦'!AA349:AC349))),'0₦'!AA$2:AC$2) + BF349</f>
        <v/>
      </c>
      <c r="BF349" s="79" t="n"/>
      <c r="BG349" s="79">
        <f t="array" ref="BG349">SUMPRODUCT(--(NOT(ISBLANK('0₦'!U349:Z349))), '0₦'!U$2:Z$2)</f>
        <v/>
      </c>
      <c r="BH349" s="79" t="n"/>
      <c r="BI349" s="79">
        <f>SUM(BG349:BH349)</f>
        <v/>
      </c>
      <c r="BJ349" s="79" t="n"/>
      <c r="BK349" s="79" t="n"/>
      <c r="BL349" s="79" t="n"/>
      <c r="BM349" s="79" t="n"/>
      <c r="BN349" s="79" t="n"/>
      <c r="BO349" s="79" t="n"/>
      <c r="BP349" s="79" t="n"/>
      <c r="BQ349" s="79" t="n"/>
      <c r="BR349" s="79" t="n"/>
      <c r="BS349" s="79" t="n"/>
      <c r="BT349" s="79" t="n"/>
      <c r="BU349" s="79" t="n"/>
      <c r="BV349" s="79" t="n"/>
      <c r="BW349" s="79" t="n"/>
      <c r="BX349" s="79" t="n"/>
      <c r="BY349" s="79" t="n"/>
      <c r="BZ349" s="79" t="n"/>
      <c r="CA349" s="79" t="n"/>
    </row>
    <row r="350" hidden="1" ht="17.1" customHeight="1" s="37">
      <c r="A350" s="551" t="n"/>
      <c r="B350" s="150" t="inlineStr">
        <is>
          <t>T</t>
        </is>
      </c>
      <c r="C350" s="550">
        <f>C349+1</f>
        <v/>
      </c>
      <c r="G350" s="216" t="n"/>
      <c r="H350" s="57" t="n"/>
      <c r="O350" s="216" t="n"/>
      <c r="X350" s="20" t="n"/>
      <c r="AF350" s="450" t="n"/>
      <c r="AN350" s="45" t="n"/>
      <c r="AP350" s="45" t="n"/>
      <c r="AQ350" s="12" t="n"/>
      <c r="AR350" s="216" t="n">
        <v>40</v>
      </c>
      <c r="AS350" s="216" t="n"/>
      <c r="AT350" s="216" t="n"/>
      <c r="AU350" s="216">
        <f>N350+O350 + 0</f>
        <v/>
      </c>
      <c r="AW350" s="2">
        <f>SUM(AH350:AI350,AJ350/2,AK350:AL350)</f>
        <v/>
      </c>
      <c r="AX350" s="2">
        <f>AM350*0.5+SUM(AN350:AP350)</f>
        <v/>
      </c>
      <c r="AY350" s="39">
        <f>SUM(-AR350+AS350*0.01+AT350*0.5+AU350)</f>
        <v/>
      </c>
      <c r="AZ350" s="39">
        <f>'0分'!AF347</f>
        <v/>
      </c>
      <c r="BA350" s="39">
        <f>SUM(AY350,AX350,AW350)</f>
        <v/>
      </c>
      <c r="BB350" s="250" t="n"/>
      <c r="BC350" s="79">
        <f t="array" ref="BC350">SUMPRODUCT(--(NOT(ISBLANK('0₦'!D350:M350))), '0₦'!D$2:M$2) +  SUMPRODUCT(--(NOT(ISBLANK('0₦'!Q350:T350))), '0₦'!Q$2:T$2)</f>
        <v/>
      </c>
      <c r="BD350" s="250">
        <f t="array" ref="BD350">SUMPRODUCT(--(NOT(ISBLANK('0₦'!N350:P350))),'0₦'!N$2:P$2)+'0₦'!AY350</f>
        <v/>
      </c>
      <c r="BE350" s="79">
        <f t="array" ref="BE350">SUMPRODUCT(--(NOT(ISBLANK('0₦'!AA350:AC350))),'0₦'!AA$2:AC$2) + BF350</f>
        <v/>
      </c>
      <c r="BF350" s="79" t="n"/>
      <c r="BG350" s="79">
        <f t="array" ref="BG350">SUMPRODUCT(--(NOT(ISBLANK('0₦'!U350:Z350))), '0₦'!U$2:Z$2)</f>
        <v/>
      </c>
      <c r="BH350" s="79" t="n"/>
      <c r="BI350" s="79">
        <f>SUM(BG350:BH350)</f>
        <v/>
      </c>
      <c r="BJ350" s="79" t="n"/>
      <c r="BK350" s="79" t="n"/>
      <c r="BL350" s="79" t="n"/>
      <c r="BM350" s="79" t="n"/>
      <c r="BN350" s="79" t="n"/>
      <c r="BO350" s="79" t="n"/>
      <c r="BP350" s="79" t="n"/>
      <c r="BQ350" s="79" t="n"/>
      <c r="BR350" s="79" t="n"/>
      <c r="BS350" s="79" t="n"/>
      <c r="BT350" s="79" t="n"/>
      <c r="BU350" s="79" t="n"/>
      <c r="BV350" s="79" t="n"/>
      <c r="BW350" s="79" t="n"/>
      <c r="BX350" s="79" t="n"/>
      <c r="BY350" s="79" t="n"/>
      <c r="BZ350" s="79" t="n"/>
      <c r="CA350" s="79" t="n"/>
    </row>
    <row r="351" hidden="1" ht="17.1" customHeight="1" s="37">
      <c r="A351" s="551" t="n"/>
      <c r="B351" s="150" t="inlineStr">
        <is>
          <t>W</t>
        </is>
      </c>
      <c r="C351" s="550">
        <f>C350+1</f>
        <v/>
      </c>
      <c r="G351" s="216" t="n"/>
      <c r="H351" s="57" t="n"/>
      <c r="O351" s="216" t="n"/>
      <c r="X351" s="20" t="n"/>
      <c r="AF351" s="450" t="n"/>
      <c r="AN351" s="45" t="n"/>
      <c r="AP351" s="45" t="n"/>
      <c r="AQ351" s="12" t="n"/>
      <c r="AR351" s="216" t="n">
        <v>40</v>
      </c>
      <c r="AS351" s="216" t="n"/>
      <c r="AT351" s="216" t="n"/>
      <c r="AU351" s="216">
        <f>N351+O351 + 0</f>
        <v/>
      </c>
      <c r="AW351" s="2">
        <f>SUM(AH351:AI351,AJ351/2,AK351:AL351)</f>
        <v/>
      </c>
      <c r="AX351" s="2">
        <f>AM351*0.5+SUM(AN351:AP351)</f>
        <v/>
      </c>
      <c r="AY351" s="39">
        <f>SUM(-AR351+AS351*0.01+AT351*0.5+AU351)</f>
        <v/>
      </c>
      <c r="AZ351" s="39">
        <f>'0分'!AF348</f>
        <v/>
      </c>
      <c r="BA351" s="39">
        <f>SUM(AY351,AX351,AW351)</f>
        <v/>
      </c>
      <c r="BB351" s="250" t="n"/>
      <c r="BC351" s="79">
        <f t="array" ref="BC351">SUMPRODUCT(--(NOT(ISBLANK('0₦'!D351:M351))), '0₦'!D$2:M$2) +  SUMPRODUCT(--(NOT(ISBLANK('0₦'!Q351:T351))), '0₦'!Q$2:T$2)</f>
        <v/>
      </c>
      <c r="BD351" s="250">
        <f t="array" ref="BD351">SUMPRODUCT(--(NOT(ISBLANK('0₦'!N351:P351))),'0₦'!N$2:P$2)+'0₦'!AY351</f>
        <v/>
      </c>
      <c r="BE351" s="79">
        <f t="array" ref="BE351">SUMPRODUCT(--(NOT(ISBLANK('0₦'!AA351:AC351))),'0₦'!AA$2:AC$2) + BF351</f>
        <v/>
      </c>
      <c r="BF351" s="79" t="n"/>
      <c r="BG351" s="79">
        <f t="array" ref="BG351">SUMPRODUCT(--(NOT(ISBLANK('0₦'!U351:Z351))), '0₦'!U$2:Z$2)</f>
        <v/>
      </c>
      <c r="BH351" s="79" t="n"/>
      <c r="BI351" s="79">
        <f>SUM(BG351:BH351)</f>
        <v/>
      </c>
      <c r="BJ351" s="79" t="n"/>
      <c r="BK351" s="79" t="n"/>
      <c r="BL351" s="79" t="n"/>
      <c r="BM351" s="79" t="n"/>
      <c r="BN351" s="79" t="n"/>
      <c r="BO351" s="79" t="n"/>
      <c r="BP351" s="79" t="n"/>
      <c r="BQ351" s="79" t="n"/>
      <c r="BR351" s="79" t="n"/>
      <c r="BS351" s="79" t="n"/>
      <c r="BT351" s="79" t="n"/>
      <c r="BU351" s="79" t="n"/>
      <c r="BV351" s="79" t="n"/>
      <c r="BW351" s="79" t="n"/>
      <c r="BX351" s="79" t="n"/>
      <c r="BY351" s="79" t="n"/>
      <c r="BZ351" s="79" t="n"/>
      <c r="CA351" s="79" t="n"/>
    </row>
    <row r="352" hidden="1" ht="17.1" customHeight="1" s="37">
      <c r="A352" s="551" t="n"/>
      <c r="B352" s="150" t="inlineStr">
        <is>
          <t>Th</t>
        </is>
      </c>
      <c r="C352" s="550">
        <f>C351+1</f>
        <v/>
      </c>
      <c r="G352" s="216" t="n"/>
      <c r="H352" s="57" t="n"/>
      <c r="O352" s="216" t="n"/>
      <c r="X352" s="20" t="n"/>
      <c r="AF352" s="450" t="n"/>
      <c r="AN352" s="45" t="n"/>
      <c r="AP352" s="45" t="n"/>
      <c r="AQ352" s="12" t="n"/>
      <c r="AR352" s="216" t="n">
        <v>40</v>
      </c>
      <c r="AS352" s="216" t="n"/>
      <c r="AT352" s="216" t="n"/>
      <c r="AU352" s="216">
        <f>N352+O352 + 0</f>
        <v/>
      </c>
      <c r="AW352" s="2">
        <f>SUM(AH352:AI352,AJ352/2,AK352:AL352)</f>
        <v/>
      </c>
      <c r="AX352" s="2">
        <f>AM352*0.5+SUM(AN352:AP352)</f>
        <v/>
      </c>
      <c r="AY352" s="39">
        <f>SUM(-AR352+AS352*0.01+AT352*0.5+AU352)</f>
        <v/>
      </c>
      <c r="AZ352" s="39">
        <f>'0分'!AF349</f>
        <v/>
      </c>
      <c r="BA352" s="39">
        <f>SUM(AY352,AX352,AW352)</f>
        <v/>
      </c>
      <c r="BB352" s="250" t="n"/>
      <c r="BC352" s="79">
        <f t="array" ref="BC352">SUMPRODUCT(--(NOT(ISBLANK('0₦'!D352:M352))), '0₦'!D$2:M$2) +  SUMPRODUCT(--(NOT(ISBLANK('0₦'!Q352:T352))), '0₦'!Q$2:T$2)</f>
        <v/>
      </c>
      <c r="BD352" s="250">
        <f t="array" ref="BD352">SUMPRODUCT(--(NOT(ISBLANK('0₦'!N352:P352))),'0₦'!N$2:P$2)+'0₦'!AY352</f>
        <v/>
      </c>
      <c r="BE352" s="79">
        <f t="array" ref="BE352">SUMPRODUCT(--(NOT(ISBLANK('0₦'!AA352:AC352))),'0₦'!AA$2:AC$2) + BF352</f>
        <v/>
      </c>
      <c r="BF352" s="79" t="n"/>
      <c r="BG352" s="79">
        <f t="array" ref="BG352">SUMPRODUCT(--(NOT(ISBLANK('0₦'!U352:Z352))), '0₦'!U$2:Z$2)</f>
        <v/>
      </c>
      <c r="BH352" s="79" t="n"/>
      <c r="BI352" s="79">
        <f>SUM(BG352:BH352)</f>
        <v/>
      </c>
      <c r="BJ352" s="79" t="n"/>
      <c r="BK352" s="79" t="n"/>
      <c r="BL352" s="79" t="n"/>
      <c r="BM352" s="79" t="n"/>
      <c r="BN352" s="79" t="n"/>
      <c r="BO352" s="79" t="n"/>
      <c r="BP352" s="79" t="n"/>
      <c r="BQ352" s="79" t="n"/>
      <c r="BR352" s="79" t="n"/>
      <c r="BS352" s="79" t="n"/>
      <c r="BT352" s="79" t="n"/>
      <c r="BU352" s="79" t="n"/>
      <c r="BV352" s="79" t="n"/>
      <c r="BW352" s="79" t="n"/>
      <c r="BX352" s="79" t="n"/>
      <c r="BY352" s="79" t="n"/>
      <c r="BZ352" s="79" t="n"/>
      <c r="CA352" s="79" t="n"/>
    </row>
    <row r="353" hidden="1" ht="17.1" customHeight="1" s="37">
      <c r="A353" s="551" t="n"/>
      <c r="B353" s="150" t="inlineStr">
        <is>
          <t>F</t>
        </is>
      </c>
      <c r="C353" s="550">
        <f>C352+1</f>
        <v/>
      </c>
      <c r="G353" s="216" t="n"/>
      <c r="H353" s="57" t="n"/>
      <c r="O353" s="216" t="n"/>
      <c r="X353" s="20" t="n"/>
      <c r="AF353" s="450" t="n"/>
      <c r="AN353" s="45" t="n"/>
      <c r="AP353" s="45" t="n"/>
      <c r="AQ353" s="12" t="n"/>
      <c r="AR353" s="216" t="n">
        <v>40</v>
      </c>
      <c r="AS353" s="216" t="n"/>
      <c r="AT353" s="216" t="n"/>
      <c r="AU353" s="216">
        <f>N353+O353 + 0</f>
        <v/>
      </c>
      <c r="AW353" s="2">
        <f>SUM(AH353:AI353,AJ353/2,AK353:AL353)</f>
        <v/>
      </c>
      <c r="AX353" s="2">
        <f>AM353*0.5+SUM(AN353:AP353)</f>
        <v/>
      </c>
      <c r="AY353" s="39">
        <f>SUM(-AR353+AS353*0.01+AT353*0.5+AU353)</f>
        <v/>
      </c>
      <c r="AZ353" s="39">
        <f>'0分'!AF350</f>
        <v/>
      </c>
      <c r="BA353" s="39">
        <f>SUM(AY353,AX353,AW353)</f>
        <v/>
      </c>
      <c r="BB353" s="250" t="n"/>
      <c r="BC353" s="79">
        <f t="array" ref="BC353">SUMPRODUCT(--(NOT(ISBLANK('0₦'!D353:M353))), '0₦'!D$2:M$2) +  SUMPRODUCT(--(NOT(ISBLANK('0₦'!Q353:T353))), '0₦'!Q$2:T$2)</f>
        <v/>
      </c>
      <c r="BD353" s="250">
        <f t="array" ref="BD353">SUMPRODUCT(--(NOT(ISBLANK('0₦'!N353:P353))),'0₦'!N$2:P$2)+'0₦'!AY353</f>
        <v/>
      </c>
      <c r="BE353" s="79">
        <f t="array" ref="BE353">SUMPRODUCT(--(NOT(ISBLANK('0₦'!AA353:AC353))),'0₦'!AA$2:AC$2) + BF353</f>
        <v/>
      </c>
      <c r="BF353" s="79" t="n"/>
      <c r="BG353" s="79">
        <f t="array" ref="BG353">SUMPRODUCT(--(NOT(ISBLANK('0₦'!U353:Z353))), '0₦'!U$2:Z$2)</f>
        <v/>
      </c>
      <c r="BH353" s="79" t="n"/>
      <c r="BI353" s="79">
        <f>SUM(BG353:BH353)</f>
        <v/>
      </c>
      <c r="BJ353" s="79" t="n"/>
      <c r="BK353" s="79" t="n"/>
      <c r="BL353" s="79" t="n"/>
      <c r="BM353" s="79" t="n"/>
      <c r="BN353" s="79" t="n"/>
      <c r="BO353" s="79" t="n"/>
      <c r="BP353" s="79" t="n"/>
      <c r="BQ353" s="79" t="n"/>
      <c r="BR353" s="79" t="n"/>
      <c r="BS353" s="79" t="n"/>
      <c r="BT353" s="79" t="n"/>
      <c r="BU353" s="79" t="n"/>
      <c r="BV353" s="79" t="n"/>
      <c r="BW353" s="79" t="n"/>
      <c r="BX353" s="79" t="n"/>
      <c r="BY353" s="79" t="n"/>
      <c r="BZ353" s="79" t="n"/>
      <c r="CA353" s="79" t="n"/>
    </row>
    <row r="354" hidden="1" ht="17.1" customHeight="1" s="37">
      <c r="A354" s="552" t="n"/>
      <c r="B354" s="150" t="inlineStr">
        <is>
          <t>S</t>
        </is>
      </c>
      <c r="C354" s="550">
        <f>C353+1</f>
        <v/>
      </c>
      <c r="G354" s="216" t="n"/>
      <c r="H354" s="57" t="n"/>
      <c r="O354" s="216" t="n"/>
      <c r="X354" s="20" t="n"/>
      <c r="AF354" s="450" t="n"/>
      <c r="AN354" s="45" t="n"/>
      <c r="AP354" s="45" t="n"/>
      <c r="AQ354" s="12" t="n"/>
      <c r="AR354" s="216" t="n">
        <v>40</v>
      </c>
      <c r="AS354" s="216" t="n"/>
      <c r="AT354" s="216" t="n"/>
      <c r="AU354" s="216">
        <f>N354+O354 + 0</f>
        <v/>
      </c>
      <c r="AW354" s="2">
        <f>SUM(AH354:AI354,AJ354/2,AK354:AL354)</f>
        <v/>
      </c>
      <c r="AX354" s="2">
        <f>AM354*0.5+SUM(AN354:AP354)</f>
        <v/>
      </c>
      <c r="AY354" s="39">
        <f>SUM(-AR354+AS354*0.01+AT354*0.5+AU354)</f>
        <v/>
      </c>
      <c r="AZ354" s="39">
        <f>'0分'!AF351</f>
        <v/>
      </c>
      <c r="BA354" s="39">
        <f>SUM(AY354,AX354,AW354)</f>
        <v/>
      </c>
      <c r="BB354" s="250" t="n"/>
      <c r="BC354" s="79">
        <f t="array" ref="BC354">SUMPRODUCT(--(NOT(ISBLANK('0₦'!D354:M354))), '0₦'!D$2:M$2) +  SUMPRODUCT(--(NOT(ISBLANK('0₦'!Q354:T354))), '0₦'!Q$2:T$2)</f>
        <v/>
      </c>
      <c r="BD354" s="250">
        <f t="array" ref="BD354">SUMPRODUCT(--(NOT(ISBLANK('0₦'!N354:P354))),'0₦'!N$2:P$2)+'0₦'!AY354</f>
        <v/>
      </c>
      <c r="BE354" s="79">
        <f t="array" ref="BE354">SUMPRODUCT(--(NOT(ISBLANK('0₦'!AA354:AC354))),'0₦'!AA$2:AC$2) + BF354</f>
        <v/>
      </c>
      <c r="BF354" s="79" t="n"/>
      <c r="BG354" s="79">
        <f t="array" ref="BG354">SUMPRODUCT(--(NOT(ISBLANK('0₦'!U354:Z354))), '0₦'!U$2:Z$2)</f>
        <v/>
      </c>
      <c r="BH354" s="79" t="n"/>
      <c r="BI354" s="79">
        <f>SUM(BG354:BH354)</f>
        <v/>
      </c>
      <c r="BJ354" s="79" t="n"/>
      <c r="BK354" s="79" t="n"/>
      <c r="BL354" s="79" t="n"/>
      <c r="BM354" s="79" t="n"/>
      <c r="BN354" s="79" t="n"/>
      <c r="BO354" s="79" t="n"/>
      <c r="BP354" s="79" t="n"/>
      <c r="BQ354" s="79" t="n"/>
      <c r="BR354" s="79" t="n"/>
      <c r="BS354" s="79" t="n"/>
      <c r="BT354" s="79" t="n"/>
      <c r="BU354" s="79" t="n"/>
      <c r="BV354" s="79" t="n"/>
      <c r="BW354" s="79" t="n"/>
      <c r="BX354" s="79" t="n"/>
      <c r="BY354" s="79" t="n"/>
      <c r="BZ354" s="79" t="n"/>
      <c r="CA354" s="79" t="n"/>
    </row>
    <row r="355" hidden="1" ht="17.1" customHeight="1" s="37">
      <c r="A355" s="462">
        <f>A348+0.1</f>
        <v/>
      </c>
      <c r="B355" s="150" t="inlineStr">
        <is>
          <t>S</t>
        </is>
      </c>
      <c r="C355" s="550">
        <f>C354+1</f>
        <v/>
      </c>
      <c r="G355" s="216" t="n"/>
      <c r="H355" s="57" t="n"/>
      <c r="O355" s="216" t="n"/>
      <c r="X355" s="20" t="n"/>
      <c r="AF355" s="450" t="n"/>
      <c r="AN355" s="45" t="n"/>
      <c r="AP355" s="45" t="n"/>
      <c r="AQ355" s="12" t="n"/>
      <c r="AR355" s="216" t="n">
        <v>40</v>
      </c>
      <c r="AS355" s="216" t="n"/>
      <c r="AT355" s="216" t="n"/>
      <c r="AU355" s="216">
        <f>N355+O355 + 0</f>
        <v/>
      </c>
      <c r="AW355" s="2">
        <f>SUM(AH355:AI355,AJ355/2,AK355:AL355)</f>
        <v/>
      </c>
      <c r="AX355" s="2">
        <f>AM355*0.5+SUM(AN355:AP355)</f>
        <v/>
      </c>
      <c r="AY355" s="39">
        <f>SUM(-AR355+AS355*0.01+AT355*0.5+AU355)</f>
        <v/>
      </c>
      <c r="AZ355" s="39">
        <f>'0分'!AF352</f>
        <v/>
      </c>
      <c r="BA355" s="39">
        <f>SUM(AY355,AX355,AW355)</f>
        <v/>
      </c>
      <c r="BB355" s="250" t="n"/>
      <c r="BC355" s="79">
        <f t="array" ref="BC355">SUMPRODUCT(--(NOT(ISBLANK('0₦'!D355:M355))), '0₦'!D$2:M$2) +  SUMPRODUCT(--(NOT(ISBLANK('0₦'!Q355:T355))), '0₦'!Q$2:T$2)</f>
        <v/>
      </c>
      <c r="BD355" s="250">
        <f t="array" ref="BD355">SUMPRODUCT(--(NOT(ISBLANK('0₦'!N355:P355))),'0₦'!N$2:P$2)+'0₦'!AY355</f>
        <v/>
      </c>
      <c r="BE355" s="79">
        <f t="array" ref="BE355">SUMPRODUCT(--(NOT(ISBLANK('0₦'!AA355:AC355))),'0₦'!AA$2:AC$2) + BF355</f>
        <v/>
      </c>
      <c r="BF355" s="79" t="n"/>
      <c r="BG355" s="79">
        <f t="array" ref="BG355">SUMPRODUCT(--(NOT(ISBLANK('0₦'!U355:Z355))), '0₦'!U$2:Z$2)</f>
        <v/>
      </c>
      <c r="BH355" s="79" t="n"/>
      <c r="BI355" s="79">
        <f>SUM(BG355:BH355)</f>
        <v/>
      </c>
      <c r="BJ355" s="79" t="n"/>
      <c r="BK355" s="79" t="n"/>
      <c r="BL355" s="79" t="n"/>
      <c r="BM355" s="79" t="n"/>
      <c r="BN355" s="79" t="n"/>
      <c r="BO355" s="79" t="n"/>
      <c r="BP355" s="79" t="n"/>
      <c r="BQ355" s="79" t="n"/>
      <c r="BR355" s="79" t="n"/>
      <c r="BS355" s="79" t="n"/>
      <c r="BT355" s="79" t="n"/>
      <c r="BU355" s="79" t="n"/>
      <c r="BV355" s="79" t="n"/>
      <c r="BW355" s="79" t="n"/>
      <c r="BX355" s="79" t="n"/>
      <c r="BY355" s="79" t="n"/>
      <c r="BZ355" s="79" t="n"/>
      <c r="CA355" s="79" t="n"/>
    </row>
    <row r="356" ht="17.1" customHeight="1" s="37">
      <c r="A356" s="551" t="n"/>
      <c r="B356" s="150" t="inlineStr">
        <is>
          <t>M</t>
        </is>
      </c>
      <c r="C356" s="550">
        <f>C355+1</f>
        <v/>
      </c>
      <c r="G356" s="216" t="n"/>
      <c r="H356" s="57" t="n"/>
      <c r="O356" s="216" t="n"/>
      <c r="X356" s="20" t="n"/>
      <c r="AF356" s="450" t="n"/>
      <c r="AN356" s="45" t="n"/>
      <c r="AP356" s="45" t="n"/>
      <c r="AQ356" s="12" t="n"/>
      <c r="AR356" s="216" t="n">
        <v>40</v>
      </c>
      <c r="AS356" s="216" t="n"/>
      <c r="AT356" s="216" t="n"/>
      <c r="AU356" s="216">
        <f>N356+O356 + 0</f>
        <v/>
      </c>
      <c r="AW356" s="2">
        <f>SUM(AH356:AI356,AJ356/2,AK356:AL356)</f>
        <v/>
      </c>
      <c r="AX356" s="2">
        <f>AM356*0.5+SUM(AN356:AP356)</f>
        <v/>
      </c>
      <c r="AY356" s="39">
        <f>SUM(-AR356+AS356*0.01+AT356*0.5+AU356)</f>
        <v/>
      </c>
      <c r="AZ356" s="39">
        <f>'0分'!AF353</f>
        <v/>
      </c>
      <c r="BA356" s="39">
        <f>SUM(AY356,AX356,AW356)</f>
        <v/>
      </c>
      <c r="BB356" s="250" t="n"/>
      <c r="BC356" s="79">
        <f t="array" ref="BC356">SUMPRODUCT(--(NOT(ISBLANK('0₦'!D356:M356))), '0₦'!D$2:M$2) +  SUMPRODUCT(--(NOT(ISBLANK('0₦'!Q356:T356))), '0₦'!Q$2:T$2)</f>
        <v/>
      </c>
      <c r="BD356" s="250">
        <f t="array" ref="BD356">SUMPRODUCT(--(NOT(ISBLANK('0₦'!N356:P356))),'0₦'!N$2:P$2)+'0₦'!AY356</f>
        <v/>
      </c>
      <c r="BE356" s="79">
        <f t="array" ref="BE356">SUMPRODUCT(--(NOT(ISBLANK('0₦'!AA356:AC356))),'0₦'!AA$2:AC$2) + BF356</f>
        <v/>
      </c>
      <c r="BF356" s="79" t="n"/>
      <c r="BG356" s="79">
        <f t="array" ref="BG356">SUMPRODUCT(--(NOT(ISBLANK('0₦'!U356:Z356))), '0₦'!U$2:Z$2)</f>
        <v/>
      </c>
      <c r="BH356" s="79" t="n"/>
      <c r="BI356" s="79">
        <f>SUM(BG356:BH356)</f>
        <v/>
      </c>
      <c r="BJ356" s="79" t="n"/>
      <c r="BK356" s="79" t="n"/>
      <c r="BL356" s="79" t="n"/>
      <c r="BM356" s="79" t="n"/>
      <c r="BN356" s="79" t="n"/>
      <c r="BO356" s="79" t="n"/>
      <c r="BP356" s="79" t="n"/>
      <c r="BQ356" s="79" t="n"/>
      <c r="BR356" s="79" t="n"/>
      <c r="BS356" s="79" t="n"/>
      <c r="BT356" s="79" t="n"/>
      <c r="BU356" s="79" t="n"/>
      <c r="BV356" s="79" t="n"/>
      <c r="BW356" s="79" t="n"/>
      <c r="BX356" s="79" t="n"/>
      <c r="BY356" s="79" t="n"/>
      <c r="BZ356" s="79" t="n"/>
      <c r="CA356" s="79" t="n"/>
    </row>
    <row r="357" ht="17.1" customHeight="1" s="37">
      <c r="A357" s="551" t="n"/>
      <c r="B357" s="150" t="inlineStr">
        <is>
          <t>T</t>
        </is>
      </c>
      <c r="C357" s="550">
        <f>C356+1</f>
        <v/>
      </c>
      <c r="G357" s="216" t="n"/>
      <c r="H357" s="57" t="n"/>
      <c r="O357" s="216" t="n"/>
      <c r="X357" s="20" t="n"/>
      <c r="AF357" s="450" t="n"/>
      <c r="AN357" s="45" t="n"/>
      <c r="AP357" s="45" t="n"/>
      <c r="AQ357" s="12" t="n"/>
      <c r="AR357" s="216" t="n">
        <v>40</v>
      </c>
      <c r="AS357" s="216" t="n"/>
      <c r="AT357" s="216" t="n"/>
      <c r="AU357" s="216">
        <f>N357+O357 + 0</f>
        <v/>
      </c>
      <c r="AW357" s="2">
        <f>SUM(AH357:AI357,AJ357/2,AK357:AL357)</f>
        <v/>
      </c>
      <c r="AX357" s="2">
        <f>AM357*0.5+SUM(AN357:AP357)</f>
        <v/>
      </c>
      <c r="AY357" s="39">
        <f>SUM(-AR357+AS357*0.01+AT357*0.5+AU357)</f>
        <v/>
      </c>
      <c r="AZ357" s="39">
        <f>'0分'!AF354</f>
        <v/>
      </c>
      <c r="BA357" s="39">
        <f>SUM(AY357,AX357,AW357)</f>
        <v/>
      </c>
      <c r="BB357" s="250" t="n"/>
      <c r="BC357" s="79">
        <f t="array" ref="BC357">SUMPRODUCT(--(NOT(ISBLANK('0₦'!D357:M357))), '0₦'!D$2:M$2) +  SUMPRODUCT(--(NOT(ISBLANK('0₦'!Q357:T357))), '0₦'!Q$2:T$2)</f>
        <v/>
      </c>
      <c r="BD357" s="250">
        <f t="array" ref="BD357">SUMPRODUCT(--(NOT(ISBLANK('0₦'!N357:P357))),'0₦'!N$2:P$2)+'0₦'!AY357</f>
        <v/>
      </c>
      <c r="BE357" s="79">
        <f t="array" ref="BE357">SUMPRODUCT(--(NOT(ISBLANK('0₦'!AA357:AC357))),'0₦'!AA$2:AC$2) + BF357</f>
        <v/>
      </c>
      <c r="BF357" s="79" t="n"/>
      <c r="BG357" s="79">
        <f t="array" ref="BG357">SUMPRODUCT(--(NOT(ISBLANK('0₦'!U357:Z357))), '0₦'!U$2:Z$2)</f>
        <v/>
      </c>
      <c r="BH357" s="79" t="n"/>
      <c r="BI357" s="79">
        <f>SUM(BG357:BH357)</f>
        <v/>
      </c>
      <c r="BJ357" s="79" t="n"/>
      <c r="BK357" s="79" t="n"/>
      <c r="BL357" s="79" t="n"/>
      <c r="BM357" s="79" t="n"/>
      <c r="BN357" s="79" t="n"/>
      <c r="BO357" s="79" t="n"/>
      <c r="BP357" s="79" t="n"/>
      <c r="BQ357" s="79" t="n"/>
      <c r="BR357" s="79" t="n"/>
      <c r="BS357" s="79" t="n"/>
      <c r="BT357" s="79" t="n"/>
      <c r="BU357" s="79" t="n"/>
      <c r="BV357" s="79" t="n"/>
      <c r="BW357" s="79" t="n"/>
      <c r="BX357" s="79" t="n"/>
      <c r="BY357" s="79" t="n"/>
      <c r="BZ357" s="79" t="n"/>
      <c r="CA357" s="79" t="n"/>
    </row>
    <row r="358" ht="17.1" customHeight="1" s="37">
      <c r="A358" s="551" t="n"/>
      <c r="B358" s="150" t="inlineStr">
        <is>
          <t>W</t>
        </is>
      </c>
      <c r="C358" s="550">
        <f>C357+1</f>
        <v/>
      </c>
      <c r="G358" s="216" t="n"/>
      <c r="H358" s="57" t="n"/>
      <c r="O358" s="216" t="n"/>
      <c r="X358" s="20" t="n"/>
      <c r="AF358" s="450" t="n"/>
      <c r="AN358" s="45" t="n"/>
      <c r="AP358" s="45" t="n"/>
      <c r="AQ358" s="12" t="n"/>
      <c r="AR358" s="216" t="n">
        <v>40</v>
      </c>
      <c r="AS358" s="216" t="n"/>
      <c r="AT358" s="216" t="n"/>
      <c r="AU358" s="216">
        <f>N358+O358 + 0</f>
        <v/>
      </c>
      <c r="AW358" s="2">
        <f>SUM(AH358:AI358,AJ358/2,AK358:AL358)</f>
        <v/>
      </c>
      <c r="AX358" s="2">
        <f>AM358*0.5+SUM(AN358:AP358)</f>
        <v/>
      </c>
      <c r="AY358" s="39">
        <f>SUM(-AR358+AS358*0.01+AT358*0.5+AU358)</f>
        <v/>
      </c>
      <c r="AZ358" s="39">
        <f>'0分'!AF355</f>
        <v/>
      </c>
      <c r="BA358" s="39">
        <f>SUM(AY358,AX358,AW358)</f>
        <v/>
      </c>
      <c r="BB358" s="250" t="n"/>
      <c r="BC358" s="79">
        <f t="array" ref="BC358">SUMPRODUCT(--(NOT(ISBLANK('0₦'!D358:M358))), '0₦'!D$2:M$2) +  SUMPRODUCT(--(NOT(ISBLANK('0₦'!Q358:T358))), '0₦'!Q$2:T$2)</f>
        <v/>
      </c>
      <c r="BD358" s="250">
        <f t="array" ref="BD358">SUMPRODUCT(--(NOT(ISBLANK('0₦'!N358:P358))),'0₦'!N$2:P$2)+'0₦'!AY358</f>
        <v/>
      </c>
      <c r="BE358" s="79">
        <f t="array" ref="BE358">SUMPRODUCT(--(NOT(ISBLANK('0₦'!AA358:AC358))),'0₦'!AA$2:AC$2) + BF358</f>
        <v/>
      </c>
      <c r="BF358" s="79" t="n"/>
      <c r="BG358" s="79">
        <f t="array" ref="BG358">SUMPRODUCT(--(NOT(ISBLANK('0₦'!U358:Z358))), '0₦'!U$2:Z$2)</f>
        <v/>
      </c>
      <c r="BH358" s="79" t="n"/>
      <c r="BI358" s="79">
        <f>SUM(BG358:BH358)</f>
        <v/>
      </c>
      <c r="BJ358" s="79" t="n"/>
      <c r="BK358" s="79" t="n"/>
      <c r="BL358" s="79" t="n"/>
      <c r="BM358" s="79" t="n"/>
      <c r="BN358" s="79" t="n"/>
      <c r="BO358" s="79" t="n"/>
      <c r="BP358" s="79" t="n"/>
      <c r="BQ358" s="79" t="n"/>
      <c r="BR358" s="79" t="n"/>
      <c r="BS358" s="79" t="n"/>
      <c r="BT358" s="79" t="n"/>
      <c r="BU358" s="79" t="n"/>
      <c r="BV358" s="79" t="n"/>
      <c r="BW358" s="79" t="n"/>
      <c r="BX358" s="79" t="n"/>
      <c r="BY358" s="79" t="n"/>
      <c r="BZ358" s="79" t="n"/>
      <c r="CA358" s="79" t="n"/>
    </row>
    <row r="359" ht="17.1" customHeight="1" s="37">
      <c r="A359" s="551" t="n"/>
      <c r="B359" s="150" t="inlineStr">
        <is>
          <t>Th</t>
        </is>
      </c>
      <c r="C359" s="550">
        <f>C358+1</f>
        <v/>
      </c>
      <c r="G359" s="216" t="n"/>
      <c r="H359" s="57" t="n"/>
      <c r="O359" s="216" t="n"/>
      <c r="X359" s="20" t="n"/>
      <c r="AF359" s="450" t="n"/>
      <c r="AN359" s="45" t="n"/>
      <c r="AP359" s="45" t="n"/>
      <c r="AQ359" s="12" t="n"/>
      <c r="AR359" s="216" t="n">
        <v>40</v>
      </c>
      <c r="AS359" s="216" t="n"/>
      <c r="AT359" s="216" t="n"/>
      <c r="AU359" s="216">
        <f>N359+O359 + 0</f>
        <v/>
      </c>
      <c r="AW359" s="2">
        <f>SUM(AH359:AI359,AJ359/2,AK359:AL359)</f>
        <v/>
      </c>
      <c r="AX359" s="2">
        <f>AM359*0.5+SUM(AN359:AP359)</f>
        <v/>
      </c>
      <c r="AY359" s="39">
        <f>SUM(-AR359+AS359*0.01+AT359*0.5+AU359)</f>
        <v/>
      </c>
      <c r="AZ359" s="39">
        <f>'0分'!AF356</f>
        <v/>
      </c>
      <c r="BA359" s="39">
        <f>SUM(AY359,AX359,AW359)</f>
        <v/>
      </c>
      <c r="BB359" s="250" t="n"/>
      <c r="BC359" s="79">
        <f t="array" ref="BC359">SUMPRODUCT(--(NOT(ISBLANK('0₦'!D359:M359))), '0₦'!D$2:M$2) +  SUMPRODUCT(--(NOT(ISBLANK('0₦'!Q359:T359))), '0₦'!Q$2:T$2)</f>
        <v/>
      </c>
      <c r="BD359" s="250">
        <f t="array" ref="BD359">SUMPRODUCT(--(NOT(ISBLANK('0₦'!N359:P359))),'0₦'!N$2:P$2)+'0₦'!AY359</f>
        <v/>
      </c>
      <c r="BE359" s="79">
        <f t="array" ref="BE359">SUMPRODUCT(--(NOT(ISBLANK('0₦'!AA359:AC359))),'0₦'!AA$2:AC$2) + BF359</f>
        <v/>
      </c>
      <c r="BF359" s="79" t="n"/>
      <c r="BG359" s="79">
        <f t="array" ref="BG359">SUMPRODUCT(--(NOT(ISBLANK('0₦'!U359:Z359))), '0₦'!U$2:Z$2)</f>
        <v/>
      </c>
      <c r="BH359" s="79" t="n"/>
      <c r="BI359" s="79">
        <f>SUM(BG359:BH359)</f>
        <v/>
      </c>
      <c r="BJ359" s="79" t="n"/>
      <c r="BK359" s="79" t="n"/>
      <c r="BL359" s="79" t="n"/>
      <c r="BM359" s="79" t="n"/>
      <c r="BN359" s="79" t="n"/>
      <c r="BO359" s="79" t="n"/>
      <c r="BP359" s="79" t="n"/>
      <c r="BQ359" s="79" t="n"/>
      <c r="BR359" s="79" t="n"/>
      <c r="BS359" s="79" t="n"/>
      <c r="BT359" s="79" t="n"/>
      <c r="BU359" s="79" t="n"/>
      <c r="BV359" s="79" t="n"/>
      <c r="BW359" s="79" t="n"/>
      <c r="BX359" s="79" t="n"/>
      <c r="BY359" s="79" t="n"/>
      <c r="BZ359" s="79" t="n"/>
      <c r="CA359" s="79" t="n"/>
    </row>
    <row r="360" ht="17.1" customHeight="1" s="37">
      <c r="A360" s="551" t="n"/>
      <c r="B360" s="150" t="inlineStr">
        <is>
          <t>F</t>
        </is>
      </c>
      <c r="C360" s="550">
        <f>C359+1</f>
        <v/>
      </c>
      <c r="G360" s="216" t="n"/>
      <c r="H360" s="57" t="n"/>
      <c r="O360" s="216" t="n"/>
      <c r="X360" s="20" t="n"/>
      <c r="AF360" s="450" t="n"/>
      <c r="AN360" s="45" t="n"/>
      <c r="AP360" s="45" t="n"/>
      <c r="AQ360" s="12" t="n"/>
      <c r="AR360" s="216" t="n">
        <v>40</v>
      </c>
      <c r="AS360" s="216" t="n"/>
      <c r="AT360" s="216" t="n"/>
      <c r="AU360" s="216">
        <f>N360+O360 + 0</f>
        <v/>
      </c>
      <c r="AW360" s="2">
        <f>SUM(AH360:AI360,AJ360/2,AK360:AL360)</f>
        <v/>
      </c>
      <c r="AX360" s="2">
        <f>AM360*0.5+SUM(AN360:AP360)</f>
        <v/>
      </c>
      <c r="AY360" s="39">
        <f>SUM(-AR360+AS360*0.01+AT360*0.5+AU360)</f>
        <v/>
      </c>
      <c r="AZ360" s="39">
        <f>'0分'!AF357</f>
        <v/>
      </c>
      <c r="BA360" s="39">
        <f>SUM(AY360,AX360,AW360)</f>
        <v/>
      </c>
      <c r="BB360" s="250" t="n"/>
      <c r="BC360" s="79">
        <f t="array" ref="BC360">SUMPRODUCT(--(NOT(ISBLANK('0₦'!D360:M360))), '0₦'!D$2:M$2) +  SUMPRODUCT(--(NOT(ISBLANK('0₦'!Q360:T360))), '0₦'!Q$2:T$2)</f>
        <v/>
      </c>
      <c r="BD360" s="250">
        <f t="array" ref="BD360">SUMPRODUCT(--(NOT(ISBLANK('0₦'!N360:P360))),'0₦'!N$2:P$2)+'0₦'!AY360</f>
        <v/>
      </c>
      <c r="BE360" s="79">
        <f t="array" ref="BE360">SUMPRODUCT(--(NOT(ISBLANK('0₦'!AA360:AC360))),'0₦'!AA$2:AC$2) + BF360</f>
        <v/>
      </c>
      <c r="BF360" s="79" t="n"/>
      <c r="BG360" s="79">
        <f t="array" ref="BG360">SUMPRODUCT(--(NOT(ISBLANK('0₦'!U360:Z360))), '0₦'!U$2:Z$2)</f>
        <v/>
      </c>
      <c r="BH360" s="79" t="n"/>
      <c r="BI360" s="79">
        <f>SUM(BG360:BH360)</f>
        <v/>
      </c>
      <c r="BJ360" s="79" t="n"/>
      <c r="BK360" s="79" t="n"/>
      <c r="BL360" s="79" t="n"/>
      <c r="BM360" s="79" t="n"/>
      <c r="BN360" s="79" t="n"/>
      <c r="BO360" s="79" t="n"/>
      <c r="BP360" s="79" t="n"/>
      <c r="BQ360" s="79" t="n"/>
      <c r="BR360" s="79" t="n"/>
      <c r="BS360" s="79" t="n"/>
      <c r="BT360" s="79" t="n"/>
      <c r="BU360" s="79" t="n"/>
      <c r="BV360" s="79" t="n"/>
      <c r="BW360" s="79" t="n"/>
      <c r="BX360" s="79" t="n"/>
      <c r="BY360" s="79" t="n"/>
      <c r="BZ360" s="79" t="n"/>
      <c r="CA360" s="79" t="n"/>
    </row>
    <row r="361" ht="17.1" customHeight="1" s="37">
      <c r="A361" s="552" t="n"/>
      <c r="B361" s="150" t="inlineStr">
        <is>
          <t>S</t>
        </is>
      </c>
      <c r="C361" s="550">
        <f>C360+1</f>
        <v/>
      </c>
      <c r="G361" s="216" t="n"/>
      <c r="H361" s="57" t="n"/>
      <c r="O361" s="216" t="n"/>
      <c r="X361" s="20" t="n"/>
      <c r="AF361" s="450" t="n"/>
      <c r="AN361" s="45" t="n"/>
      <c r="AP361" s="45" t="n"/>
      <c r="AQ361" s="12" t="n"/>
      <c r="AR361" s="216" t="n">
        <v>40</v>
      </c>
      <c r="AS361" s="216" t="n"/>
      <c r="AT361" s="216" t="n"/>
      <c r="AU361" s="216">
        <f>N361+O361 + 0</f>
        <v/>
      </c>
      <c r="AW361" s="2">
        <f>SUM(AH361:AI361,AJ361/2,AK361:AL361)</f>
        <v/>
      </c>
      <c r="AX361" s="2">
        <f>AM361*0.5+SUM(AN361:AP361)</f>
        <v/>
      </c>
      <c r="AY361" s="39">
        <f>SUM(-AR361+AS361*0.01+AT361*0.5+AU361)</f>
        <v/>
      </c>
      <c r="AZ361" s="39">
        <f>'0分'!AF358</f>
        <v/>
      </c>
      <c r="BA361" s="39">
        <f>SUM(AY361,AX361,AW361)</f>
        <v/>
      </c>
      <c r="BB361" s="250" t="n"/>
      <c r="BC361" s="79">
        <f t="array" ref="BC361">SUMPRODUCT(--(NOT(ISBLANK('0₦'!D361:M361))), '0₦'!D$2:M$2) +  SUMPRODUCT(--(NOT(ISBLANK('0₦'!Q361:T361))), '0₦'!Q$2:T$2)</f>
        <v/>
      </c>
      <c r="BD361" s="250">
        <f t="array" ref="BD361">SUMPRODUCT(--(NOT(ISBLANK('0₦'!N361:P361))),'0₦'!N$2:P$2)+'0₦'!AY361</f>
        <v/>
      </c>
      <c r="BE361" s="79">
        <f t="array" ref="BE361">SUMPRODUCT(--(NOT(ISBLANK('0₦'!AA361:AC361))),'0₦'!AA$2:AC$2) + BF361</f>
        <v/>
      </c>
      <c r="BF361" s="79" t="n"/>
      <c r="BG361" s="79">
        <f t="array" ref="BG361">SUMPRODUCT(--(NOT(ISBLANK('0₦'!U361:Z361))), '0₦'!U$2:Z$2)</f>
        <v/>
      </c>
      <c r="BH361" s="79" t="n"/>
      <c r="BI361" s="79">
        <f>SUM(BG361:BH361)</f>
        <v/>
      </c>
      <c r="BJ361" s="79" t="n"/>
      <c r="BK361" s="79" t="n"/>
      <c r="BL361" s="79" t="n"/>
      <c r="BM361" s="79" t="n"/>
      <c r="BN361" s="79" t="n"/>
      <c r="BO361" s="79" t="n"/>
      <c r="BP361" s="79" t="n"/>
      <c r="BQ361" s="79" t="n"/>
      <c r="BR361" s="79" t="n"/>
      <c r="BS361" s="79" t="n"/>
      <c r="BT361" s="79" t="n"/>
      <c r="BU361" s="79" t="n"/>
      <c r="BV361" s="79" t="n"/>
      <c r="BW361" s="79" t="n"/>
      <c r="BX361" s="79" t="n"/>
      <c r="BY361" s="79" t="n"/>
      <c r="BZ361" s="79" t="n"/>
      <c r="CA361" s="79" t="n"/>
    </row>
    <row r="362" ht="17.1" customHeight="1" s="37">
      <c r="A362" s="462">
        <f>A355+0.1</f>
        <v/>
      </c>
      <c r="B362" s="150" t="inlineStr">
        <is>
          <t>S</t>
        </is>
      </c>
      <c r="C362" s="550">
        <f>C361+1</f>
        <v/>
      </c>
      <c r="G362" s="216" t="n"/>
      <c r="H362" s="57" t="n"/>
      <c r="N362" s="450" t="n">
        <v>1</v>
      </c>
      <c r="O362" s="216" t="n"/>
      <c r="X362" s="20" t="n"/>
      <c r="AF362" s="450" t="n"/>
      <c r="AN362" s="45" t="n"/>
      <c r="AP362" s="45" t="n"/>
      <c r="AQ362" s="12" t="n"/>
      <c r="AR362" s="216" t="n">
        <v>40</v>
      </c>
      <c r="AS362" s="216" t="n"/>
      <c r="AT362" s="216" t="n"/>
      <c r="AU362" s="216">
        <f>N362+O362 + 0</f>
        <v/>
      </c>
      <c r="AW362" s="2">
        <f>SUM(AH362:AI362,AJ362/2,AK362:AL362)</f>
        <v/>
      </c>
      <c r="AX362" s="2">
        <f>AM362*0.5+SUM(AN362:AP362)</f>
        <v/>
      </c>
      <c r="AY362" s="39">
        <f>SUM(-AR362+AS362*0.01+AT362*0.5+AU362)</f>
        <v/>
      </c>
      <c r="AZ362" s="39">
        <f>'0分'!AF359</f>
        <v/>
      </c>
      <c r="BA362" s="39">
        <f>SUM(AY362,AX362,AW362)</f>
        <v/>
      </c>
      <c r="BB362" s="250" t="n"/>
      <c r="BC362" s="79">
        <f t="array" ref="BC362">SUMPRODUCT(--(NOT(ISBLANK('0₦'!D362:M362))), '0₦'!D$2:M$2) +  SUMPRODUCT(--(NOT(ISBLANK('0₦'!Q362:T362))), '0₦'!Q$2:T$2)</f>
        <v/>
      </c>
      <c r="BD362" s="250">
        <f t="array" ref="BD362">SUMPRODUCT(--(NOT(ISBLANK('0₦'!N362:P362))),'0₦'!N$2:P$2)+'0₦'!AY362</f>
        <v/>
      </c>
      <c r="BE362" s="79">
        <f t="array" ref="BE362">SUMPRODUCT(--(NOT(ISBLANK('0₦'!AA362:AC362))),'0₦'!AA$2:AC$2) + BF362</f>
        <v/>
      </c>
      <c r="BF362" s="79" t="n"/>
      <c r="BG362" s="79">
        <f t="array" ref="BG362">SUMPRODUCT(--(NOT(ISBLANK('0₦'!U362:Z362))), '0₦'!U$2:Z$2)</f>
        <v/>
      </c>
      <c r="BH362" s="79" t="n"/>
      <c r="BI362" s="79">
        <f>SUM(BG362:BH362)</f>
        <v/>
      </c>
      <c r="BJ362" s="79" t="n"/>
      <c r="BK362" s="79" t="n"/>
      <c r="BL362" s="79" t="n"/>
      <c r="BM362" s="79" t="n"/>
      <c r="BN362" s="79" t="n"/>
      <c r="BO362" s="79" t="n"/>
      <c r="BP362" s="79" t="n"/>
      <c r="BQ362" s="79" t="n"/>
      <c r="BR362" s="79" t="n"/>
      <c r="BS362" s="79" t="n"/>
      <c r="BT362" s="79" t="n"/>
      <c r="BU362" s="79" t="n"/>
      <c r="BV362" s="79" t="n"/>
      <c r="BW362" s="79" t="n"/>
      <c r="BX362" s="79" t="n"/>
      <c r="BY362" s="79" t="n"/>
      <c r="BZ362" s="79" t="n"/>
      <c r="CA362" s="79" t="n"/>
    </row>
    <row r="363" ht="17.1" customHeight="1" s="37">
      <c r="A363" s="551" t="n"/>
      <c r="B363" s="150" t="inlineStr">
        <is>
          <t>M</t>
        </is>
      </c>
      <c r="C363" s="550">
        <f>C362+1</f>
        <v/>
      </c>
      <c r="G363" s="216" t="n"/>
      <c r="H363" s="57" t="n"/>
      <c r="N363" s="450" t="n">
        <v>1</v>
      </c>
      <c r="O363" s="216" t="n"/>
      <c r="T363" s="38" t="n"/>
      <c r="X363" s="20" t="n"/>
      <c r="AF363" s="450" t="n"/>
      <c r="AN363" s="45" t="n"/>
      <c r="AP363" s="45" t="n"/>
      <c r="AQ363" s="12" t="n"/>
      <c r="AR363" s="216" t="n">
        <v>40</v>
      </c>
      <c r="AS363" s="216" t="n"/>
      <c r="AT363" s="216" t="n"/>
      <c r="AU363" s="216">
        <f>N363+O363 + 0</f>
        <v/>
      </c>
      <c r="AW363" s="2">
        <f>SUM(AH363:AI363,AJ363/2,AK363:AL363)</f>
        <v/>
      </c>
      <c r="AX363" s="2">
        <f>AM363*0.5+SUM(AN363:AP363)</f>
        <v/>
      </c>
      <c r="AY363" s="39">
        <f>SUM(-AR363+AS363*0.01+AT363*0.5+AU363)</f>
        <v/>
      </c>
      <c r="AZ363" s="39">
        <f>'0分'!AF360</f>
        <v/>
      </c>
      <c r="BA363" s="39">
        <f>SUM(AY363,AX363,AW363)</f>
        <v/>
      </c>
      <c r="BB363" s="250" t="n"/>
      <c r="BC363" s="79">
        <f t="array" ref="BC363">SUMPRODUCT(--(NOT(ISBLANK('0₦'!D363:M363))), '0₦'!D$2:M$2) +  SUMPRODUCT(--(NOT(ISBLANK('0₦'!Q363:T363))), '0₦'!Q$2:T$2)</f>
        <v/>
      </c>
      <c r="BD363" s="250">
        <f t="array" ref="BD363">SUMPRODUCT(--(NOT(ISBLANK('0₦'!N363:P363))),'0₦'!N$2:P$2)+'0₦'!AY363</f>
        <v/>
      </c>
      <c r="BE363" s="79">
        <f t="array" ref="BE363">SUMPRODUCT(--(NOT(ISBLANK('0₦'!AA363:AC363))),'0₦'!AA$2:AC$2) + BF363</f>
        <v/>
      </c>
      <c r="BF363" s="79" t="n"/>
      <c r="BG363" s="79">
        <f t="array" ref="BG363">SUMPRODUCT(--(NOT(ISBLANK('0₦'!U363:Z363))), '0₦'!U$2:Z$2)</f>
        <v/>
      </c>
      <c r="BH363" s="79" t="n"/>
      <c r="BI363" s="79">
        <f>SUM(BG363:BH363)</f>
        <v/>
      </c>
      <c r="BJ363" s="79" t="n"/>
      <c r="BK363" s="79" t="n"/>
      <c r="BL363" s="79" t="n"/>
      <c r="BM363" s="79" t="n"/>
      <c r="BN363" s="79" t="n"/>
      <c r="BO363" s="79" t="n"/>
      <c r="BP363" s="79" t="n"/>
      <c r="BQ363" s="79" t="n"/>
      <c r="BR363" s="79" t="n"/>
      <c r="BS363" s="79" t="n"/>
      <c r="BT363" s="79" t="n"/>
      <c r="BU363" s="79" t="n"/>
      <c r="BV363" s="79" t="n"/>
      <c r="BW363" s="79" t="n"/>
      <c r="BX363" s="79" t="n"/>
      <c r="BY363" s="79" t="n"/>
      <c r="BZ363" s="79" t="n"/>
      <c r="CA363" s="79" t="n"/>
    </row>
    <row r="364" ht="17.1" customHeight="1" s="37">
      <c r="A364" s="551" t="n"/>
      <c r="B364" s="150" t="inlineStr">
        <is>
          <t>T</t>
        </is>
      </c>
      <c r="C364" s="550">
        <f>C363+1</f>
        <v/>
      </c>
      <c r="G364" s="216" t="n"/>
      <c r="H364" s="57" t="n"/>
      <c r="N364" s="450" t="n">
        <v>1</v>
      </c>
      <c r="O364" s="216" t="n"/>
      <c r="X364" s="20" t="n"/>
      <c r="AF364" s="450" t="n"/>
      <c r="AN364" s="45" t="n"/>
      <c r="AP364" s="45" t="n"/>
      <c r="AQ364" s="12" t="n"/>
      <c r="AR364" s="216" t="n">
        <v>40</v>
      </c>
      <c r="AS364" s="216" t="n"/>
      <c r="AT364" s="216" t="n"/>
      <c r="AU364" s="216">
        <f>N364+O364 + 0</f>
        <v/>
      </c>
      <c r="AW364" s="2">
        <f>SUM(AH364:AI364,AJ364/2,AK364:AL364)</f>
        <v/>
      </c>
      <c r="AX364" s="2">
        <f>AM364*0.5+SUM(AN364:AP364)</f>
        <v/>
      </c>
      <c r="AY364" s="39">
        <f>SUM(-AR364+AS364*0.01+AT364*0.5+AU364)</f>
        <v/>
      </c>
      <c r="AZ364" s="39">
        <f>'0分'!AF361</f>
        <v/>
      </c>
      <c r="BA364" s="39">
        <f>SUM(AY364,AX364,AW364)</f>
        <v/>
      </c>
      <c r="BB364" s="250" t="n"/>
      <c r="BC364" s="79">
        <f t="array" ref="BC364">SUMPRODUCT(--(NOT(ISBLANK('0₦'!D364:M364))), '0₦'!D$2:M$2) +  SUMPRODUCT(--(NOT(ISBLANK('0₦'!Q364:T364))), '0₦'!Q$2:T$2)</f>
        <v/>
      </c>
      <c r="BD364" s="250">
        <f t="array" ref="BD364">SUMPRODUCT(--(NOT(ISBLANK('0₦'!N364:P364))),'0₦'!N$2:P$2)+'0₦'!AY364</f>
        <v/>
      </c>
      <c r="BE364" s="79">
        <f t="array" ref="BE364">SUMPRODUCT(--(NOT(ISBLANK('0₦'!AA364:AC364))),'0₦'!AA$2:AC$2) + BF364</f>
        <v/>
      </c>
      <c r="BF364" s="79" t="n"/>
      <c r="BG364" s="79">
        <f t="array" ref="BG364">SUMPRODUCT(--(NOT(ISBLANK('0₦'!U364:Z364))), '0₦'!U$2:Z$2)</f>
        <v/>
      </c>
      <c r="BH364" s="79" t="n"/>
      <c r="BI364" s="79">
        <f>SUM(BG364:BH364)</f>
        <v/>
      </c>
      <c r="BJ364" s="79" t="n"/>
      <c r="BK364" s="79" t="n"/>
      <c r="BL364" s="79" t="n"/>
      <c r="BM364" s="79" t="n"/>
      <c r="BN364" s="79" t="n"/>
      <c r="BO364" s="79" t="n"/>
      <c r="BP364" s="79" t="n"/>
      <c r="BQ364" s="79" t="n"/>
      <c r="BR364" s="79" t="n"/>
      <c r="BS364" s="79" t="n"/>
      <c r="BT364" s="79" t="n"/>
      <c r="BU364" s="79" t="n"/>
      <c r="BV364" s="79" t="n"/>
      <c r="BW364" s="79" t="n"/>
      <c r="BX364" s="79" t="n"/>
      <c r="BY364" s="79" t="n"/>
      <c r="BZ364" s="79" t="n"/>
      <c r="CA364" s="79" t="n"/>
    </row>
    <row r="365" ht="17.1" customHeight="1" s="37">
      <c r="A365" s="551" t="n"/>
      <c r="B365" s="150" t="inlineStr">
        <is>
          <t>W</t>
        </is>
      </c>
      <c r="C365" s="550">
        <f>C364+1</f>
        <v/>
      </c>
      <c r="G365" s="216" t="n"/>
      <c r="H365" s="57" t="n"/>
      <c r="N365" s="450" t="n">
        <v>8</v>
      </c>
      <c r="O365" s="216" t="n"/>
      <c r="X365" s="20" t="n"/>
      <c r="AF365" s="450" t="n"/>
      <c r="AN365" s="45" t="n"/>
      <c r="AP365" s="45" t="n"/>
      <c r="AQ365" s="12" t="n"/>
      <c r="AR365" s="216" t="n">
        <v>40</v>
      </c>
      <c r="AS365" s="216" t="n"/>
      <c r="AT365" s="216" t="n"/>
      <c r="AU365" s="216">
        <f>N365+O365 + 0</f>
        <v/>
      </c>
      <c r="AW365" s="2">
        <f>SUM(AH365:AI365,AJ365/2,AK365:AL365)</f>
        <v/>
      </c>
      <c r="AX365" s="2">
        <f>AM365*0.5+SUM(AN365:AP365)</f>
        <v/>
      </c>
      <c r="AY365" s="39">
        <f>SUM(-AR365+AS365*0.01+AT365*0.5+AU365)</f>
        <v/>
      </c>
      <c r="AZ365" s="39">
        <f>'0分'!AF362</f>
        <v/>
      </c>
      <c r="BA365" s="39">
        <f>SUM(AY365,AX365,AW365)</f>
        <v/>
      </c>
      <c r="BB365" s="250" t="n"/>
      <c r="BC365" s="79">
        <f t="array" ref="BC365">SUMPRODUCT(--(NOT(ISBLANK('0₦'!D365:M365))), '0₦'!D$2:M$2) +  SUMPRODUCT(--(NOT(ISBLANK('0₦'!Q365:T365))), '0₦'!Q$2:T$2)</f>
        <v/>
      </c>
      <c r="BD365" s="250">
        <f t="array" ref="BD365">SUMPRODUCT(--(NOT(ISBLANK('0₦'!N365:P365))),'0₦'!N$2:P$2)+'0₦'!AY365</f>
        <v/>
      </c>
      <c r="BE365" s="79">
        <f t="array" ref="BE365">SUMPRODUCT(--(NOT(ISBLANK('0₦'!AA365:AC365))),'0₦'!AA$2:AC$2) + BF365</f>
        <v/>
      </c>
      <c r="BF365" s="79" t="n"/>
      <c r="BG365" s="79">
        <f t="array" ref="BG365">SUMPRODUCT(--(NOT(ISBLANK('0₦'!U365:Z365))), '0₦'!U$2:Z$2)</f>
        <v/>
      </c>
      <c r="BH365" s="79" t="n"/>
      <c r="BI365" s="79">
        <f>SUM(BG365:BH365)</f>
        <v/>
      </c>
      <c r="BJ365" s="79" t="n"/>
      <c r="BK365" s="79" t="n"/>
      <c r="BL365" s="79" t="n"/>
      <c r="BM365" s="79" t="n"/>
      <c r="BN365" s="79" t="n"/>
      <c r="BO365" s="79" t="n"/>
      <c r="BP365" s="79" t="n"/>
      <c r="BQ365" s="79" t="n"/>
      <c r="BR365" s="79" t="n"/>
      <c r="BS365" s="79" t="n"/>
      <c r="BT365" s="79" t="n"/>
      <c r="BU365" s="79" t="n"/>
      <c r="BV365" s="79" t="n"/>
      <c r="BW365" s="79" t="n"/>
      <c r="BX365" s="79" t="n"/>
      <c r="BY365" s="79" t="n"/>
      <c r="BZ365" s="79" t="n"/>
      <c r="CA365" s="79" t="n"/>
    </row>
    <row r="366" ht="17.1" customHeight="1" s="37">
      <c r="A366" s="551" t="n"/>
      <c r="B366" s="150" t="inlineStr">
        <is>
          <t>Th</t>
        </is>
      </c>
      <c r="C366" s="550">
        <f>C365+1</f>
        <v/>
      </c>
      <c r="G366" s="216" t="n"/>
      <c r="H366" s="57" t="n"/>
      <c r="N366" s="450" t="n">
        <v>7</v>
      </c>
      <c r="O366" s="216" t="n"/>
      <c r="X366" s="20" t="n"/>
      <c r="AF366" s="450" t="n"/>
      <c r="AN366" s="45" t="n"/>
      <c r="AP366" s="45" t="n"/>
      <c r="AQ366" s="12" t="n"/>
      <c r="AR366" s="216" t="n">
        <v>40</v>
      </c>
      <c r="AS366" s="216" t="n"/>
      <c r="AT366" s="216" t="n"/>
      <c r="AU366" s="216">
        <f>N366+O366 + 0</f>
        <v/>
      </c>
      <c r="AW366" s="2">
        <f>SUM(AH366:AI366,AJ366/2,AK366:AL366)</f>
        <v/>
      </c>
      <c r="AX366" s="2">
        <f>AM366*0.5+SUM(AN366:AP366)</f>
        <v/>
      </c>
      <c r="AY366" s="39">
        <f>SUM(-AR366+AS366*0.01+AT366*0.5+AU366)</f>
        <v/>
      </c>
      <c r="AZ366" s="39">
        <f>'0分'!AF363</f>
        <v/>
      </c>
      <c r="BA366" s="39">
        <f>SUM(AY366,AX366,AW366)</f>
        <v/>
      </c>
      <c r="BB366" s="250" t="n"/>
      <c r="BC366" s="79">
        <f t="array" ref="BC366">SUMPRODUCT(--(NOT(ISBLANK('0₦'!D366:M366))), '0₦'!D$2:M$2) +  SUMPRODUCT(--(NOT(ISBLANK('0₦'!Q366:T366))), '0₦'!Q$2:T$2)</f>
        <v/>
      </c>
      <c r="BD366" s="250">
        <f t="array" ref="BD366">SUMPRODUCT(--(NOT(ISBLANK('0₦'!N366:P366))),'0₦'!N$2:P$2)+'0₦'!AY366</f>
        <v/>
      </c>
      <c r="BE366" s="79">
        <f t="array" ref="BE366">SUMPRODUCT(--(NOT(ISBLANK('0₦'!AA366:AC366))),'0₦'!AA$2:AC$2) + BF366</f>
        <v/>
      </c>
      <c r="BF366" s="79" t="n"/>
      <c r="BG366" s="79">
        <f t="array" ref="BG366">SUMPRODUCT(--(NOT(ISBLANK('0₦'!U366:Z366))), '0₦'!U$2:Z$2)</f>
        <v/>
      </c>
      <c r="BH366" s="79" t="n"/>
      <c r="BI366" s="79">
        <f>SUM(BG366:BH366)</f>
        <v/>
      </c>
      <c r="BJ366" s="79" t="n"/>
      <c r="BK366" s="79" t="n"/>
      <c r="BL366" s="79" t="n"/>
      <c r="BM366" s="79" t="n"/>
      <c r="BN366" s="79" t="n"/>
      <c r="BO366" s="79" t="n"/>
      <c r="BP366" s="79" t="n"/>
      <c r="BQ366" s="79" t="n"/>
      <c r="BR366" s="79" t="n"/>
      <c r="BS366" s="79" t="n"/>
      <c r="BT366" s="79" t="n"/>
      <c r="BU366" s="79" t="n"/>
      <c r="BV366" s="79" t="n"/>
      <c r="BW366" s="79" t="n"/>
      <c r="BX366" s="79" t="n"/>
      <c r="BY366" s="79" t="n"/>
      <c r="BZ366" s="79" t="n"/>
      <c r="CA366" s="79" t="n"/>
    </row>
    <row r="367" ht="17.1" customHeight="1" s="37">
      <c r="A367" s="551" t="n"/>
      <c r="B367" s="150" t="inlineStr">
        <is>
          <t>F</t>
        </is>
      </c>
      <c r="C367" s="550">
        <f>C366+1</f>
        <v/>
      </c>
      <c r="G367" s="216" t="n"/>
      <c r="H367" s="57" t="n"/>
      <c r="N367" s="450" t="n">
        <v>1</v>
      </c>
      <c r="O367" s="216" t="n"/>
      <c r="X367" s="20" t="n"/>
      <c r="AF367" s="450" t="n"/>
      <c r="AN367" s="45" t="n"/>
      <c r="AP367" s="45" t="n"/>
      <c r="AQ367" s="12" t="n"/>
      <c r="AR367" s="216" t="n">
        <v>40</v>
      </c>
      <c r="AS367" s="216" t="n"/>
      <c r="AT367" s="216" t="n"/>
      <c r="AU367" s="216">
        <f>N367+O367 + 0</f>
        <v/>
      </c>
      <c r="AW367" s="2">
        <f>SUM(AH367:AI367,AJ367/2,AK367:AL367)</f>
        <v/>
      </c>
      <c r="AX367" s="2">
        <f>AM367*0.5+SUM(AN367:AP367)</f>
        <v/>
      </c>
      <c r="AY367" s="39">
        <f>SUM(-AR367+AS367*0.01+AT367*0.5+AU367)</f>
        <v/>
      </c>
      <c r="AZ367" s="39">
        <f>'0分'!AF364</f>
        <v/>
      </c>
      <c r="BA367" s="39">
        <f>SUM(AY367,AX367,AW367)</f>
        <v/>
      </c>
      <c r="BB367" s="250" t="n"/>
      <c r="BC367" s="79">
        <f t="array" ref="BC367">SUMPRODUCT(--(NOT(ISBLANK('0₦'!D367:M367))), '0₦'!D$2:M$2) +  SUMPRODUCT(--(NOT(ISBLANK('0₦'!Q367:T367))), '0₦'!Q$2:T$2)</f>
        <v/>
      </c>
      <c r="BD367" s="250">
        <f t="array" ref="BD367">SUMPRODUCT(--(NOT(ISBLANK('0₦'!N367:P367))),'0₦'!N$2:P$2)+'0₦'!AY367</f>
        <v/>
      </c>
      <c r="BE367" s="79">
        <f t="array" ref="BE367">SUMPRODUCT(--(NOT(ISBLANK('0₦'!AA367:AC367))),'0₦'!AA$2:AC$2) + BF367</f>
        <v/>
      </c>
      <c r="BF367" s="79" t="n"/>
      <c r="BG367" s="79">
        <f t="array" ref="BG367">SUMPRODUCT(--(NOT(ISBLANK('0₦'!U367:Z367))), '0₦'!U$2:Z$2)</f>
        <v/>
      </c>
      <c r="BH367" s="79" t="n"/>
      <c r="BI367" s="79">
        <f>SUM(BG367:BH367)</f>
        <v/>
      </c>
      <c r="BJ367" s="79" t="n"/>
      <c r="BK367" s="79" t="n"/>
      <c r="BL367" s="79" t="n"/>
      <c r="BM367" s="79" t="n"/>
      <c r="BN367" s="79" t="n"/>
      <c r="BO367" s="79" t="n"/>
      <c r="BP367" s="79" t="n"/>
      <c r="BQ367" s="79" t="n"/>
      <c r="BR367" s="79" t="n"/>
      <c r="BS367" s="79" t="n"/>
      <c r="BT367" s="79" t="n"/>
      <c r="BU367" s="79" t="n"/>
      <c r="BV367" s="79" t="n"/>
      <c r="BW367" s="79" t="n"/>
      <c r="BX367" s="79" t="n"/>
      <c r="BY367" s="79" t="n"/>
      <c r="BZ367" s="79" t="n"/>
      <c r="CA367" s="79" t="n"/>
    </row>
    <row r="368" ht="17.1" customHeight="1" s="37">
      <c r="A368" s="552" t="n"/>
      <c r="B368" s="150" t="inlineStr">
        <is>
          <t>S</t>
        </is>
      </c>
      <c r="C368" s="550">
        <f>C367+1</f>
        <v/>
      </c>
      <c r="G368" s="216" t="n"/>
      <c r="H368" s="57" t="n"/>
      <c r="N368" s="450" t="n">
        <v>1</v>
      </c>
      <c r="O368" s="216" t="n"/>
      <c r="U368" s="450" t="n">
        <v>2</v>
      </c>
      <c r="X368" s="20" t="n"/>
      <c r="AE368" s="450" t="n">
        <v>1</v>
      </c>
      <c r="AF368" s="450" t="n"/>
      <c r="AN368" s="45" t="n"/>
      <c r="AP368" s="45" t="n"/>
      <c r="AQ368" s="12" t="n"/>
      <c r="AR368" s="216" t="n">
        <v>40</v>
      </c>
      <c r="AS368" s="216" t="n"/>
      <c r="AT368" s="216" t="n"/>
      <c r="AU368" s="216">
        <f>N368+O368 + 0</f>
        <v/>
      </c>
      <c r="AW368" s="2">
        <f>SUM(AH368:AI368,AJ368/2,AK368:AL368)</f>
        <v/>
      </c>
      <c r="AX368" s="2">
        <f>AM368*0.5+SUM(AN368:AP368)</f>
        <v/>
      </c>
      <c r="AY368" s="39">
        <f>SUM(-AR368+AS368*0.01+AT368*0.5+AU368)</f>
        <v/>
      </c>
      <c r="AZ368" s="39">
        <f>'0分'!AF365</f>
        <v/>
      </c>
      <c r="BA368" s="39">
        <f>SUM(AY368,AX368,AW368)</f>
        <v/>
      </c>
      <c r="BB368" s="250" t="n"/>
      <c r="BC368" s="79">
        <f t="array" ref="BC368">SUMPRODUCT(--(NOT(ISBLANK('0₦'!D368:M368))), '0₦'!D$2:M$2) +  SUMPRODUCT(--(NOT(ISBLANK('0₦'!Q368:T368))), '0₦'!Q$2:T$2)</f>
        <v/>
      </c>
      <c r="BD368" s="250">
        <f t="array" ref="BD368">SUMPRODUCT(--(NOT(ISBLANK('0₦'!N368:P368))),'0₦'!N$2:P$2)+'0₦'!AY368</f>
        <v/>
      </c>
      <c r="BE368" s="79">
        <f t="array" ref="BE368">SUMPRODUCT(--(NOT(ISBLANK('0₦'!AA368:AC368))),'0₦'!AA$2:AC$2) + BF368</f>
        <v/>
      </c>
      <c r="BF368" s="79" t="n"/>
      <c r="BG368" s="79">
        <f t="array" ref="BG368">SUMPRODUCT(--(NOT(ISBLANK('0₦'!U368:Z368))), '0₦'!U$2:Z$2)</f>
        <v/>
      </c>
      <c r="BH368" s="79" t="n"/>
      <c r="BI368" s="79">
        <f>SUM(BG368:BH368)</f>
        <v/>
      </c>
      <c r="BJ368" s="79" t="n"/>
      <c r="BK368" s="79" t="n"/>
      <c r="BL368" s="79" t="n"/>
      <c r="BM368" s="79" t="n"/>
      <c r="BN368" s="79" t="n"/>
      <c r="BO368" s="79" t="n"/>
      <c r="BP368" s="79" t="n"/>
      <c r="BQ368" s="79" t="n"/>
      <c r="BR368" s="79" t="n"/>
      <c r="BS368" s="79" t="n"/>
      <c r="BT368" s="79" t="n"/>
      <c r="BU368" s="79" t="n"/>
      <c r="BV368" s="79" t="n"/>
      <c r="BW368" s="79" t="n"/>
      <c r="BX368" s="79" t="n"/>
      <c r="BY368" s="79" t="n"/>
      <c r="BZ368" s="79" t="n"/>
      <c r="CA368" s="79" t="n"/>
    </row>
    <row r="369">
      <c r="A369" s="480" t="n"/>
      <c r="B369" s="480" t="n"/>
      <c r="C369" s="20" t="n"/>
      <c r="D369" s="9" t="n"/>
      <c r="E369" s="9" t="n"/>
      <c r="F369" s="9" t="n"/>
      <c r="G369" s="9" t="n"/>
      <c r="H369" s="9" t="n"/>
      <c r="I369" s="9" t="n"/>
      <c r="J369" s="9" t="n"/>
      <c r="K369" s="9" t="n"/>
      <c r="L369" s="20" t="n"/>
      <c r="M369" s="20" t="n"/>
      <c r="N369" s="9" t="n"/>
      <c r="O369" s="20" t="n"/>
      <c r="P369" s="85" t="n"/>
      <c r="Q369" s="20" t="n"/>
      <c r="R369" s="20" t="n"/>
      <c r="S369" s="20" t="n"/>
      <c r="T369" s="20" t="n"/>
      <c r="U369" s="9" t="n"/>
      <c r="V369" s="20" t="n"/>
      <c r="W369" s="20" t="n"/>
      <c r="X369" s="20" t="n"/>
      <c r="Y369" s="20" t="n"/>
      <c r="Z369" s="20" t="n"/>
      <c r="AA369" s="20" t="n"/>
      <c r="AB369" s="20" t="n"/>
      <c r="AC369" s="20" t="n"/>
      <c r="AD369" s="20" t="n"/>
      <c r="AE369" s="9" t="n"/>
      <c r="AF369" s="152" t="n"/>
      <c r="AG369" s="151" t="n"/>
      <c r="AH369" s="9" t="n"/>
      <c r="AI369" s="20" t="n"/>
      <c r="AJ369" s="20" t="n"/>
      <c r="AK369" s="20" t="n"/>
      <c r="AL369" s="20" t="n"/>
      <c r="AM369" s="20" t="n"/>
      <c r="AN369" s="20" t="n"/>
      <c r="AO369" s="20" t="n"/>
      <c r="AP369" s="20" t="n"/>
      <c r="AQ369" s="6" t="n"/>
      <c r="AR369" s="20" t="n"/>
      <c r="AS369" s="20" t="n"/>
      <c r="AT369" s="20" t="n"/>
      <c r="AU369" s="20" t="n"/>
      <c r="AW369" s="20" t="n"/>
      <c r="AX369" s="20" t="n"/>
      <c r="AY369" s="335" t="n"/>
      <c r="AZ369" s="335" t="n"/>
      <c r="BA369" s="335" t="n"/>
      <c r="BB369" s="79" t="n"/>
      <c r="BC369" s="79" t="n"/>
      <c r="BD369" s="79" t="n"/>
      <c r="BE369" s="79" t="n"/>
      <c r="BF369" s="79" t="n"/>
      <c r="BG369" s="79" t="n"/>
      <c r="BH369" s="79" t="n"/>
      <c r="BI369" s="79" t="n"/>
      <c r="BJ369" s="79" t="n"/>
      <c r="BK369" s="79" t="n"/>
      <c r="BL369" s="79" t="n"/>
      <c r="BM369" s="79" t="n"/>
      <c r="BN369" s="79" t="n"/>
      <c r="BO369" s="79" t="n"/>
      <c r="BP369" s="79" t="n"/>
      <c r="BQ369" s="79" t="n"/>
      <c r="BR369" s="79" t="n"/>
      <c r="BS369" s="79" t="n"/>
      <c r="BT369" s="79" t="n"/>
      <c r="BU369" s="79" t="n"/>
      <c r="BV369" s="79" t="n"/>
      <c r="BW369" s="79" t="n"/>
      <c r="BX369" s="79" t="n"/>
      <c r="BY369" s="79" t="n"/>
      <c r="BZ369" s="79" t="n"/>
      <c r="CA369" s="79" t="n"/>
    </row>
    <row r="370" ht="15.75" customHeight="1" s="37">
      <c r="A370" s="126" t="n"/>
      <c r="B370" s="126" t="n"/>
      <c r="C370" s="20" t="inlineStr">
        <is>
          <t>Q1</t>
        </is>
      </c>
      <c r="M370" s="553">
        <f>(COUNT(N5:N95) - (MIN(13*7, TODAY()-C96) )) * 2</f>
        <v/>
      </c>
      <c r="O370" s="553">
        <f>(COUNT(O5:O95) - (MIN(13*7, TODAY()-C5))) * 7</f>
        <v/>
      </c>
      <c r="AD370" s="456">
        <f>hcbi!X379</f>
        <v/>
      </c>
      <c r="AI370" s="554">
        <f>SUM(AI5:AI95)-(13*7)*45</f>
        <v/>
      </c>
      <c r="AJ370" s="378" t="n"/>
      <c r="AK370" s="378" t="n"/>
      <c r="AL370" s="378" t="n"/>
      <c r="AM370" s="247">
        <f>SUM(AM5:AM95)-COUNT(AM5:AM101)*60</f>
        <v/>
      </c>
      <c r="AN370" s="247">
        <f>SUM(AN5:AN95)-COUNT(AN5:AN95)*15</f>
        <v/>
      </c>
      <c r="AO370" s="247">
        <f>SUM(AO5:AO95)-COUNT(AO5:AO95)*10</f>
        <v/>
      </c>
      <c r="AP370" s="247">
        <f>SUM(AP5:AP95)-COUNT(AP5:AP95)*5</f>
        <v/>
      </c>
      <c r="AQ370" s="9" t="n"/>
      <c r="AR370" s="45" t="n"/>
      <c r="AS370" s="45" t="n"/>
      <c r="AT370" s="45" t="n"/>
      <c r="AU370" s="430">
        <f>SUM(AU5:AU95)+SUM(#REF!)*0.5 - COUNT(AU5:AU95)*50 + SUM(AT5:AT95)*0.5</f>
        <v/>
      </c>
      <c r="AW370" s="9">
        <f>SUM(AW6:AW96)</f>
        <v/>
      </c>
      <c r="AX370" s="9">
        <f>SUM(AX6:AX96)</f>
        <v/>
      </c>
      <c r="AY370" s="454">
        <f>SUM(AY6:AY96)</f>
        <v/>
      </c>
      <c r="AZ370" s="454" t="n"/>
      <c r="BA370" s="454" t="n"/>
      <c r="BB370" s="454" t="n"/>
      <c r="BC370" s="39">
        <f>SUM(AY370,AX370,AW370)/SUM(AY$2,AX$2,AW$2)</f>
        <v/>
      </c>
    </row>
    <row r="371" ht="15.75" customHeight="1" s="37">
      <c r="A371" s="126" t="n"/>
      <c r="B371" s="126" t="n"/>
      <c r="C371" s="20" t="inlineStr">
        <is>
          <t>Q2</t>
        </is>
      </c>
      <c r="M371" s="553">
        <f>(COUNT(O96:O186) - (MIN(13*7, TODAY()-C96) )) * 2</f>
        <v/>
      </c>
      <c r="O371" s="553">
        <f>(COUNT(O96:O186) -  (MIN(13*7, TODAY()-C96))) * 7</f>
        <v/>
      </c>
      <c r="AD371" s="456">
        <f>hcbi!X382</f>
        <v/>
      </c>
      <c r="AI371" s="554">
        <f>SUM(AI96:AI187)-(13*7)*45</f>
        <v/>
      </c>
      <c r="AJ371" s="378" t="n"/>
      <c r="AK371" s="378" t="n"/>
      <c r="AL371" s="378" t="n"/>
      <c r="AM371" s="247">
        <f>SUM(AM96:AM186)-COUNT(AM102:AM186)*60</f>
        <v/>
      </c>
      <c r="AN371" s="247">
        <f>SUM(AN96:AN186)-COUNT(AN102:AN186)*15</f>
        <v/>
      </c>
      <c r="AO371" s="247">
        <f>SUM(AO96:AO186)-COUNT(AO96:AO186)*10</f>
        <v/>
      </c>
      <c r="AP371" s="247">
        <f>SUM(AP96:AP186)-COUNT(AP96:AP186)*5</f>
        <v/>
      </c>
      <c r="AQ371" s="9" t="n"/>
      <c r="AR371" s="45" t="n"/>
      <c r="AS371" s="45" t="n"/>
      <c r="AT371" s="45" t="n"/>
      <c r="AU371" s="430">
        <f>SUM(AU96:AU186)+SUM(#REF!)*0.5 - COUNT(AU96:AU186)*50 + SUM(AT96:AT186)*0.5</f>
        <v/>
      </c>
      <c r="AW371" s="9">
        <f>SUM(AW97:AW187)</f>
        <v/>
      </c>
      <c r="AX371" s="9">
        <f>SUM(AX97:AX187)</f>
        <v/>
      </c>
      <c r="AY371" s="454">
        <f>SUM(AY97:AY187)</f>
        <v/>
      </c>
      <c r="AZ371" s="454" t="n"/>
      <c r="BA371" s="454" t="n"/>
      <c r="BB371" s="454" t="n"/>
      <c r="BC371" s="39">
        <f>SUM(AY371,AX371,AW371)/SUM(AY$2,AX$2,AW$2)</f>
        <v/>
      </c>
    </row>
    <row r="372">
      <c r="A372" s="126" t="n"/>
      <c r="B372" s="126" t="n"/>
      <c r="C372" s="20" t="inlineStr">
        <is>
          <t>Q3</t>
        </is>
      </c>
      <c r="M372" s="553">
        <f>(COUNT(N187:N277)- (MIN(13*7, TODAY()-C186) )) * 2</f>
        <v/>
      </c>
      <c r="O372" s="553">
        <f>(COUNT(O187:O277)-(MIN(13*7,TODAY()-C186)))*7</f>
        <v/>
      </c>
      <c r="AD372" s="456">
        <f>hcbi!X385</f>
        <v/>
      </c>
      <c r="AI372" s="554">
        <f>SUM(AI187:AI277)-(COUNT(AI187:AI277))*45</f>
        <v/>
      </c>
      <c r="AJ372" s="378" t="n"/>
      <c r="AK372" s="378" t="n"/>
      <c r="AL372" s="378" t="n"/>
      <c r="AM372" s="247">
        <f>SUM(AM188:AM277)-COUNT(AM188:AM277)*50</f>
        <v/>
      </c>
      <c r="AN372" s="247">
        <f>SUM(AN188:AN277)-COUNT(AN188:AN277)*15</f>
        <v/>
      </c>
      <c r="AO372" s="247">
        <f>SUM(AO188:AO277)-COUNT(AO188:AO277)*10</f>
        <v/>
      </c>
      <c r="AP372" s="247">
        <f>SUM(AP188:AP277)-COUNT(AP188:AP277)*5</f>
        <v/>
      </c>
      <c r="AQ372" s="9" t="n"/>
      <c r="AR372" s="45" t="n"/>
      <c r="AS372" s="45" t="n"/>
      <c r="AT372" s="45" t="n"/>
      <c r="AU372" s="430">
        <f>SUM(AU188:AU277)+SUM(#REF!)*0.5 + SUM(AT188:AT286)*0.5- COUNT(AU188:AU286)*50</f>
        <v/>
      </c>
      <c r="AW372" s="9">
        <f>SUM(AW188:AW280)</f>
        <v/>
      </c>
      <c r="AX372" s="9">
        <f>SUM(AX188:AX280)</f>
        <v/>
      </c>
      <c r="AY372" s="454">
        <f>SUM(AY188:AY280)</f>
        <v/>
      </c>
      <c r="AZ372" s="454" t="n"/>
      <c r="BA372" s="454">
        <f>SUM(BA188:BA277)</f>
        <v/>
      </c>
      <c r="BC372" s="39">
        <f>SUM(AY372,AX372,AW372)/SUM(AY$2,AX$2,AW$2)</f>
        <v/>
      </c>
    </row>
    <row r="373" ht="15.75" customHeight="1" s="37">
      <c r="A373" s="126" t="n"/>
      <c r="B373" s="126" t="n"/>
      <c r="C373" s="20" t="inlineStr">
        <is>
          <t>Q4</t>
        </is>
      </c>
      <c r="M373" s="553">
        <f>IF(TODAY()-C277 &lt; 0, 0, COUNT(O278:O368) - ((13*7 &gt; TODAY()-C277) - 1) * 2)</f>
        <v/>
      </c>
      <c r="O373" s="553">
        <f>IF(TODAY()-C277 &lt; 0, 0, COUNT(N278:N368) - ((13*7 &gt; TODAY()-C277) - 1) * -2)</f>
        <v/>
      </c>
      <c r="AD373" s="456">
        <f>hcbi!X388</f>
        <v/>
      </c>
      <c r="AI373" s="554">
        <f>SUM(AI370:AI372)</f>
        <v/>
      </c>
      <c r="AJ373" s="378" t="n"/>
      <c r="AK373" s="378" t="n"/>
      <c r="AL373" s="378" t="n"/>
      <c r="AM373" s="247">
        <f>SUM(AM277:AM368)-COUNT(AM278:AM368)*50</f>
        <v/>
      </c>
      <c r="AN373" s="247">
        <f>SUM(AN277:AN368)-COUNT(AN278:AN368)*15</f>
        <v/>
      </c>
      <c r="AO373" s="247">
        <f>SUM(AO277:AO368)-COUNT(AO278:AO368)*10</f>
        <v/>
      </c>
      <c r="AP373" s="247">
        <f>SUM(AP277:AP368)-COUNT(AP278:AP368)*5</f>
        <v/>
      </c>
      <c r="AQ373" s="454" t="n"/>
      <c r="AR373" s="45" t="n"/>
      <c r="AS373" s="45" t="n"/>
      <c r="AT373" s="45" t="n"/>
      <c r="AU373" s="430" t="n"/>
      <c r="AW373" s="454" t="n"/>
      <c r="AX373" s="454" t="n"/>
      <c r="AY373" s="454" t="n"/>
      <c r="AZ373" s="454" t="n"/>
      <c r="BA373" s="454" t="n"/>
      <c r="BB373" s="454" t="n"/>
      <c r="BC373" s="39" t="n"/>
    </row>
    <row r="374" ht="15.75" customHeight="1" s="37">
      <c r="A374" s="126" t="n"/>
      <c r="B374" s="126" t="n"/>
      <c r="C374" s="12" t="n"/>
      <c r="M374" s="555" t="n"/>
      <c r="N374" s="555" t="n"/>
      <c r="O374" s="555" t="n"/>
      <c r="P374" s="555" t="n"/>
      <c r="AI374" s="2" t="n"/>
      <c r="AJ374" s="2" t="n"/>
      <c r="AK374" s="2" t="n"/>
      <c r="AL374" s="2" t="n"/>
      <c r="AM374" s="335" t="n"/>
      <c r="AN374" s="2" t="n"/>
      <c r="AO374" s="2" t="n"/>
      <c r="AP374" s="2" t="n"/>
      <c r="AQ374" s="454" t="n"/>
      <c r="AR374" s="450">
        <f>AVERAGE(AR5:AR277)</f>
        <v/>
      </c>
      <c r="AS374" s="450">
        <f>AVERAGE(AS5:AS277)</f>
        <v/>
      </c>
      <c r="AT374" s="450">
        <f>AVERAGE(AT5:AT277)</f>
        <v/>
      </c>
      <c r="AU374" s="450">
        <f>AVERAGE(AU5:AU277)</f>
        <v/>
      </c>
      <c r="AW374" s="454" t="n"/>
      <c r="AX374" s="454" t="n"/>
      <c r="AY374" s="454" t="n"/>
      <c r="AZ374" s="454" t="n"/>
      <c r="BA374" s="454" t="n"/>
      <c r="BB374" s="454" t="n"/>
      <c r="BC374" s="39" t="n"/>
    </row>
    <row r="375" ht="30" customHeight="1" s="37">
      <c r="A375" s="126" t="n"/>
      <c r="B375" s="126" t="n"/>
      <c r="C375" s="12" t="inlineStr">
        <is>
          <t>Target 1</t>
        </is>
      </c>
      <c r="M375" s="556">
        <f>SUM(M370:N373)</f>
        <v/>
      </c>
      <c r="O375" s="556">
        <f>SUM(O370:P373)</f>
        <v/>
      </c>
      <c r="AD375" s="456">
        <f>hcbi!X384</f>
        <v/>
      </c>
      <c r="AI375" s="554">
        <f>AI371+AI370+AI372</f>
        <v/>
      </c>
      <c r="AJ375" s="2" t="n"/>
      <c r="AK375" s="2" t="n"/>
      <c r="AL375" s="2" t="n"/>
      <c r="AM375" s="256">
        <f>SUM(AM370:AM373)</f>
        <v/>
      </c>
      <c r="AN375" s="256">
        <f>SUM(AN370:AN373)</f>
        <v/>
      </c>
      <c r="AO375" s="256">
        <f>SUM(AO370:AO373)</f>
        <v/>
      </c>
      <c r="AP375" s="256">
        <f>SUM(AP370:AP373)</f>
        <v/>
      </c>
      <c r="AQ375" s="9" t="n"/>
      <c r="AU375" s="430">
        <f>SUM(AU370:AU373)</f>
        <v/>
      </c>
      <c r="AW375" s="9">
        <f>SUM(AW282:AW368)</f>
        <v/>
      </c>
      <c r="AX375" s="9">
        <f>SUM(AX282:AX368)</f>
        <v/>
      </c>
      <c r="AY375" s="454">
        <f>SUM(AY282:AY368)</f>
        <v/>
      </c>
      <c r="AZ375" s="454" t="n"/>
      <c r="BA375" s="454" t="n"/>
      <c r="BB375" s="454" t="n"/>
      <c r="BC375" s="39">
        <f>SUM(AY375,AX375,AW375)/SUM(AY$2,AX$2,AW$2)</f>
        <v/>
      </c>
    </row>
    <row r="376">
      <c r="A376" s="126" t="n"/>
      <c r="B376" s="126" t="n"/>
      <c r="C376" s="12" t="n"/>
      <c r="AM376" s="458">
        <f>SUM(AM375:AP375)</f>
        <v/>
      </c>
      <c r="AQ376" s="6" t="n"/>
    </row>
    <row r="378">
      <c r="AO378" s="38" t="n"/>
      <c r="CA378" s="57" t="n"/>
    </row>
  </sheetData>
  <mergeCells count="70">
    <mergeCell ref="AD372:AE372"/>
    <mergeCell ref="M372:N372"/>
    <mergeCell ref="A145:A151"/>
    <mergeCell ref="A341:A347"/>
    <mergeCell ref="A292:A298"/>
    <mergeCell ref="A12:A18"/>
    <mergeCell ref="O375:P375"/>
    <mergeCell ref="A306:A312"/>
    <mergeCell ref="AD371:AE371"/>
    <mergeCell ref="A89:A95"/>
    <mergeCell ref="A313:A319"/>
    <mergeCell ref="A327:A333"/>
    <mergeCell ref="A5:A11"/>
    <mergeCell ref="A194:A200"/>
    <mergeCell ref="A285:A291"/>
    <mergeCell ref="AR3:AU3"/>
    <mergeCell ref="A26:A32"/>
    <mergeCell ref="O372:P372"/>
    <mergeCell ref="A131:A137"/>
    <mergeCell ref="M371:N371"/>
    <mergeCell ref="A278:A284"/>
    <mergeCell ref="A33:A39"/>
    <mergeCell ref="A47:A53"/>
    <mergeCell ref="A159:A165"/>
    <mergeCell ref="A299:A305"/>
    <mergeCell ref="M370:N370"/>
    <mergeCell ref="AD370:AE370"/>
    <mergeCell ref="A68:A74"/>
    <mergeCell ref="O373:P373"/>
    <mergeCell ref="A215:A221"/>
    <mergeCell ref="A348:A354"/>
    <mergeCell ref="A229:A235"/>
    <mergeCell ref="A180:A186"/>
    <mergeCell ref="AD373:AE373"/>
    <mergeCell ref="A96:A102"/>
    <mergeCell ref="A320:A326"/>
    <mergeCell ref="BA372:BB372"/>
    <mergeCell ref="A152:A158"/>
    <mergeCell ref="A201:A207"/>
    <mergeCell ref="A19:A25"/>
    <mergeCell ref="M375:N375"/>
    <mergeCell ref="A117:A123"/>
    <mergeCell ref="A257:A263"/>
    <mergeCell ref="A362:A368"/>
    <mergeCell ref="A250:A256"/>
    <mergeCell ref="AD375:AE375"/>
    <mergeCell ref="A173:A179"/>
    <mergeCell ref="A40:A46"/>
    <mergeCell ref="A208:A214"/>
    <mergeCell ref="A54:A60"/>
    <mergeCell ref="A138:A144"/>
    <mergeCell ref="A334:A340"/>
    <mergeCell ref="A110:A116"/>
    <mergeCell ref="A166:A172"/>
    <mergeCell ref="A124:A130"/>
    <mergeCell ref="A61:A67"/>
    <mergeCell ref="A82:A88"/>
    <mergeCell ref="A355:A361"/>
    <mergeCell ref="A222:A228"/>
    <mergeCell ref="A187:A193"/>
    <mergeCell ref="O371:P371"/>
    <mergeCell ref="A103:A109"/>
    <mergeCell ref="A236:A242"/>
    <mergeCell ref="O370:P370"/>
    <mergeCell ref="A243:A249"/>
    <mergeCell ref="AM376:AP376"/>
    <mergeCell ref="M373:N373"/>
    <mergeCell ref="A264:A270"/>
    <mergeCell ref="A271:A277"/>
    <mergeCell ref="A75:A81"/>
  </mergeCells>
  <conditionalFormatting sqref="D5:D369">
    <cfRule type="cellIs" priority="212" operator="greaterThan" dxfId="15" stopIfTrue="1">
      <formula>525</formula>
    </cfRule>
    <cfRule type="cellIs" priority="213" operator="between" dxfId="34">
      <formula>420</formula>
      <formula>525</formula>
    </cfRule>
  </conditionalFormatting>
  <conditionalFormatting sqref="E5:E368">
    <cfRule type="cellIs" priority="29" operator="equal" dxfId="98">
      <formula>3</formula>
    </cfRule>
    <cfRule type="cellIs" priority="28" operator="equal" dxfId="24">
      <formula>2</formula>
    </cfRule>
  </conditionalFormatting>
  <conditionalFormatting sqref="E5:E369">
    <cfRule type="cellIs" priority="27" operator="equal" dxfId="15">
      <formula>1</formula>
    </cfRule>
  </conditionalFormatting>
  <conditionalFormatting sqref="F5:F368">
    <cfRule type="cellIs" priority="17" operator="greaterThan" dxfId="278">
      <formula>0</formula>
    </cfRule>
  </conditionalFormatting>
  <conditionalFormatting sqref="G5">
    <cfRule type="cellIs" priority="33" operator="greaterThan" dxfId="277">
      <formula>0.1</formula>
    </cfRule>
  </conditionalFormatting>
  <conditionalFormatting sqref="H5:H368">
    <cfRule type="cellIs" priority="25" operator="greaterThan" dxfId="276">
      <formula>0.1</formula>
    </cfRule>
  </conditionalFormatting>
  <conditionalFormatting sqref="I5:I368">
    <cfRule type="cellIs" priority="23" operator="greaterThan" dxfId="275">
      <formula>0.1</formula>
    </cfRule>
  </conditionalFormatting>
  <conditionalFormatting sqref="J5:J368">
    <cfRule type="cellIs" priority="24" operator="greaterThan" dxfId="274">
      <formula>0.1</formula>
    </cfRule>
  </conditionalFormatting>
  <conditionalFormatting sqref="K5:K368">
    <cfRule type="cellIs" priority="22" operator="greaterThan" dxfId="273" stopIfTrue="1">
      <formula>0.1</formula>
    </cfRule>
    <cfRule type="cellIs" priority="21" operator="greaterThan" dxfId="272">
      <formula>0.1</formula>
    </cfRule>
  </conditionalFormatting>
  <conditionalFormatting sqref="K158 K223 K308">
    <cfRule type="cellIs" priority="20" operator="greaterThan" dxfId="270">
      <formula>1</formula>
    </cfRule>
  </conditionalFormatting>
  <conditionalFormatting sqref="L5:L157 L159:L222 L225:L237 L239:L368">
    <cfRule type="cellIs" priority="26" operator="greaterThan" dxfId="270">
      <formula>1</formula>
    </cfRule>
  </conditionalFormatting>
  <conditionalFormatting sqref="M5:M369">
    <cfRule type="cellIs" priority="10" operator="greaterThan" dxfId="269" stopIfTrue="1">
      <formula>0</formula>
    </cfRule>
  </conditionalFormatting>
  <conditionalFormatting sqref="N5:N368 O225:O226">
    <cfRule type="cellIs" priority="14" operator="greaterThan" dxfId="268">
      <formula>0.1</formula>
    </cfRule>
  </conditionalFormatting>
  <conditionalFormatting sqref="O5:R343 O344:O350 O352 O353:R355 O356:O359 O361:R368 P344:R352 P356:R360">
    <cfRule type="cellIs" priority="8" operator="greaterThan" dxfId="267">
      <formula>0.1</formula>
    </cfRule>
  </conditionalFormatting>
  <conditionalFormatting sqref="Q5:R368">
    <cfRule type="cellIs" priority="13" operator="greaterThan" dxfId="266">
      <formula>0.1</formula>
    </cfRule>
  </conditionalFormatting>
  <conditionalFormatting sqref="R5:R365">
    <cfRule type="cellIs" priority="11" operator="greaterThan" dxfId="265">
      <formula>0</formula>
    </cfRule>
  </conditionalFormatting>
  <conditionalFormatting sqref="S5:S368">
    <cfRule type="cellIs" priority="15" operator="greaterThan" dxfId="264">
      <formula>0.1</formula>
    </cfRule>
  </conditionalFormatting>
  <conditionalFormatting sqref="T5:T368">
    <cfRule type="cellIs" priority="12" operator="greaterThan" dxfId="263" stopIfTrue="1">
      <formula>0.1</formula>
    </cfRule>
  </conditionalFormatting>
  <conditionalFormatting sqref="U5:Y368">
    <cfRule type="cellIs" priority="3" operator="greaterThan" dxfId="262">
      <formula>0</formula>
    </cfRule>
  </conditionalFormatting>
  <conditionalFormatting sqref="X2:Z4">
    <cfRule type="cellIs" priority="174" operator="greaterThan" dxfId="115" stopIfTrue="1">
      <formula>0</formula>
    </cfRule>
  </conditionalFormatting>
  <conditionalFormatting sqref="X2:AC4">
    <cfRule type="cellIs" priority="175" operator="greaterThan" dxfId="114" stopIfTrue="1">
      <formula>0.01</formula>
    </cfRule>
  </conditionalFormatting>
  <conditionalFormatting sqref="Z5:Z368">
    <cfRule type="cellIs" priority="31" operator="greaterThan" dxfId="98">
      <formula>0</formula>
    </cfRule>
  </conditionalFormatting>
  <conditionalFormatting sqref="AA5:AC368">
    <cfRule type="cellIs" priority="32" operator="greaterThan" dxfId="258">
      <formula>0</formula>
    </cfRule>
  </conditionalFormatting>
  <conditionalFormatting sqref="AD5:AD368">
    <cfRule type="cellIs" priority="30" operator="greaterThan" dxfId="24">
      <formula>1</formula>
    </cfRule>
  </conditionalFormatting>
  <conditionalFormatting sqref="AE5:AE368">
    <cfRule type="cellIs" priority="18" operator="greaterThan" dxfId="98">
      <formula>0</formula>
    </cfRule>
  </conditionalFormatting>
  <conditionalFormatting sqref="AF5:AF367">
    <cfRule type="cellIs" priority="209" operator="greaterThan" dxfId="255">
      <formula>1000</formula>
    </cfRule>
    <cfRule type="cellIs" priority="210" operator="between" dxfId="34" stopIfTrue="1">
      <formula>1</formula>
      <formula>1001</formula>
    </cfRule>
  </conditionalFormatting>
  <conditionalFormatting sqref="AG5:AG368">
    <cfRule type="cellIs" priority="219" operator="between" dxfId="253">
      <formula>1000</formula>
      <formula>3000</formula>
    </cfRule>
    <cfRule type="cellIs" priority="218" operator="between" dxfId="38" stopIfTrue="1">
      <formula>200</formula>
      <formula>1000</formula>
    </cfRule>
  </conditionalFormatting>
  <conditionalFormatting sqref="AH5:AH368">
    <cfRule type="cellIs" priority="1" operator="equal" stopIfTrue="1">
      <formula>""</formula>
    </cfRule>
    <cfRule type="cellIs" priority="2" operator="equal" dxfId="34">
      <formula>0</formula>
    </cfRule>
  </conditionalFormatting>
  <conditionalFormatting sqref="AI5:AI367">
    <cfRule type="cellIs" priority="223" operator="greaterThan" dxfId="250">
      <formula>50</formula>
    </cfRule>
  </conditionalFormatting>
  <conditionalFormatting sqref="AJ5:AJ368">
    <cfRule type="cellIs" priority="221" operator="greaterThan" dxfId="249">
      <formula>15</formula>
    </cfRule>
  </conditionalFormatting>
  <conditionalFormatting sqref="AK5:AL367">
    <cfRule type="cellIs" priority="211" operator="greaterThan" dxfId="63">
      <formula>0</formula>
    </cfRule>
  </conditionalFormatting>
  <conditionalFormatting sqref="AM5:AO367">
    <cfRule type="cellIs" priority="305" operator="between" dxfId="247" stopIfTrue="1">
      <formula>10</formula>
      <formula>49.9</formula>
    </cfRule>
    <cfRule type="cellIs" priority="306" operator="greaterThan" dxfId="246">
      <formula>49.9</formula>
    </cfRule>
  </conditionalFormatting>
  <conditionalFormatting sqref="AN5:AN368">
    <cfRule type="cellIs" priority="303" operator="greaterThan" dxfId="38">
      <formula>15</formula>
    </cfRule>
    <cfRule type="cellIs" priority="304" operator="between" dxfId="244">
      <formula>0.1</formula>
      <formula>15</formula>
    </cfRule>
  </conditionalFormatting>
  <conditionalFormatting sqref="AO5:AO368">
    <cfRule type="cellIs" priority="298" operator="between" dxfId="243">
      <formula>0.1</formula>
      <formula>15</formula>
    </cfRule>
    <cfRule type="cellIs" priority="299" operator="greaterThan" dxfId="242">
      <formula>15</formula>
    </cfRule>
  </conditionalFormatting>
  <conditionalFormatting sqref="AP5:AP368">
    <cfRule type="cellIs" priority="302" operator="greaterThan" dxfId="36">
      <formula>5</formula>
    </cfRule>
    <cfRule type="cellIs" priority="301" operator="between" dxfId="240">
      <formula>0.1</formula>
      <formula>5</formula>
    </cfRule>
  </conditionalFormatting>
  <conditionalFormatting sqref="AR5:AR368">
    <cfRule type="cellIs" priority="197" operator="greaterThan" dxfId="40">
      <formula>0</formula>
    </cfRule>
    <cfRule type="cellIs" priority="331" operator="lessThan" dxfId="238" stopIfTrue="1">
      <formula>0.1</formula>
    </cfRule>
  </conditionalFormatting>
  <conditionalFormatting sqref="AS5:AS368">
    <cfRule type="cellIs" priority="327" operator="lessThan" dxfId="237">
      <formula>0.1</formula>
    </cfRule>
    <cfRule type="cellIs" priority="328" operator="greaterThan" dxfId="236">
      <formula>0.1</formula>
    </cfRule>
  </conditionalFormatting>
  <conditionalFormatting sqref="AT5:AT368">
    <cfRule type="cellIs" priority="287" operator="equal" dxfId="15">
      <formula>0</formula>
    </cfRule>
    <cfRule type="cellIs" priority="314" operator="greaterThan" dxfId="234">
      <formula>0</formula>
    </cfRule>
  </conditionalFormatting>
  <conditionalFormatting sqref="AU5:AU368">
    <cfRule type="cellIs" priority="311" operator="greaterThan" dxfId="109">
      <formula>0.1</formula>
    </cfRule>
  </conditionalFormatting>
  <conditionalFormatting sqref="AW5:AW368">
    <cfRule type="cellIs" priority="273" operator="between" dxfId="187">
      <formula>30</formula>
      <formula>120</formula>
    </cfRule>
    <cfRule type="cellIs" priority="274" operator="greaterThan" dxfId="46">
      <formula>120</formula>
    </cfRule>
  </conditionalFormatting>
  <conditionalFormatting sqref="AX5:AX368">
    <cfRule type="cellIs" priority="272" operator="greaterThan" dxfId="92" stopIfTrue="1">
      <formula>90</formula>
    </cfRule>
    <cfRule type="cellIs" priority="271" operator="between" dxfId="229">
      <formula>40</formula>
      <formula>90</formula>
    </cfRule>
  </conditionalFormatting>
  <conditionalFormatting sqref="AY5:AY368">
    <cfRule type="cellIs" priority="270" operator="greaterThan" dxfId="43" stopIfTrue="1">
      <formula>60</formula>
    </cfRule>
    <cfRule type="cellIs" priority="193" operator="between" dxfId="25">
      <formula>30</formula>
      <formula>60</formula>
    </cfRule>
  </conditionalFormatting>
  <conditionalFormatting sqref="AY5:AZ369">
    <cfRule type="cellIs" priority="196" operator="lessThan" dxfId="40">
      <formula>0</formula>
    </cfRule>
  </conditionalFormatting>
  <conditionalFormatting sqref="AZ5:AZ368">
    <cfRule type="cellIs" priority="195" operator="between" dxfId="113">
      <formula>80</formula>
      <formula>130</formula>
    </cfRule>
    <cfRule type="cellIs" priority="194" operator="greaterThan" dxfId="137">
      <formula>130</formula>
    </cfRule>
  </conditionalFormatting>
  <conditionalFormatting sqref="BA5:BA368">
    <cfRule type="cellIs" priority="269" operator="greaterThan" dxfId="21">
      <formula>310</formula>
    </cfRule>
  </conditionalFormatting>
  <conditionalFormatting sqref="BA5:BA369">
    <cfRule type="cellIs" priority="200" operator="between" dxfId="15" stopIfTrue="1">
      <formula>130</formula>
      <formula>310</formula>
    </cfRule>
  </conditionalFormatting>
  <conditionalFormatting sqref="BB5:BB368">
    <cfRule type="cellIs" priority="275" operator="greaterThan" dxfId="21" stopIfTrue="1">
      <formula>0</formula>
    </cfRule>
  </conditionalFormatting>
  <pageMargins left="0.75" right="0.75" top="1" bottom="1" header="0.5" footer="0.5"/>
  <pageSetup orientation="portrait"/>
</worksheet>
</file>

<file path=xl/worksheets/sheet3.xml><?xml version="1.0" encoding="utf-8"?>
<worksheet xmlns="http://schemas.openxmlformats.org/spreadsheetml/2006/main">
  <sheetPr codeName="Sheet3">
    <tabColor theme="6" tint="-0.499984740745262"/>
    <outlinePr summaryBelow="1" summaryRight="1"/>
    <pageSetUpPr/>
  </sheetPr>
  <dimension ref="A1:AI1009"/>
  <sheetViews>
    <sheetView topLeftCell="D2" workbookViewId="0">
      <selection activeCell="E25" sqref="E25"/>
    </sheetView>
  </sheetViews>
  <sheetFormatPr baseColWidth="8" defaultColWidth="10.97265625" defaultRowHeight="15"/>
  <cols>
    <col width="4.80859375" customWidth="1" style="37" min="1" max="1"/>
    <col width="9.4921875" customWidth="1" style="37" min="2" max="2"/>
    <col width="3.203125" customWidth="1" style="37" min="3" max="3"/>
    <col width="20.71484375" customWidth="1" style="37" min="4" max="4"/>
    <col width="21.453125" customWidth="1" style="37" min="5" max="5"/>
    <col width="8.62890625" customWidth="1" style="37" min="6" max="6"/>
    <col width="13.19140625" customWidth="1" style="37" min="7" max="7"/>
    <col width="15.1640625" customWidth="1" style="37" min="8" max="8"/>
    <col width="16.76953125" customWidth="1" style="37" min="9" max="9"/>
    <col hidden="1" width="2.7109375" customWidth="1" style="37" min="10" max="10"/>
    <col width="3.8203125" customWidth="1" style="37" min="11" max="11"/>
    <col width="3.203125" customWidth="1" style="37" min="12" max="12"/>
    <col width="3.9453125" customWidth="1" style="37" min="13" max="13"/>
    <col width="6.28515625" customWidth="1" style="37" min="15" max="15"/>
    <col width="5.0546875" customWidth="1" style="557" min="16" max="16"/>
    <col width="4.4375" customWidth="1" style="557" min="17" max="18"/>
    <col width="12.82421875" customWidth="1" style="37" min="19" max="19"/>
    <col width="14.55078125" customWidth="1" style="37" min="20" max="20"/>
    <col hidden="1" width="19.60546875" customWidth="1" style="473" min="21" max="21"/>
    <col width="4.3125" customWidth="1" style="557" min="22" max="23"/>
    <col width="33.5390625" customWidth="1" style="45" min="24" max="24"/>
    <col width="3.203125" customWidth="1" style="79" min="25" max="25"/>
    <col width="5.0546875" customWidth="1" style="37" min="26" max="26"/>
    <col width="25.15234375" customWidth="1" style="37" min="27" max="27"/>
    <col width="28.9765625" customWidth="1" style="37" min="28" max="28"/>
    <col width="3.328125" customWidth="1" style="79" min="29" max="29"/>
    <col width="7.51953125" customWidth="1" style="45" min="30" max="30"/>
    <col width="10.8515625" customWidth="1" style="45" min="31" max="35"/>
    <col width="3.203125" customWidth="1" style="295" min="36" max="36"/>
    <col width="10.8515625" customWidth="1" style="45" min="37" max="40"/>
  </cols>
  <sheetData>
    <row r="1" ht="74.25" customHeight="1" s="37">
      <c r="A1" s="408" t="inlineStr">
        <is>
          <t>周</t>
        </is>
      </c>
      <c r="B1" s="139" t="inlineStr">
        <is>
          <t xml:space="preserve">5^0 </t>
        </is>
      </c>
      <c r="C1" s="139" t="inlineStr">
        <is>
          <t>dow</t>
        </is>
      </c>
      <c r="D1" s="138" t="inlineStr">
        <is>
          <t xml:space="preserve">What is my motivation for today? </t>
        </is>
      </c>
      <c r="E1" s="140" t="inlineStr">
        <is>
          <t xml:space="preserve">Title of the Day </t>
        </is>
      </c>
      <c r="F1" s="133" t="inlineStr">
        <is>
          <t>Who did I notice</t>
        </is>
      </c>
      <c r="G1" s="137" t="inlineStr">
        <is>
          <t xml:space="preserve">What am I thankful for? </t>
        </is>
      </c>
      <c r="H1" s="136" t="inlineStr">
        <is>
          <t>What was the biggest win today?  (غسق}</t>
        </is>
      </c>
      <c r="I1" s="136" t="inlineStr">
        <is>
          <t xml:space="preserve">What was the biggest missed opportunity today? </t>
        </is>
      </c>
      <c r="J1" s="135" t="inlineStr">
        <is>
          <t>c084</t>
        </is>
      </c>
      <c r="K1" s="134" t="inlineStr">
        <is>
          <t>霓虹</t>
        </is>
      </c>
      <c r="L1" s="133" t="inlineStr">
        <is>
          <t>帮助</t>
        </is>
      </c>
      <c r="M1" s="132" t="inlineStr">
        <is>
          <t>身体</t>
        </is>
      </c>
      <c r="N1" s="131" t="inlineStr">
        <is>
          <t>Body Notes</t>
        </is>
      </c>
      <c r="O1" s="129" t="inlineStr">
        <is>
          <t>₹</t>
        </is>
      </c>
      <c r="P1" s="558" t="inlineStr">
        <is>
          <t>⌈</t>
        </is>
      </c>
      <c r="Q1" s="558" t="inlineStr">
        <is>
          <t>⌊</t>
        </is>
      </c>
      <c r="R1" s="558" t="inlineStr">
        <is>
          <t>x̄</t>
        </is>
      </c>
      <c r="S1" s="129" t="inlineStr">
        <is>
          <t xml:space="preserve">What am I proud of with regards to others? </t>
        </is>
      </c>
      <c r="T1" s="129" t="inlineStr">
        <is>
          <t xml:space="preserve">What do I regret with regards to others? </t>
        </is>
      </c>
      <c r="U1" s="349" t="inlineStr">
        <is>
          <t xml:space="preserve">Curriculum </t>
        </is>
      </c>
      <c r="V1" s="559" t="inlineStr">
        <is>
          <t>⌈</t>
        </is>
      </c>
      <c r="W1" s="559" t="inlineStr">
        <is>
          <t>⌊</t>
        </is>
      </c>
      <c r="X1" s="379" t="inlineStr">
        <is>
          <t xml:space="preserve">1 hcme </t>
        </is>
      </c>
      <c r="Z1" s="302" t="inlineStr">
        <is>
          <t xml:space="preserve">Time </t>
        </is>
      </c>
      <c r="AA1" s="302" t="inlineStr">
        <is>
          <t xml:space="preserve">Event Review </t>
        </is>
      </c>
      <c r="AB1" s="302" t="inlineStr">
        <is>
          <t xml:space="preserve">Notes for Improvement / Upcoming </t>
        </is>
      </c>
      <c r="AD1" s="294" t="inlineStr">
        <is>
          <t>Name</t>
        </is>
      </c>
      <c r="AE1" s="294" t="inlineStr">
        <is>
          <t xml:space="preserve">Dates </t>
        </is>
      </c>
      <c r="AF1" s="294" t="inlineStr">
        <is>
          <t>Category</t>
        </is>
      </c>
      <c r="AG1" s="294" t="inlineStr">
        <is>
          <t>分</t>
        </is>
      </c>
      <c r="AH1" s="294" t="inlineStr">
        <is>
          <t xml:space="preserve">How I got out of it </t>
        </is>
      </c>
      <c r="AI1" s="294" t="inlineStr">
        <is>
          <t>Notes</t>
        </is>
      </c>
    </row>
    <row r="2" ht="33.95" customHeight="1" s="37">
      <c r="A2" s="462" t="n">
        <v>1.1</v>
      </c>
      <c r="B2" s="124" t="n">
        <v>46023</v>
      </c>
      <c r="C2" s="123" t="inlineStr">
        <is>
          <t>Th</t>
        </is>
      </c>
      <c r="D2" s="471" t="inlineStr">
        <is>
          <t>n/a</t>
        </is>
      </c>
      <c r="E2" s="450" t="inlineStr">
        <is>
          <t xml:space="preserve">Slipping into Video Games </t>
        </is>
      </c>
      <c r="G2" s="450" t="inlineStr">
        <is>
          <t xml:space="preserve">It's nice to not feel guilty about gaming </t>
        </is>
      </c>
      <c r="H2" s="450" t="inlineStr">
        <is>
          <t xml:space="preserve">Able to track the day </t>
        </is>
      </c>
      <c r="I2" s="450" t="inlineStr">
        <is>
          <t>I think better to play video games after LAN</t>
        </is>
      </c>
      <c r="K2" s="450" t="n">
        <v>1</v>
      </c>
      <c r="L2" s="450" t="n">
        <v>1</v>
      </c>
      <c r="M2" s="450" t="n">
        <v>8</v>
      </c>
      <c r="N2" s="261" t="n"/>
      <c r="O2" s="122" t="n">
        <v>514</v>
      </c>
      <c r="P2" s="557" t="n">
        <v>7.5</v>
      </c>
      <c r="Q2" s="557" t="n">
        <v>6</v>
      </c>
      <c r="R2" s="557" t="n">
        <v>6.5</v>
      </c>
      <c r="S2" s="450" t="inlineStr">
        <is>
          <t>Math in the morning</t>
        </is>
      </c>
      <c r="T2" s="450" t="inlineStr">
        <is>
          <t xml:space="preserve">Gaming is not the best use of time </t>
        </is>
      </c>
      <c r="U2" s="530" t="n"/>
      <c r="V2" s="557" t="n">
        <v>7.5</v>
      </c>
      <c r="W2" s="557" t="n">
        <v>6.5</v>
      </c>
      <c r="X2" s="465" t="inlineStr">
        <is>
          <t xml:space="preserve">• Café Juanita, combined with the ability to have a little bit of 享受, was definitely a highlight of the week.
• Getting to do neon in the morning is such a blessing. I should really keep doing it, and keep going to bed early to enable it. 
• I think I should continue to bow out of meetings or conferences if tehy are a waste of time or I'm not caught up on neon. 
• Interesting but not surprising that the stress pinches when I try and pick up for the slack left behind (i.e. Saturday rather than Thursday) </t>
        </is>
      </c>
      <c r="Z2" s="560" t="n">
        <v>641</v>
      </c>
      <c r="AA2" s="463" t="inlineStr">
        <is>
          <t xml:space="preserve">• LAN Party: B- [中量]
• Call with Forest A
</t>
        </is>
      </c>
      <c r="AB2" s="463" t="inlineStr">
        <is>
          <t xml:space="preserve">•  The rule should be 1:1 time in event vs. prep for event, key being that I'm not the one doing the prep. 
•  I can plan these things super far in advance. 
•  Calling people is a great thing and I should keep doing it, even if at random. </t>
        </is>
      </c>
    </row>
    <row r="3" ht="33.95" customHeight="1" s="37">
      <c r="A3" s="551" t="n"/>
      <c r="B3" s="124">
        <f>B2+1</f>
        <v/>
      </c>
      <c r="C3" s="123" t="inlineStr">
        <is>
          <t>F</t>
        </is>
      </c>
      <c r="D3" s="471" t="inlineStr">
        <is>
          <t>n/a</t>
        </is>
      </c>
      <c r="E3" s="450" t="inlineStr">
        <is>
          <t>Reviving the LAN Party</t>
        </is>
      </c>
      <c r="G3" s="450" t="inlineStr">
        <is>
          <t xml:space="preserve">I can still find enjoyment in the adrenaline cycle </t>
        </is>
      </c>
      <c r="H3" s="450" t="inlineStr">
        <is>
          <t xml:space="preserve">Put together and executed the LAN party </t>
        </is>
      </c>
      <c r="I3" s="450" t="inlineStr">
        <is>
          <t xml:space="preserve">Playing AOE wasn't as coordinated as I wanted it to be </t>
        </is>
      </c>
      <c r="K3" s="450" t="n">
        <v>0</v>
      </c>
      <c r="L3" s="450" t="n">
        <v>1</v>
      </c>
      <c r="M3" s="450" t="n">
        <v>6</v>
      </c>
      <c r="N3" s="261" t="inlineStr">
        <is>
          <t xml:space="preserve">oof the shoes hurt </t>
        </is>
      </c>
      <c r="O3" s="122" t="n">
        <v>1199</v>
      </c>
      <c r="P3" s="557" t="n">
        <v>7.8</v>
      </c>
      <c r="Q3" s="557" t="n">
        <v>6.5</v>
      </c>
      <c r="R3" s="557" t="n">
        <v>7</v>
      </c>
      <c r="S3" s="450" t="inlineStr">
        <is>
          <t>Gave Forest a call</t>
        </is>
      </c>
      <c r="T3" s="450" t="inlineStr">
        <is>
          <t xml:space="preserve">Took a little debt from future days </t>
        </is>
      </c>
      <c r="U3" s="530" t="n"/>
      <c r="V3" s="557" t="n">
        <v>7.5</v>
      </c>
      <c r="W3" s="557" t="n">
        <v>6.5</v>
      </c>
    </row>
    <row r="4" ht="33.95" customHeight="1" s="37">
      <c r="A4" s="551" t="n"/>
      <c r="B4" s="124">
        <f>B3+1</f>
        <v/>
      </c>
      <c r="C4" s="123" t="inlineStr">
        <is>
          <t>S</t>
        </is>
      </c>
      <c r="D4" s="471" t="inlineStr">
        <is>
          <t xml:space="preserve">Family time is still my time </t>
        </is>
      </c>
      <c r="E4" s="450" t="inlineStr">
        <is>
          <t xml:space="preserve">Pay off family debt </t>
        </is>
      </c>
      <c r="G4" s="450" t="inlineStr">
        <is>
          <t xml:space="preserve">I found time in the evening </t>
        </is>
      </c>
      <c r="H4" s="450" t="inlineStr">
        <is>
          <t xml:space="preserve">Got some of the g245 done </t>
        </is>
      </c>
      <c r="I4" s="450" t="inlineStr">
        <is>
          <t xml:space="preserve">Didn't do neon in the morning </t>
        </is>
      </c>
      <c r="K4" s="450" t="n">
        <v>1</v>
      </c>
      <c r="L4" s="450" t="n">
        <v>1</v>
      </c>
      <c r="M4" s="450" t="n">
        <v>6</v>
      </c>
      <c r="N4" s="261" t="n"/>
      <c r="O4" s="122" t="n">
        <v>1562</v>
      </c>
      <c r="P4" s="557" t="n">
        <v>7.5</v>
      </c>
      <c r="Q4" s="557" t="n">
        <v>5.5</v>
      </c>
      <c r="R4" s="557" t="n">
        <v>7</v>
      </c>
      <c r="S4" s="450" t="inlineStr">
        <is>
          <t>Good time with fam</t>
        </is>
      </c>
      <c r="T4" s="450" t="inlineStr">
        <is>
          <t xml:space="preserve">nervous about going back to work </t>
        </is>
      </c>
      <c r="U4" s="530" t="n"/>
      <c r="V4" s="557" t="n">
        <v>7.5</v>
      </c>
      <c r="W4" s="557" t="n">
        <v>6.5</v>
      </c>
    </row>
    <row r="5" ht="33.95" customHeight="1" s="37">
      <c r="A5" s="551" t="n"/>
      <c r="B5" s="124">
        <f>B4+1</f>
        <v/>
      </c>
      <c r="C5" s="123" t="inlineStr">
        <is>
          <t>S</t>
        </is>
      </c>
      <c r="D5" s="471" t="inlineStr">
        <is>
          <t xml:space="preserve">Be confident in my next step </t>
        </is>
      </c>
      <c r="E5" s="450" t="inlineStr">
        <is>
          <t>Pay off 0l debt</t>
        </is>
      </c>
      <c r="G5" s="450" t="inlineStr">
        <is>
          <t xml:space="preserve">Energy to get something meaningful done </t>
        </is>
      </c>
      <c r="H5" s="450" t="inlineStr">
        <is>
          <t>Getting through 0l</t>
        </is>
      </c>
      <c r="I5" s="450" t="inlineStr">
        <is>
          <t>Didn’t get to work</t>
        </is>
      </c>
      <c r="K5" s="450" t="n">
        <v>1</v>
      </c>
      <c r="L5" s="450" t="n">
        <v>1</v>
      </c>
      <c r="M5" s="450" t="n">
        <v>8</v>
      </c>
      <c r="N5" s="261" t="n"/>
      <c r="O5" s="122">
        <f>'0分'!D2</f>
        <v/>
      </c>
      <c r="P5" s="557" t="n">
        <v>7.8</v>
      </c>
      <c r="Q5" s="557" t="n">
        <v>6</v>
      </c>
      <c r="R5" s="557" t="n">
        <v>7.1</v>
      </c>
      <c r="S5" s="450" t="inlineStr">
        <is>
          <t xml:space="preserve">They did lego together </t>
        </is>
      </c>
      <c r="T5" s="450" t="inlineStr">
        <is>
          <t>I did not like the walk</t>
        </is>
      </c>
      <c r="V5" s="557" t="n">
        <v>7.5</v>
      </c>
      <c r="W5" s="557" t="n">
        <v>5.5</v>
      </c>
    </row>
    <row r="6" ht="33.95" customHeight="1" s="37">
      <c r="A6" s="551" t="n"/>
      <c r="B6" s="124">
        <f>B5+1</f>
        <v/>
      </c>
      <c r="C6" s="123" t="inlineStr">
        <is>
          <t>M</t>
        </is>
      </c>
      <c r="D6" s="471" t="inlineStr">
        <is>
          <t xml:space="preserve">Stay calm, move forward </t>
        </is>
      </c>
      <c r="E6" s="471" t="inlineStr">
        <is>
          <t xml:space="preserve">Tackle the hord things first </t>
        </is>
      </c>
      <c r="F6" s="471" t="inlineStr">
        <is>
          <t xml:space="preserve">Ben Glasses </t>
        </is>
      </c>
      <c r="G6" s="471" t="inlineStr">
        <is>
          <t xml:space="preserve">Solid time with family even when kids emotions high </t>
        </is>
      </c>
      <c r="H6" s="471" t="inlineStr">
        <is>
          <t xml:space="preserve">I felt like I had time to do important things </t>
        </is>
      </c>
      <c r="I6" s="471" t="inlineStr">
        <is>
          <t xml:space="preserve">Hiit is what fell below the line </t>
        </is>
      </c>
      <c r="J6" s="24" t="n"/>
      <c r="K6" s="25" t="n">
        <v>1</v>
      </c>
      <c r="L6" s="517" t="n">
        <v>1</v>
      </c>
      <c r="M6" s="450" t="n">
        <v>8</v>
      </c>
      <c r="N6" s="262" t="n"/>
      <c r="O6" s="122">
        <f>'0分'!D3</f>
        <v/>
      </c>
      <c r="P6" s="557" t="n">
        <v>7.8</v>
      </c>
      <c r="Q6" s="557" t="n">
        <v>6.5</v>
      </c>
      <c r="R6" s="557" t="n">
        <v>7.3</v>
      </c>
      <c r="S6" s="450" t="inlineStr">
        <is>
          <t>自由式的lego</t>
        </is>
      </c>
      <c r="T6" s="450" t="inlineStr">
        <is>
          <t xml:space="preserve">Could I have done a better reading session with him? </t>
        </is>
      </c>
      <c r="V6" s="557" t="n">
        <v>7.6</v>
      </c>
      <c r="W6" s="557" t="n">
        <v>6.5</v>
      </c>
    </row>
    <row r="7" ht="33.95" customHeight="1" s="37">
      <c r="A7" s="551" t="n"/>
      <c r="B7" s="124">
        <f>B6+1</f>
        <v/>
      </c>
      <c r="C7" s="123" t="inlineStr">
        <is>
          <t>T</t>
        </is>
      </c>
      <c r="D7" s="471" t="inlineStr">
        <is>
          <t xml:space="preserve">Time is still mine </t>
        </is>
      </c>
      <c r="E7" s="450" t="inlineStr">
        <is>
          <t>Fly to met</t>
        </is>
      </c>
      <c r="F7" s="450" t="inlineStr">
        <is>
          <t>VOC Logo</t>
        </is>
      </c>
      <c r="G7" s="450" t="inlineStr">
        <is>
          <t xml:space="preserve">Such unexpected memories </t>
        </is>
      </c>
      <c r="H7" s="450" t="inlineStr">
        <is>
          <t>I secretly enjoyed dinner</t>
        </is>
      </c>
      <c r="I7" s="450" t="inlineStr">
        <is>
          <t xml:space="preserve">I should have been more conscious about the time at the dinner </t>
        </is>
      </c>
      <c r="K7" s="450" t="n">
        <v>1</v>
      </c>
      <c r="L7" s="450" t="n">
        <v>1</v>
      </c>
      <c r="M7" s="450" t="n">
        <v>8</v>
      </c>
      <c r="N7" s="261" t="n"/>
      <c r="O7" s="122">
        <f>'0分'!D4</f>
        <v/>
      </c>
      <c r="P7" s="557" t="n">
        <v>8</v>
      </c>
      <c r="Q7" s="557" t="n">
        <v>6.5</v>
      </c>
      <c r="R7" s="557" t="n">
        <v>7.1</v>
      </c>
      <c r="S7" s="450" t="inlineStr">
        <is>
          <t>Good call with LX</t>
        </is>
      </c>
      <c r="T7" s="450" t="inlineStr">
        <is>
          <t xml:space="preserve">nothing with kids </t>
        </is>
      </c>
      <c r="V7" s="557" t="n">
        <v>7.5</v>
      </c>
      <c r="W7" s="557" t="n">
        <v>6.5</v>
      </c>
    </row>
    <row r="8" ht="33.95" customHeight="1" s="37">
      <c r="A8" s="552" t="n"/>
      <c r="B8" s="124">
        <f>B7+1</f>
        <v/>
      </c>
      <c r="C8" s="123" t="inlineStr">
        <is>
          <t>W</t>
        </is>
      </c>
      <c r="D8" s="471" t="inlineStr">
        <is>
          <t>n/a</t>
        </is>
      </c>
      <c r="E8" s="450" t="inlineStr">
        <is>
          <t xml:space="preserve">Conference fatigue </t>
        </is>
      </c>
      <c r="F8" s="450" t="inlineStr">
        <is>
          <t xml:space="preserve">Jay fashion </t>
        </is>
      </c>
      <c r="G8" s="450" t="inlineStr">
        <is>
          <t xml:space="preserve">Seattle friends + family </t>
        </is>
      </c>
      <c r="H8" s="450" t="inlineStr">
        <is>
          <t xml:space="preserve">Got the i9 done during the day </t>
        </is>
      </c>
      <c r="I8" s="450" t="inlineStr">
        <is>
          <t xml:space="preserve">didn't get to neon </t>
        </is>
      </c>
      <c r="L8" s="450" t="n">
        <v>1</v>
      </c>
      <c r="M8" s="450" t="n">
        <v>8</v>
      </c>
      <c r="N8" s="261" t="n"/>
      <c r="O8" s="122">
        <f>'0分'!D5</f>
        <v/>
      </c>
      <c r="P8" s="557" t="n">
        <v>7.8</v>
      </c>
      <c r="Q8" s="557" t="n">
        <v>5.5</v>
      </c>
      <c r="R8" s="557" t="n">
        <v>6.8</v>
      </c>
      <c r="S8" s="450" t="inlineStr">
        <is>
          <t xml:space="preserve">Called LX + call with theo </t>
        </is>
      </c>
      <c r="T8" s="450" t="inlineStr">
        <is>
          <t xml:space="preserve">Bad to be away from the kids? </t>
        </is>
      </c>
      <c r="V8" s="557" t="n">
        <v>7.5</v>
      </c>
      <c r="W8" s="557" t="n">
        <v>6.5</v>
      </c>
      <c r="Z8" s="560" t="n">
        <v>684</v>
      </c>
      <c r="AA8" s="463" t="inlineStr">
        <is>
          <t xml:space="preserve">• Strangely enjoyed the dinner at Café Juanita: A.
•  Happy hour with coworkers: A. 
• House of Air w/Zach + Angela. B
• Hang out and Dinner with Zach + Angela. B
• Julia dinner and Hang out. A
</t>
        </is>
      </c>
      <c r="AB8" s="463" t="inlineStr">
        <is>
          <t xml:space="preserve">•  I think trying to enjoy the atmosphere is really good.
• Staying social is a way to stay sane. 
• I need to get an assistant for personal life. 
• Doing playdates is a great way to hang out.  </t>
        </is>
      </c>
    </row>
    <row r="9" ht="33.95" customHeight="1" s="37">
      <c r="A9" s="462">
        <f>A2+0.1</f>
        <v/>
      </c>
      <c r="B9" s="124">
        <f>B8+1</f>
        <v/>
      </c>
      <c r="C9" s="123" t="inlineStr">
        <is>
          <t>Th</t>
        </is>
      </c>
      <c r="D9" s="471" t="inlineStr">
        <is>
          <t xml:space="preserve">累不累，时间是我的 </t>
        </is>
      </c>
      <c r="E9" s="450" t="inlineStr">
        <is>
          <t>Avoiding the conference</t>
        </is>
      </c>
      <c r="F9" s="450" t="inlineStr">
        <is>
          <t xml:space="preserve">People noticed the monitor </t>
        </is>
      </c>
      <c r="G9" s="450" t="inlineStr">
        <is>
          <t>Friends to relax with</t>
        </is>
      </c>
      <c r="H9" s="450" t="inlineStr">
        <is>
          <t>Got qz12 done</t>
        </is>
      </c>
      <c r="I9" s="450" t="inlineStr">
        <is>
          <t xml:space="preserve">Morning lost task tracking a bit </t>
        </is>
      </c>
      <c r="K9" s="450" t="n">
        <v>1</v>
      </c>
      <c r="L9" s="450" t="n">
        <v>1</v>
      </c>
      <c r="M9" s="450" t="n">
        <v>8</v>
      </c>
      <c r="N9" s="261" t="n"/>
      <c r="O9" s="122">
        <f>'0分'!D6</f>
        <v/>
      </c>
      <c r="P9" s="557" t="n">
        <v>7.5</v>
      </c>
      <c r="Q9" s="557" t="n">
        <v>6.5</v>
      </c>
      <c r="R9" s="557" t="n">
        <v>7</v>
      </c>
      <c r="S9" s="450" t="inlineStr">
        <is>
          <t>Good call with LX</t>
        </is>
      </c>
      <c r="T9" s="450" t="inlineStr">
        <is>
          <t>No kids time</t>
        </is>
      </c>
      <c r="V9" s="557" t="n">
        <v>7.5</v>
      </c>
      <c r="W9" s="557" t="n">
        <v>6.5</v>
      </c>
      <c r="X9" s="465" t="inlineStr">
        <is>
          <t xml:space="preserve">• Interesting that the 4.0 translates to about 700 points lost aginst what would be 'best days'. So I should invest time / money in a resilient tech stack. 
• Friday being good rolled into the weekend nicely. 
• There can be a lack of correlation between neon and 分。 
• At least I was aware that things were going not great on Thursday, and doing the friend time was probably the best. </t>
        </is>
      </c>
    </row>
    <row r="10" ht="33.95" customHeight="1" s="37">
      <c r="A10" s="551" t="n"/>
      <c r="B10" s="124">
        <f>B9+1</f>
        <v/>
      </c>
      <c r="C10" s="123" t="inlineStr">
        <is>
          <t>F</t>
        </is>
      </c>
      <c r="D10" s="471" t="inlineStr">
        <is>
          <t>我的时间</t>
        </is>
      </c>
      <c r="E10" s="471" t="inlineStr">
        <is>
          <t xml:space="preserve">Private Jet is Normal </t>
        </is>
      </c>
      <c r="F10" s="450" t="inlineStr">
        <is>
          <t xml:space="preserve">Dan Lewis Beard </t>
        </is>
      </c>
      <c r="G10" s="471" t="inlineStr">
        <is>
          <t>SFO so much closer</t>
        </is>
      </c>
      <c r="H10" s="471" t="inlineStr">
        <is>
          <t>Got things done after SLT</t>
        </is>
      </c>
      <c r="I10" s="471" t="inlineStr">
        <is>
          <t xml:space="preserve">Afternoon tasks weren't crisp </t>
        </is>
      </c>
      <c r="J10" s="24" t="n"/>
      <c r="K10" s="24" t="n">
        <v>1</v>
      </c>
      <c r="L10" s="517" t="n">
        <v>1</v>
      </c>
      <c r="M10" s="450" t="n">
        <v>8</v>
      </c>
      <c r="N10" s="262" t="n"/>
      <c r="O10" s="122">
        <f>'0分'!D7</f>
        <v/>
      </c>
      <c r="P10" s="557" t="n">
        <v>8</v>
      </c>
      <c r="Q10" s="557" t="n">
        <v>6.5</v>
      </c>
      <c r="R10" s="557" t="n">
        <v>7.1</v>
      </c>
      <c r="S10" s="450" t="inlineStr">
        <is>
          <t>I just like spending time with the kids</t>
        </is>
      </c>
      <c r="T10" s="450" t="inlineStr">
        <is>
          <t xml:space="preserve">Initial not finishing math with theo </t>
        </is>
      </c>
      <c r="V10" s="557" t="n">
        <v>7.6</v>
      </c>
      <c r="W10" s="557" t="n">
        <v>6.4</v>
      </c>
    </row>
    <row r="11" ht="33.95" customHeight="1" s="37">
      <c r="A11" s="551" t="n"/>
      <c r="B11" s="124">
        <f>B10+1</f>
        <v/>
      </c>
      <c r="C11" s="123" t="inlineStr">
        <is>
          <t>S</t>
        </is>
      </c>
      <c r="D11" s="471" t="inlineStr">
        <is>
          <t xml:space="preserve">ambitious family time </t>
        </is>
      </c>
      <c r="E11" s="450" t="inlineStr">
        <is>
          <t>Setting goals for family works</t>
        </is>
      </c>
      <c r="G11" s="450" t="inlineStr">
        <is>
          <t>Theo has friends</t>
        </is>
      </c>
      <c r="H11" s="450" t="inlineStr">
        <is>
          <t>House of Air + greens was great</t>
        </is>
      </c>
      <c r="I11" s="450" t="inlineStr">
        <is>
          <t xml:space="preserve">put myself into a food coma, no workout </t>
        </is>
      </c>
      <c r="K11" s="450" t="n">
        <v>1</v>
      </c>
      <c r="L11" s="450" t="n">
        <v>1</v>
      </c>
      <c r="M11" s="450" t="n">
        <v>6</v>
      </c>
      <c r="N11" s="261" t="n"/>
      <c r="O11" s="122">
        <f>'0分'!D8</f>
        <v/>
      </c>
      <c r="P11" s="557" t="n">
        <v>7.9</v>
      </c>
      <c r="Q11" s="557" t="n">
        <v>6.5</v>
      </c>
      <c r="R11" s="557" t="n">
        <v>7.2</v>
      </c>
      <c r="S11" s="450" t="inlineStr">
        <is>
          <t>Getting the house of air activity together</t>
        </is>
      </c>
      <c r="T11" s="450" t="inlineStr">
        <is>
          <t xml:space="preserve">lost the plot in the evening? </t>
        </is>
      </c>
      <c r="V11" s="557" t="n">
        <v>7.8</v>
      </c>
      <c r="W11" s="557" t="n">
        <v>6.5</v>
      </c>
    </row>
    <row r="12" ht="33.95" customHeight="1" s="37">
      <c r="A12" s="551" t="n"/>
      <c r="B12" s="124">
        <f>B11+1</f>
        <v/>
      </c>
      <c r="C12" s="123" t="inlineStr">
        <is>
          <t>S</t>
        </is>
      </c>
      <c r="D12" s="471" t="inlineStr">
        <is>
          <t xml:space="preserve">Ambitious time </t>
        </is>
      </c>
      <c r="E12" s="450" t="inlineStr">
        <is>
          <t>Book start, 5y old Chaos</t>
        </is>
      </c>
      <c r="G12" s="450" t="inlineStr">
        <is>
          <t>LX able to help with the kids</t>
        </is>
      </c>
      <c r="H12" s="450" t="inlineStr">
        <is>
          <t>Spent most of the day aligned</t>
        </is>
      </c>
      <c r="I12" s="450" t="inlineStr">
        <is>
          <t>Getting Ren to bed is so difficult</t>
        </is>
      </c>
      <c r="K12" s="450" t="n">
        <v>1</v>
      </c>
      <c r="L12" s="450" t="n">
        <v>1</v>
      </c>
      <c r="M12" s="450" t="n">
        <v>6</v>
      </c>
      <c r="N12" s="261" t="n"/>
      <c r="O12" s="122">
        <f>'0分'!D9</f>
        <v/>
      </c>
      <c r="P12" s="557" t="n">
        <v>7.8</v>
      </c>
      <c r="Q12" s="557" t="n">
        <v>6.5</v>
      </c>
      <c r="R12" s="557" t="n">
        <v>7.2</v>
      </c>
      <c r="S12" s="450" t="inlineStr">
        <is>
          <t>2x math with both is no pushover</t>
        </is>
      </c>
      <c r="T12" s="450" t="inlineStr">
        <is>
          <t>Would have been nice to do rolly polly</t>
        </is>
      </c>
      <c r="V12" s="557" t="n">
        <v>7.5</v>
      </c>
      <c r="W12" s="557" t="n">
        <v>5</v>
      </c>
    </row>
    <row r="13" ht="33.95" customHeight="1" s="37">
      <c r="A13" s="551" t="n"/>
      <c r="B13" s="124">
        <f>B12+1</f>
        <v/>
      </c>
      <c r="C13" s="123" t="inlineStr">
        <is>
          <t>M</t>
        </is>
      </c>
      <c r="D13" s="471" t="inlineStr">
        <is>
          <t xml:space="preserve">See the good in the opportunities </t>
        </is>
      </c>
      <c r="E13" s="450" t="inlineStr">
        <is>
          <t>No Computer = 💀</t>
        </is>
      </c>
      <c r="G13" s="450" t="inlineStr">
        <is>
          <t xml:space="preserve">Non computer aspets of life are great </t>
        </is>
      </c>
      <c r="H13" s="450" t="inlineStr">
        <is>
          <t xml:space="preserve">Math + Evening </t>
        </is>
      </c>
      <c r="I13" s="450" t="inlineStr">
        <is>
          <t xml:space="preserve">Work was a disaster </t>
        </is>
      </c>
      <c r="K13" s="450" t="n">
        <v>1</v>
      </c>
      <c r="L13" s="450" t="n">
        <v>1</v>
      </c>
      <c r="M13" s="450" t="n">
        <v>6</v>
      </c>
      <c r="N13" s="261" t="n"/>
      <c r="O13" s="122">
        <f>'0分'!D10</f>
        <v/>
      </c>
      <c r="P13" s="557" t="n">
        <v>7.8</v>
      </c>
      <c r="Q13" s="557" t="n">
        <v>4</v>
      </c>
      <c r="R13" s="557" t="n">
        <v>5</v>
      </c>
      <c r="S13" s="450" t="inlineStr">
        <is>
          <t>Nearly finished with curriculum</t>
        </is>
      </c>
      <c r="T13" s="450" t="inlineStr">
        <is>
          <t xml:space="preserve">LX got angry as I was away after ashan </t>
        </is>
      </c>
      <c r="V13" s="557" t="n">
        <v>7.5</v>
      </c>
      <c r="W13" s="557" t="n">
        <v>5.5</v>
      </c>
    </row>
    <row r="14" ht="33.95" customHeight="1" s="37">
      <c r="A14" s="551" t="n"/>
      <c r="B14" s="124">
        <f>B13+1</f>
        <v/>
      </c>
      <c r="C14" s="123" t="inlineStr">
        <is>
          <t>T</t>
        </is>
      </c>
      <c r="D14" s="471" t="inlineStr">
        <is>
          <t xml:space="preserve">Forgive myself for recovery </t>
        </is>
      </c>
      <c r="E14" s="450" t="inlineStr">
        <is>
          <t>Rebooting is slow</t>
        </is>
      </c>
      <c r="F14" s="450" t="inlineStr">
        <is>
          <t>Stuart setup</t>
        </is>
      </c>
      <c r="G14" s="450" t="inlineStr">
        <is>
          <t>A neighborhood walk with my wife</t>
        </is>
      </c>
      <c r="H14" s="450" t="inlineStr">
        <is>
          <t>Hanging out with LX</t>
        </is>
      </c>
      <c r="I14" s="450" t="inlineStr">
        <is>
          <t>Didn't get into anything meaty work wise</t>
        </is>
      </c>
      <c r="K14" s="450" t="n">
        <v>1</v>
      </c>
      <c r="L14" s="450" t="n">
        <v>1</v>
      </c>
      <c r="M14" s="450" t="n">
        <v>8</v>
      </c>
      <c r="N14" s="261" t="n"/>
      <c r="O14" s="122">
        <f>'0分'!D11</f>
        <v/>
      </c>
      <c r="P14" s="557" t="n">
        <v>7.7</v>
      </c>
      <c r="Q14" s="557" t="n">
        <v>6.5</v>
      </c>
      <c r="R14" s="557" t="n">
        <v>7</v>
      </c>
      <c r="S14" s="450" t="inlineStr">
        <is>
          <t>Reading Ren Dogman</t>
        </is>
      </c>
      <c r="T14" s="450" t="inlineStr">
        <is>
          <t xml:space="preserve">Picked the wrong schedule? </t>
        </is>
      </c>
      <c r="V14" s="557" t="n">
        <v>7.5</v>
      </c>
      <c r="W14" s="557" t="n">
        <v>6.5</v>
      </c>
      <c r="Z14" s="463">
        <f>7*60+36+33</f>
        <v/>
      </c>
      <c r="AA14" s="463" t="inlineStr">
        <is>
          <t xml:space="preserve">• Stuart Catch up: A 
•  Playdate, talk with Matt: A
• 崇一：B
</t>
        </is>
      </c>
      <c r="AB14" s="463" t="inlineStr">
        <is>
          <t xml:space="preserve">• Time with qz12 is really good.
• I do need to get an assistant for personal life. 
• Playdates are a fun thing to do on Saturdays. 
• I should plan Muir woods with mom.  </t>
        </is>
      </c>
    </row>
    <row r="15" ht="33.95" customHeight="1" s="37">
      <c r="A15" s="552" t="n"/>
      <c r="B15" s="124">
        <f>B14+1</f>
        <v/>
      </c>
      <c r="C15" s="123" t="inlineStr">
        <is>
          <t>W</t>
        </is>
      </c>
      <c r="D15" s="471" t="inlineStr">
        <is>
          <t xml:space="preserve">Keep my own momentum </t>
        </is>
      </c>
      <c r="E15" s="450" t="inlineStr">
        <is>
          <t>Keeping smooth transitions</t>
        </is>
      </c>
      <c r="F15" s="450" t="inlineStr">
        <is>
          <t>The phone mount</t>
        </is>
      </c>
      <c r="G15" s="450" t="inlineStr">
        <is>
          <t>Having a wifi subscription and 2nd monitor</t>
        </is>
      </c>
      <c r="H15" s="450" t="inlineStr">
        <is>
          <t>Getting out the weekly update</t>
        </is>
      </c>
      <c r="I15" s="450" t="inlineStr">
        <is>
          <t xml:space="preserve">I could have done HIIT </t>
        </is>
      </c>
      <c r="K15" s="450" t="n">
        <v>1</v>
      </c>
      <c r="L15" s="450" t="n">
        <v>1</v>
      </c>
      <c r="M15" s="450" t="n">
        <v>8</v>
      </c>
      <c r="N15" s="261" t="n"/>
      <c r="O15" s="122">
        <f>'0分'!D12</f>
        <v/>
      </c>
      <c r="P15" s="557" t="n">
        <v>7.7</v>
      </c>
      <c r="Q15" s="557" t="n">
        <v>6.5</v>
      </c>
      <c r="R15" s="557" t="n">
        <v>7</v>
      </c>
      <c r="S15" s="450" t="inlineStr">
        <is>
          <t>Squeezing in math with both</t>
        </is>
      </c>
      <c r="T15" s="450" t="inlineStr">
        <is>
          <t>Theo in tears at the end</t>
        </is>
      </c>
      <c r="V15" s="557" t="n">
        <v>7.5</v>
      </c>
      <c r="W15" s="557" t="n">
        <v>6.5</v>
      </c>
    </row>
    <row r="16" ht="33.95" customHeight="1" s="37">
      <c r="A16" s="462">
        <f>A9+0.1</f>
        <v/>
      </c>
      <c r="B16" s="124">
        <f>B15+1</f>
        <v/>
      </c>
      <c r="C16" s="123" t="inlineStr">
        <is>
          <t>Th</t>
        </is>
      </c>
      <c r="D16" s="471" t="inlineStr">
        <is>
          <t xml:space="preserve">The sun is still there </t>
        </is>
      </c>
      <c r="E16" s="450" t="inlineStr">
        <is>
          <t>Schedule change stress</t>
        </is>
      </c>
      <c r="F16" s="450" t="inlineStr">
        <is>
          <t>Stuart Beard</t>
        </is>
      </c>
      <c r="G16" s="450" t="inlineStr">
        <is>
          <t>Good friends</t>
        </is>
      </c>
      <c r="H16" s="450" t="inlineStr">
        <is>
          <t>Able to at least recover the Amy preso</t>
        </is>
      </c>
      <c r="I16" s="450" t="inlineStr">
        <is>
          <t xml:space="preserve">The schedule change hurts </t>
        </is>
      </c>
      <c r="L16" s="450" t="n">
        <v>1</v>
      </c>
      <c r="M16" s="450" t="n">
        <v>6</v>
      </c>
      <c r="N16" s="261" t="n"/>
      <c r="O16" s="122">
        <f>'0分'!D13</f>
        <v/>
      </c>
      <c r="P16" s="557" t="n">
        <v>7.5</v>
      </c>
      <c r="Q16" s="557" t="n">
        <v>5.5</v>
      </c>
      <c r="R16" s="557" t="n">
        <v>6.5</v>
      </c>
      <c r="S16" s="450" t="inlineStr">
        <is>
          <t xml:space="preserve">I think I can provide value here </t>
        </is>
      </c>
      <c r="T16" s="450" t="inlineStr">
        <is>
          <t>Didn't handle Aleks promo well</t>
        </is>
      </c>
      <c r="V16" s="557" t="n">
        <v>7.5</v>
      </c>
      <c r="W16" s="557" t="n">
        <v>6.5</v>
      </c>
      <c r="X16" s="465" t="inlineStr">
        <is>
          <t xml:space="preserve">• Gosh that was a magical flight. 
I certainly wasn't able to replicate it, but it's worth trying for it. 
• It's interesting to think that this might be one of the best week's I've ever had. Easy to forget that. 
• Professional wins, personal wins, and family wins. Getting out with the family in nature is one of the most rewarding things. 
• It's worth planning with mom for where to go next .
• Some of the rituals really matter. </t>
        </is>
      </c>
    </row>
    <row r="17" ht="33.95" customHeight="1" s="37">
      <c r="A17" s="551" t="n"/>
      <c r="B17" s="124">
        <f>B16+1</f>
        <v/>
      </c>
      <c r="C17" s="123" t="inlineStr">
        <is>
          <t>F</t>
        </is>
      </c>
      <c r="D17" s="471" t="inlineStr">
        <is>
          <t xml:space="preserve">Keep moving forward </t>
        </is>
      </c>
      <c r="E17" s="450" t="inlineStr">
        <is>
          <t>Beautiful flight home</t>
        </is>
      </c>
      <c r="F17" s="450" t="inlineStr">
        <is>
          <t xml:space="preserve">Asha kid intro </t>
        </is>
      </c>
      <c r="G17" s="450" t="inlineStr">
        <is>
          <t xml:space="preserve">Figuring out travel </t>
        </is>
      </c>
      <c r="H17" s="450" t="inlineStr">
        <is>
          <t>GH Budget meeting</t>
        </is>
      </c>
      <c r="I17" s="450" t="inlineStr">
        <is>
          <t xml:space="preserve">Could I have improved the. Morning? </t>
        </is>
      </c>
      <c r="K17" s="450" t="n">
        <v>1</v>
      </c>
      <c r="L17" s="450" t="n">
        <v>1</v>
      </c>
      <c r="M17" s="450" t="n">
        <v>8</v>
      </c>
      <c r="N17" s="261" t="n"/>
      <c r="O17" s="122">
        <f>'0分'!D14</f>
        <v/>
      </c>
      <c r="P17" s="557" t="n">
        <v>8.1</v>
      </c>
      <c r="Q17" s="557" t="n">
        <v>6.5</v>
      </c>
      <c r="R17" s="557" t="n">
        <v>7.3</v>
      </c>
      <c r="S17" s="450" t="inlineStr">
        <is>
          <t>Talking with LX at night</t>
        </is>
      </c>
      <c r="T17" s="450" t="inlineStr">
        <is>
          <t xml:space="preserve">Thank you's faster? </t>
        </is>
      </c>
      <c r="V17" s="557" t="n">
        <v>7.8</v>
      </c>
      <c r="W17" s="557" t="n">
        <v>6.5</v>
      </c>
    </row>
    <row r="18" ht="33.95" customHeight="1" s="37">
      <c r="A18" s="551" t="n"/>
      <c r="B18" s="124">
        <f>B17+1</f>
        <v/>
      </c>
      <c r="C18" s="123" t="inlineStr">
        <is>
          <t>S</t>
        </is>
      </c>
      <c r="D18" s="471" t="inlineStr">
        <is>
          <t>这还是我时间</t>
        </is>
      </c>
      <c r="E18" s="450" t="inlineStr">
        <is>
          <t>Surprise beach day</t>
        </is>
      </c>
      <c r="F18" s="450" t="inlineStr">
        <is>
          <t xml:space="preserve">Beach bodies </t>
        </is>
      </c>
      <c r="G18" s="450" t="inlineStr">
        <is>
          <t>Living on the coast</t>
        </is>
      </c>
      <c r="H18" s="450" t="inlineStr">
        <is>
          <t>Did a good job maximizing xk87</t>
        </is>
      </c>
      <c r="I18" s="450" t="inlineStr">
        <is>
          <t>Didn’t get to 2x math</t>
        </is>
      </c>
      <c r="K18" s="450" t="n">
        <v>1</v>
      </c>
      <c r="L18" s="450" t="n">
        <v>1</v>
      </c>
      <c r="M18" s="450" t="n">
        <v>8</v>
      </c>
      <c r="N18" s="261" t="n"/>
      <c r="O18" s="122">
        <f>'0分'!D15</f>
        <v/>
      </c>
      <c r="P18" s="557" t="n">
        <v>8</v>
      </c>
      <c r="Q18" s="557" t="n">
        <v>6.5</v>
      </c>
      <c r="R18" s="557" t="n">
        <v>7.2</v>
      </c>
      <c r="S18" s="450" t="inlineStr">
        <is>
          <t>Getting to the beach and B&amp;N</t>
        </is>
      </c>
      <c r="T18" s="450" t="inlineStr">
        <is>
          <t>Standing up family</t>
        </is>
      </c>
      <c r="V18" s="557" t="n">
        <v>7.9</v>
      </c>
      <c r="W18" s="557" t="n">
        <v>6.5</v>
      </c>
    </row>
    <row r="19" ht="33.95" customHeight="1" s="37">
      <c r="A19" s="551" t="n"/>
      <c r="B19" s="124">
        <f>B18+1</f>
        <v/>
      </c>
      <c r="C19" s="123" t="inlineStr">
        <is>
          <t>S</t>
        </is>
      </c>
      <c r="D19" s="471" t="inlineStr">
        <is>
          <t xml:space="preserve">Forward but no need to strain </t>
        </is>
      </c>
      <c r="E19" s="450" t="inlineStr">
        <is>
          <t xml:space="preserve">Real estate -&gt; Sunset </t>
        </is>
      </c>
      <c r="F19" s="450" t="inlineStr">
        <is>
          <t>Joggers coming down</t>
        </is>
      </c>
      <c r="G19" s="450" t="inlineStr">
        <is>
          <t xml:space="preserve">Interesting things outside </t>
        </is>
      </c>
      <c r="H19" s="450" t="inlineStr">
        <is>
          <t>kn47 roadmap and solid meetings</t>
        </is>
      </c>
      <c r="I19" s="450" t="inlineStr">
        <is>
          <t xml:space="preserve">Didn't outsource social planning </t>
        </is>
      </c>
      <c r="K19" s="450" t="n">
        <v>1</v>
      </c>
      <c r="L19" s="450" t="n">
        <v>1</v>
      </c>
      <c r="M19" s="450" t="n">
        <v>8</v>
      </c>
      <c r="N19" s="261" t="n"/>
      <c r="O19" s="122">
        <f>'0分'!D16</f>
        <v/>
      </c>
      <c r="P19" s="557" t="n">
        <v>8</v>
      </c>
      <c r="Q19" s="557" t="n">
        <v>6.5</v>
      </c>
      <c r="R19" s="557" t="n">
        <v>7.2</v>
      </c>
      <c r="S19" s="450" t="inlineStr">
        <is>
          <t xml:space="preserve">Kids to the peak </t>
        </is>
      </c>
      <c r="T19" s="450" t="inlineStr">
        <is>
          <t xml:space="preserve">How could we make this more the Sunday meetings better for staff? </t>
        </is>
      </c>
      <c r="V19" s="557" t="n">
        <v>7.5</v>
      </c>
      <c r="W19" s="557" t="n">
        <v>6.5</v>
      </c>
    </row>
    <row r="20" ht="33.95" customHeight="1" s="37">
      <c r="A20" s="551" t="n"/>
      <c r="B20" s="124">
        <f>B19+1</f>
        <v/>
      </c>
      <c r="C20" s="123" t="inlineStr">
        <is>
          <t>M</t>
        </is>
      </c>
      <c r="D20" s="471" t="inlineStr">
        <is>
          <t>n/a</t>
        </is>
      </c>
      <c r="E20" s="450" t="inlineStr">
        <is>
          <t xml:space="preserve">Playing in the rivers and trees of Berkeley </t>
        </is>
      </c>
      <c r="F20" s="450" t="inlineStr">
        <is>
          <t xml:space="preserve">lower BMI </t>
        </is>
      </c>
      <c r="G20" s="450" t="inlineStr">
        <is>
          <t xml:space="preserve">The kids are independent in nature </t>
        </is>
      </c>
      <c r="H20" s="450" t="inlineStr">
        <is>
          <t xml:space="preserve">Berkeley was great </t>
        </is>
      </c>
      <c r="I20" s="450" t="inlineStr">
        <is>
          <t xml:space="preserve">woke up late, no neon time slotted </t>
        </is>
      </c>
      <c r="K20" s="450" t="n">
        <v>0</v>
      </c>
      <c r="L20" s="450" t="n">
        <v>1</v>
      </c>
      <c r="M20" s="450" t="n">
        <v>7</v>
      </c>
      <c r="N20" s="261" t="n"/>
      <c r="O20" s="122">
        <f>'0分'!D17</f>
        <v/>
      </c>
      <c r="P20" s="557" t="n">
        <v>8</v>
      </c>
      <c r="Q20" s="557" t="n">
        <v>6.5</v>
      </c>
      <c r="R20" s="557" t="n">
        <v>7</v>
      </c>
      <c r="S20" s="450" t="inlineStr">
        <is>
          <t xml:space="preserve">Kids just playing and exploring on their own </t>
        </is>
      </c>
      <c r="T20" s="450" t="inlineStr">
        <is>
          <t xml:space="preserve">Ren falls x2 </t>
        </is>
      </c>
      <c r="V20" s="557" t="n">
        <v>7.5</v>
      </c>
      <c r="W20" s="557" t="n">
        <v>6.5</v>
      </c>
      <c r="Z20" s="463" t="n"/>
      <c r="AA20" s="464" t="n"/>
      <c r="AB20" s="464" t="n"/>
    </row>
    <row r="21" ht="33.95" customHeight="1" s="37">
      <c r="A21" s="551" t="n"/>
      <c r="B21" s="124">
        <f>B20+1</f>
        <v/>
      </c>
      <c r="C21" s="123" t="inlineStr">
        <is>
          <t>T</t>
        </is>
      </c>
      <c r="D21" s="471" t="inlineStr">
        <is>
          <t xml:space="preserve">Behind is only a state of mind. Focus on the opportunity </t>
        </is>
      </c>
      <c r="E21" s="450" t="inlineStr">
        <is>
          <t>Cache overflow</t>
        </is>
      </c>
      <c r="F21" s="450" t="inlineStr">
        <is>
          <t>Andy backdrop</t>
        </is>
      </c>
      <c r="G21" s="450" t="inlineStr">
        <is>
          <t>Incrementally better routines</t>
        </is>
      </c>
      <c r="H21" s="450" t="inlineStr">
        <is>
          <t>Solid points through the day, not stressed</t>
        </is>
      </c>
      <c r="I21" s="450" t="inlineStr">
        <is>
          <t xml:space="preserve">Wasn't able to get andy ramp doc </t>
        </is>
      </c>
      <c r="K21" s="450" t="n">
        <v>1</v>
      </c>
      <c r="L21" s="450" t="n">
        <v>1</v>
      </c>
      <c r="M21" s="450" t="n">
        <v>8</v>
      </c>
      <c r="N21" s="261" t="n"/>
      <c r="O21" s="122">
        <f>'0分'!D18</f>
        <v/>
      </c>
      <c r="P21" s="557" t="n">
        <v>7.5</v>
      </c>
      <c r="Q21" s="557" t="n">
        <v>6.5</v>
      </c>
      <c r="R21" s="557" t="n">
        <v>7</v>
      </c>
      <c r="S21" s="450" t="inlineStr">
        <is>
          <t xml:space="preserve">Playing sum swamp with theo </t>
        </is>
      </c>
      <c r="T21" s="450" t="inlineStr">
        <is>
          <t xml:space="preserve">Too much of the relationship is math? </t>
        </is>
      </c>
      <c r="V21" s="557" t="n">
        <v>7.5</v>
      </c>
      <c r="W21" s="557" t="n">
        <v>6</v>
      </c>
    </row>
    <row r="22" ht="33.95" customHeight="1" s="37">
      <c r="A22" s="552" t="n"/>
      <c r="B22" s="124">
        <f>B21+1</f>
        <v/>
      </c>
      <c r="C22" s="123" t="inlineStr">
        <is>
          <t>W</t>
        </is>
      </c>
      <c r="D22" s="471" t="inlineStr">
        <is>
          <t xml:space="preserve">Keep flow state </t>
        </is>
      </c>
      <c r="E22" s="450" t="inlineStr">
        <is>
          <t xml:space="preserve"> +$10m </t>
        </is>
      </c>
      <c r="F22" s="450" t="inlineStr">
        <is>
          <t xml:space="preserve">Danton phD look </t>
        </is>
      </c>
      <c r="G22" s="450" t="inlineStr">
        <is>
          <t>Nice to get 1:1's with staff</t>
        </is>
      </c>
      <c r="H22" s="450" t="inlineStr">
        <is>
          <t>Got colors done through the day</t>
        </is>
      </c>
      <c r="I22" s="450" t="inlineStr">
        <is>
          <t>Email starting to lag</t>
        </is>
      </c>
      <c r="K22" s="450" t="n">
        <v>1</v>
      </c>
      <c r="L22" s="450" t="n">
        <v>1</v>
      </c>
      <c r="M22" s="450" t="n">
        <v>8</v>
      </c>
      <c r="N22" s="261" t="n"/>
      <c r="O22" s="122">
        <f>'0分'!D19</f>
        <v/>
      </c>
      <c r="P22" s="557" t="n">
        <v>8.199999999999999</v>
      </c>
      <c r="Q22" s="557" t="n">
        <v>6.5</v>
      </c>
      <c r="R22" s="557" t="n">
        <v>7.1</v>
      </c>
      <c r="S22" s="450" t="inlineStr">
        <is>
          <t>The 1:1's were good</t>
        </is>
      </c>
      <c r="T22" s="450" t="inlineStr">
        <is>
          <t xml:space="preserve">I have to remember the power dynamic of being skip level </t>
        </is>
      </c>
      <c r="V22" s="557" t="n">
        <v>7.5</v>
      </c>
      <c r="W22" s="557" t="n">
        <v>6.5</v>
      </c>
    </row>
    <row r="23" ht="33.95" customHeight="1" s="37">
      <c r="A23" s="462">
        <f>A16+0.1</f>
        <v/>
      </c>
      <c r="B23" s="124">
        <f>B22+1</f>
        <v/>
      </c>
      <c r="C23" s="123" t="inlineStr">
        <is>
          <t>Th</t>
        </is>
      </c>
      <c r="D23" s="471" t="inlineStr">
        <is>
          <t xml:space="preserve">Cruising speed </t>
        </is>
      </c>
      <c r="E23" s="450" t="inlineStr">
        <is>
          <t>Suzallo</t>
        </is>
      </c>
      <c r="F23" s="450" t="inlineStr">
        <is>
          <t>Barista</t>
        </is>
      </c>
      <c r="G23" s="450" t="inlineStr">
        <is>
          <t>I can enjoy places much more</t>
        </is>
      </c>
      <c r="H23" s="450" t="inlineStr">
        <is>
          <t xml:space="preserve">Going to Suzzallo </t>
        </is>
      </c>
      <c r="I23" s="450" t="inlineStr">
        <is>
          <t xml:space="preserve">I forgot email! </t>
        </is>
      </c>
      <c r="K23" s="450" t="n">
        <v>1</v>
      </c>
      <c r="L23" s="450" t="n">
        <v>1</v>
      </c>
      <c r="M23" s="450" t="n">
        <v>8</v>
      </c>
      <c r="N23" s="261" t="n"/>
      <c r="O23" s="122">
        <f>'0分'!D20</f>
        <v/>
      </c>
      <c r="P23" s="557" t="n">
        <v>8</v>
      </c>
      <c r="Q23" s="557" t="n">
        <v>6.5</v>
      </c>
      <c r="R23" s="557" t="n">
        <v>7.1</v>
      </c>
      <c r="S23" s="450" t="inlineStr">
        <is>
          <t>Called LX multiple times</t>
        </is>
      </c>
      <c r="T23" s="450" t="inlineStr">
        <is>
          <t>What about coworkers</t>
        </is>
      </c>
      <c r="V23" s="557" t="n">
        <v>7</v>
      </c>
      <c r="W23" s="557" t="n">
        <v>5</v>
      </c>
      <c r="X23" s="465" t="n"/>
    </row>
    <row r="24" ht="33.95" customHeight="1" s="37">
      <c r="A24" s="551" t="n"/>
      <c r="B24" s="124">
        <f>B23+1</f>
        <v/>
      </c>
      <c r="C24" s="123" t="inlineStr">
        <is>
          <t>F</t>
        </is>
      </c>
      <c r="D24" s="471" t="n"/>
      <c r="E24" s="58" t="n"/>
      <c r="N24" s="261" t="n"/>
      <c r="O24" s="122">
        <f>'0分'!D21</f>
        <v/>
      </c>
    </row>
    <row r="25" ht="33.95" customHeight="1" s="37">
      <c r="A25" s="551" t="n"/>
      <c r="B25" s="124">
        <f>B24+1</f>
        <v/>
      </c>
      <c r="C25" s="123" t="inlineStr">
        <is>
          <t>S</t>
        </is>
      </c>
      <c r="D25" s="471" t="n"/>
      <c r="N25" s="261" t="n"/>
      <c r="O25" s="122">
        <f>'0分'!D22</f>
        <v/>
      </c>
    </row>
    <row r="26" ht="33.95" customHeight="1" s="37">
      <c r="A26" s="551" t="n"/>
      <c r="B26" s="124">
        <f>B25+1</f>
        <v/>
      </c>
      <c r="C26" s="123" t="inlineStr">
        <is>
          <t>S</t>
        </is>
      </c>
      <c r="D26" s="471" t="n"/>
      <c r="G26" s="57" t="n"/>
      <c r="N26" s="261" t="n"/>
      <c r="O26" s="122">
        <f>'0分'!D23</f>
        <v/>
      </c>
      <c r="Z26" s="463" t="n"/>
      <c r="AA26" s="464" t="n"/>
      <c r="AB26" s="464" t="n"/>
    </row>
    <row r="27" ht="33.95" customHeight="1" s="37">
      <c r="A27" s="551" t="n"/>
      <c r="B27" s="124">
        <f>B26+1</f>
        <v/>
      </c>
      <c r="C27" s="123" t="inlineStr">
        <is>
          <t>M</t>
        </is>
      </c>
      <c r="D27" s="471" t="n"/>
      <c r="N27" s="263" t="n"/>
      <c r="O27" s="122">
        <f>'0分'!D24</f>
        <v/>
      </c>
    </row>
    <row r="28" ht="33.95" customHeight="1" s="37">
      <c r="A28" s="551" t="n"/>
      <c r="B28" s="124">
        <f>B27+1</f>
        <v/>
      </c>
      <c r="C28" s="123" t="inlineStr">
        <is>
          <t>T</t>
        </is>
      </c>
      <c r="D28" s="471" t="n"/>
      <c r="N28" s="261" t="n"/>
      <c r="O28" s="122">
        <f>'0分'!D25</f>
        <v/>
      </c>
    </row>
    <row r="29" ht="33.95" customHeight="1" s="37">
      <c r="A29" s="552" t="n"/>
      <c r="B29" s="124">
        <f>B28+1</f>
        <v/>
      </c>
      <c r="C29" s="123" t="inlineStr">
        <is>
          <t>W</t>
        </is>
      </c>
      <c r="D29" s="471" t="n"/>
      <c r="N29" s="261" t="n"/>
      <c r="O29" s="122">
        <f>'0分'!D26</f>
        <v/>
      </c>
    </row>
    <row r="30" ht="33.95" customHeight="1" s="37">
      <c r="A30" s="462">
        <f>A2+1</f>
        <v/>
      </c>
      <c r="B30" s="124">
        <f>B29+1</f>
        <v/>
      </c>
      <c r="C30" s="123" t="inlineStr">
        <is>
          <t>Th</t>
        </is>
      </c>
      <c r="D30" s="471" t="n"/>
      <c r="N30" s="261" t="n"/>
      <c r="O30" s="122">
        <f>'0分'!D27</f>
        <v/>
      </c>
      <c r="X30" s="465" t="n"/>
    </row>
    <row r="31" ht="33.95" customHeight="1" s="37">
      <c r="A31" s="551" t="n"/>
      <c r="B31" s="124">
        <f>B30+1</f>
        <v/>
      </c>
      <c r="C31" s="123" t="inlineStr">
        <is>
          <t>F</t>
        </is>
      </c>
      <c r="D31" s="471" t="n"/>
      <c r="N31" s="261" t="n"/>
      <c r="O31" s="122">
        <f>'0分'!D28</f>
        <v/>
      </c>
    </row>
    <row r="32" ht="33.95" customHeight="1" s="37">
      <c r="A32" s="551" t="n"/>
      <c r="B32" s="124">
        <f>B31+1</f>
        <v/>
      </c>
      <c r="C32" s="123" t="inlineStr">
        <is>
          <t>S</t>
        </is>
      </c>
      <c r="D32" s="471" t="n"/>
      <c r="N32" s="261" t="n"/>
      <c r="O32" s="122">
        <f>'0分'!D29</f>
        <v/>
      </c>
      <c r="Z32" s="463" t="n"/>
      <c r="AA32" s="464" t="n"/>
      <c r="AB32" s="464" t="n"/>
    </row>
    <row r="33" ht="33.95" customHeight="1" s="37">
      <c r="A33" s="551" t="n"/>
      <c r="B33" s="124">
        <f>B32+1</f>
        <v/>
      </c>
      <c r="C33" s="123" t="inlineStr">
        <is>
          <t>S</t>
        </is>
      </c>
      <c r="D33" s="471" t="n"/>
      <c r="N33" s="261" t="n"/>
      <c r="O33" s="122">
        <f>'0分'!D30</f>
        <v/>
      </c>
    </row>
    <row r="34" ht="33.95" customHeight="1" s="37">
      <c r="A34" s="551" t="n"/>
      <c r="B34" s="124">
        <f>B33+1</f>
        <v/>
      </c>
      <c r="C34" s="123" t="inlineStr">
        <is>
          <t>M</t>
        </is>
      </c>
      <c r="D34" s="471" t="n"/>
      <c r="N34" s="261" t="n"/>
      <c r="O34" s="122">
        <f>'0分'!D31</f>
        <v/>
      </c>
    </row>
    <row r="35" ht="33.95" customHeight="1" s="37">
      <c r="A35" s="551" t="n"/>
      <c r="B35" s="124">
        <f>B34+1</f>
        <v/>
      </c>
      <c r="C35" s="123" t="inlineStr">
        <is>
          <t>T</t>
        </is>
      </c>
      <c r="D35" s="471" t="n"/>
      <c r="N35" s="261" t="n"/>
      <c r="O35" s="122">
        <f>'0分'!D32</f>
        <v/>
      </c>
    </row>
    <row r="36" ht="33.95" customHeight="1" s="37">
      <c r="A36" s="552" t="n"/>
      <c r="B36" s="124">
        <f>B35+1</f>
        <v/>
      </c>
      <c r="C36" s="123" t="inlineStr">
        <is>
          <t>W</t>
        </is>
      </c>
      <c r="D36" s="471" t="n"/>
      <c r="N36" s="261" t="n"/>
      <c r="O36" s="122">
        <f>'0分'!D33</f>
        <v/>
      </c>
    </row>
    <row r="37" ht="33.95" customHeight="1" s="37">
      <c r="A37" s="462">
        <f>A30+0.1</f>
        <v/>
      </c>
      <c r="B37" s="124">
        <f>B36+1</f>
        <v/>
      </c>
      <c r="C37" s="123" t="inlineStr">
        <is>
          <t>Th</t>
        </is>
      </c>
      <c r="D37" s="471" t="n"/>
      <c r="N37" s="261" t="n"/>
      <c r="O37" s="122">
        <f>'0分'!D34</f>
        <v/>
      </c>
      <c r="X37" s="465" t="n"/>
    </row>
    <row r="38" ht="33.95" customHeight="1" s="37">
      <c r="A38" s="551" t="n"/>
      <c r="B38" s="124">
        <f>B37+1</f>
        <v/>
      </c>
      <c r="C38" s="123" t="inlineStr">
        <is>
          <t>F</t>
        </is>
      </c>
      <c r="D38" s="471" t="n"/>
      <c r="J38" s="38" t="n"/>
      <c r="K38" s="127" t="n"/>
      <c r="L38" s="38" t="n"/>
      <c r="M38" s="38" t="n"/>
      <c r="N38" s="261" t="n"/>
      <c r="O38" s="122">
        <f>'0分'!D35</f>
        <v/>
      </c>
      <c r="Z38" s="463" t="n"/>
      <c r="AA38" s="464" t="n"/>
      <c r="AB38" s="464" t="n"/>
    </row>
    <row r="39" ht="33.95" customHeight="1" s="37">
      <c r="A39" s="551" t="n"/>
      <c r="B39" s="124">
        <f>B38+1</f>
        <v/>
      </c>
      <c r="C39" s="126" t="inlineStr">
        <is>
          <t>S</t>
        </is>
      </c>
      <c r="D39" s="471" t="n"/>
      <c r="N39" s="261" t="n"/>
      <c r="O39" s="122">
        <f>'0分'!D36</f>
        <v/>
      </c>
    </row>
    <row r="40" ht="33.95" customHeight="1" s="37">
      <c r="A40" s="551" t="n"/>
      <c r="B40" s="124">
        <f>B39+1</f>
        <v/>
      </c>
      <c r="C40" s="126" t="inlineStr">
        <is>
          <t>S</t>
        </is>
      </c>
      <c r="D40" s="471" t="n"/>
      <c r="N40" s="261" t="n"/>
      <c r="O40" s="122">
        <f>'0分'!D37</f>
        <v/>
      </c>
    </row>
    <row r="41" ht="33.95" customHeight="1" s="37">
      <c r="A41" s="551" t="n"/>
      <c r="B41" s="124">
        <f>B40+1</f>
        <v/>
      </c>
      <c r="C41" s="126" t="inlineStr">
        <is>
          <t>M</t>
        </is>
      </c>
      <c r="D41" s="471" t="n"/>
      <c r="N41" s="261" t="n"/>
      <c r="O41" s="122">
        <f>'0分'!D38</f>
        <v/>
      </c>
    </row>
    <row r="42" ht="33.95" customHeight="1" s="37">
      <c r="A42" s="551" t="n"/>
      <c r="B42" s="124">
        <f>B41+1</f>
        <v/>
      </c>
      <c r="C42" s="126" t="inlineStr">
        <is>
          <t>T</t>
        </is>
      </c>
      <c r="D42" s="471" t="n"/>
      <c r="J42" s="38" t="n"/>
      <c r="K42" s="127" t="n"/>
      <c r="M42" s="38" t="n"/>
      <c r="N42" s="261" t="n"/>
      <c r="O42" s="122">
        <f>'0分'!D39</f>
        <v/>
      </c>
    </row>
    <row r="43" ht="33.95" customHeight="1" s="37">
      <c r="A43" s="552" t="n"/>
      <c r="B43" s="124">
        <f>B42+1</f>
        <v/>
      </c>
      <c r="C43" s="126" t="inlineStr">
        <is>
          <t>W</t>
        </is>
      </c>
      <c r="D43" s="471" t="n"/>
      <c r="E43" s="281" t="n"/>
      <c r="N43" s="261" t="n"/>
      <c r="O43" s="122">
        <f>'0分'!D40</f>
        <v/>
      </c>
    </row>
    <row r="44" ht="33.95" customHeight="1" s="37">
      <c r="A44" s="462">
        <f>A37+0.1</f>
        <v/>
      </c>
      <c r="B44" s="124">
        <f>B43+1</f>
        <v/>
      </c>
      <c r="C44" s="126" t="inlineStr">
        <is>
          <t>Th</t>
        </is>
      </c>
      <c r="D44" s="471" t="n"/>
      <c r="N44" s="261" t="n"/>
      <c r="O44" s="122">
        <f>'0分'!D41</f>
        <v/>
      </c>
      <c r="X44" s="465" t="n"/>
      <c r="Z44" s="463" t="n"/>
      <c r="AA44" s="464" t="n"/>
      <c r="AB44" s="464" t="n"/>
    </row>
    <row r="45" ht="33.95" customHeight="1" s="37">
      <c r="A45" s="551" t="n"/>
      <c r="B45" s="124">
        <f>B44+1</f>
        <v/>
      </c>
      <c r="C45" s="126" t="inlineStr">
        <is>
          <t>F</t>
        </is>
      </c>
      <c r="D45" s="471" t="n"/>
      <c r="N45" s="261" t="n"/>
      <c r="O45" s="122">
        <f>'0分'!D42</f>
        <v/>
      </c>
    </row>
    <row r="46" ht="33.95" customHeight="1" s="37">
      <c r="A46" s="551" t="n"/>
      <c r="B46" s="124">
        <f>B45+1</f>
        <v/>
      </c>
      <c r="C46" s="126" t="inlineStr">
        <is>
          <t>S</t>
        </is>
      </c>
      <c r="D46" s="471" t="n"/>
      <c r="N46" s="261" t="n"/>
      <c r="O46" s="122">
        <f>'0分'!D43</f>
        <v/>
      </c>
    </row>
    <row r="47" ht="33.95" customHeight="1" s="37">
      <c r="A47" s="551" t="n"/>
      <c r="B47" s="124">
        <f>B46+1</f>
        <v/>
      </c>
      <c r="C47" s="126" t="inlineStr">
        <is>
          <t>S</t>
        </is>
      </c>
      <c r="D47" s="471" t="n"/>
      <c r="N47" s="261" t="n"/>
      <c r="O47" s="122">
        <f>'0分'!D44</f>
        <v/>
      </c>
    </row>
    <row r="48" ht="33.95" customHeight="1" s="37">
      <c r="A48" s="551" t="n"/>
      <c r="B48" s="124">
        <f>B47+1</f>
        <v/>
      </c>
      <c r="C48" s="123" t="inlineStr">
        <is>
          <t>M</t>
        </is>
      </c>
      <c r="D48" s="471" t="n"/>
      <c r="N48" s="261" t="n"/>
      <c r="O48" s="122">
        <f>'0分'!D45</f>
        <v/>
      </c>
    </row>
    <row r="49" ht="33.95" customHeight="1" s="37">
      <c r="A49" s="551" t="n"/>
      <c r="B49" s="124">
        <f>B48+1</f>
        <v/>
      </c>
      <c r="C49" s="123" t="inlineStr">
        <is>
          <t>T</t>
        </is>
      </c>
      <c r="D49" s="471" t="n"/>
      <c r="N49" s="261" t="n"/>
      <c r="O49" s="122">
        <f>'0分'!D46</f>
        <v/>
      </c>
    </row>
    <row r="50" ht="33.95" customHeight="1" s="37">
      <c r="A50" s="552" t="n"/>
      <c r="B50" s="124">
        <f>B49+1</f>
        <v/>
      </c>
      <c r="C50" s="123" t="inlineStr">
        <is>
          <t>W</t>
        </is>
      </c>
      <c r="D50" s="471" t="n"/>
      <c r="N50" s="261" t="n"/>
      <c r="O50" s="122">
        <f>'0分'!D47</f>
        <v/>
      </c>
      <c r="Z50" s="463" t="n"/>
      <c r="AA50" s="463" t="n"/>
      <c r="AB50" s="463" t="n"/>
    </row>
    <row r="51" ht="33.95" customHeight="1" s="37">
      <c r="A51" s="462">
        <f>A44+0.1</f>
        <v/>
      </c>
      <c r="B51" s="124">
        <f>B50+1</f>
        <v/>
      </c>
      <c r="C51" s="123" t="inlineStr">
        <is>
          <t>Th</t>
        </is>
      </c>
      <c r="D51" s="471" t="n"/>
      <c r="N51" s="261" t="n"/>
      <c r="O51" s="122">
        <f>'0分'!D48</f>
        <v/>
      </c>
      <c r="X51" s="465" t="n"/>
    </row>
    <row r="52" ht="33.95" customHeight="1" s="37">
      <c r="A52" s="551" t="n"/>
      <c r="B52" s="124">
        <f>B51+1</f>
        <v/>
      </c>
      <c r="C52" s="123" t="inlineStr">
        <is>
          <t>F</t>
        </is>
      </c>
      <c r="D52" s="471" t="n"/>
      <c r="N52" s="261" t="n"/>
      <c r="O52" s="122">
        <f>'0分'!D49</f>
        <v/>
      </c>
    </row>
    <row r="53" ht="33.95" customHeight="1" s="37">
      <c r="A53" s="551" t="n"/>
      <c r="B53" s="124">
        <f>B52+1</f>
        <v/>
      </c>
      <c r="C53" s="123" t="inlineStr">
        <is>
          <t>S</t>
        </is>
      </c>
      <c r="D53" s="471" t="n"/>
      <c r="N53" s="261" t="n"/>
      <c r="O53" s="122">
        <f>'0分'!D50</f>
        <v/>
      </c>
    </row>
    <row r="54" ht="33.95" customHeight="1" s="37">
      <c r="A54" s="551" t="n"/>
      <c r="B54" s="124">
        <f>B53+1</f>
        <v/>
      </c>
      <c r="C54" s="123" t="inlineStr">
        <is>
          <t>S</t>
        </is>
      </c>
      <c r="D54" s="471" t="n"/>
      <c r="J54" s="38" t="n"/>
      <c r="K54" s="127" t="n"/>
      <c r="L54" s="38" t="n"/>
      <c r="M54" s="38" t="n"/>
      <c r="N54" s="261" t="n"/>
      <c r="O54" s="122">
        <f>'0分'!D51</f>
        <v/>
      </c>
    </row>
    <row r="55" ht="33.95" customHeight="1" s="37">
      <c r="A55" s="551" t="n"/>
      <c r="B55" s="124">
        <f>B54+1</f>
        <v/>
      </c>
      <c r="C55" s="123" t="inlineStr">
        <is>
          <t>M</t>
        </is>
      </c>
      <c r="D55" s="471" t="n"/>
      <c r="N55" s="261" t="n"/>
      <c r="O55" s="122">
        <f>'0分'!D52</f>
        <v/>
      </c>
    </row>
    <row r="56" ht="33.95" customHeight="1" s="37">
      <c r="A56" s="551" t="n"/>
      <c r="B56" s="124">
        <f>B55+1</f>
        <v/>
      </c>
      <c r="C56" s="123" t="inlineStr">
        <is>
          <t>T</t>
        </is>
      </c>
      <c r="D56" s="471" t="n"/>
      <c r="N56" s="261" t="n"/>
      <c r="O56" s="122">
        <f>'0分'!D53</f>
        <v/>
      </c>
      <c r="Z56" s="464" t="n"/>
      <c r="AA56" s="464" t="n"/>
      <c r="AB56" s="464" t="n"/>
    </row>
    <row r="57" ht="33.95" customHeight="1" s="37">
      <c r="A57" s="552" t="n"/>
      <c r="B57" s="124">
        <f>B56+1</f>
        <v/>
      </c>
      <c r="C57" s="123" t="inlineStr">
        <is>
          <t>W</t>
        </is>
      </c>
      <c r="D57" s="471" t="n"/>
      <c r="N57" s="261" t="n"/>
      <c r="O57" s="122">
        <f>'0分'!D54</f>
        <v/>
      </c>
    </row>
    <row r="58" ht="33.95" customHeight="1" s="37">
      <c r="A58" s="462">
        <f>A30+1</f>
        <v/>
      </c>
      <c r="B58" s="124">
        <f>B57+1</f>
        <v/>
      </c>
      <c r="C58" s="123" t="inlineStr">
        <is>
          <t>Th</t>
        </is>
      </c>
      <c r="D58" s="471" t="n"/>
      <c r="N58" s="261" t="n"/>
      <c r="O58" s="122">
        <f>'0分'!D55</f>
        <v/>
      </c>
      <c r="X58" s="465" t="n"/>
    </row>
    <row r="59" ht="33.95" customHeight="1" s="37">
      <c r="A59" s="551" t="n"/>
      <c r="B59" s="124">
        <f>B58+1</f>
        <v/>
      </c>
      <c r="C59" s="123" t="inlineStr">
        <is>
          <t>F</t>
        </is>
      </c>
      <c r="D59" s="471" t="n"/>
      <c r="N59" s="261" t="n"/>
      <c r="O59" s="122">
        <f>'0分'!D56</f>
        <v/>
      </c>
    </row>
    <row r="60" ht="33.95" customHeight="1" s="37">
      <c r="A60" s="551" t="n"/>
      <c r="B60" s="124">
        <f>B59+1</f>
        <v/>
      </c>
      <c r="C60" s="123" t="inlineStr">
        <is>
          <t>S</t>
        </is>
      </c>
      <c r="D60" s="471" t="n"/>
      <c r="N60" s="261" t="n"/>
      <c r="O60" s="122">
        <f>'0分'!D57</f>
        <v/>
      </c>
    </row>
    <row r="61" ht="33.95" customHeight="1" s="37">
      <c r="A61" s="551" t="n"/>
      <c r="B61" s="124">
        <f>B60+1</f>
        <v/>
      </c>
      <c r="C61" s="123" t="inlineStr">
        <is>
          <t>S</t>
        </is>
      </c>
      <c r="D61" s="471" t="n"/>
      <c r="N61" s="261" t="n"/>
      <c r="O61" s="122">
        <f>'0分'!D58</f>
        <v/>
      </c>
    </row>
    <row r="62" ht="33.95" customHeight="1" s="37">
      <c r="A62" s="551" t="n"/>
      <c r="B62" s="124">
        <f>B61+1</f>
        <v/>
      </c>
      <c r="C62" s="123" t="inlineStr">
        <is>
          <t>M</t>
        </is>
      </c>
      <c r="D62" s="471" t="n"/>
      <c r="N62" s="261" t="n"/>
      <c r="O62" s="122">
        <f>'0分'!D59</f>
        <v/>
      </c>
    </row>
    <row r="63" ht="33.95" customHeight="1" s="37">
      <c r="A63" s="551" t="n"/>
      <c r="B63" s="124">
        <f>B62+1</f>
        <v/>
      </c>
      <c r="C63" s="123" t="inlineStr">
        <is>
          <t>T</t>
        </is>
      </c>
      <c r="D63" s="471" t="n"/>
      <c r="N63" s="261" t="n"/>
      <c r="O63" s="122">
        <f>'0分'!D60</f>
        <v/>
      </c>
      <c r="Z63" s="464" t="n"/>
      <c r="AA63" s="464" t="n"/>
      <c r="AB63" s="464" t="n"/>
      <c r="AD63" s="466" t="n"/>
    </row>
    <row r="64" ht="33.95" customHeight="1" s="37">
      <c r="A64" s="552" t="n"/>
      <c r="B64" s="124">
        <f>B63+1</f>
        <v/>
      </c>
      <c r="C64" s="123" t="inlineStr">
        <is>
          <t>W</t>
        </is>
      </c>
      <c r="D64" s="471" t="n"/>
      <c r="N64" s="261" t="n"/>
      <c r="O64" s="122">
        <f>'0分'!D61</f>
        <v/>
      </c>
      <c r="AD64" s="303" t="n"/>
      <c r="AE64" s="303" t="n"/>
      <c r="AF64" s="325" t="n"/>
      <c r="AG64" s="303" t="n"/>
      <c r="AH64" s="303" t="n"/>
      <c r="AI64" s="303" t="n"/>
    </row>
    <row r="65" ht="33.95" customHeight="1" s="37">
      <c r="A65" s="462">
        <f>A58+0.1</f>
        <v/>
      </c>
      <c r="B65" s="125">
        <f>B64+1</f>
        <v/>
      </c>
      <c r="C65" s="123" t="inlineStr">
        <is>
          <t>Th</t>
        </is>
      </c>
      <c r="D65" s="471" t="n"/>
      <c r="N65" s="261" t="n"/>
      <c r="O65" s="122">
        <f>'0分'!D62</f>
        <v/>
      </c>
      <c r="X65" s="465" t="n"/>
      <c r="AD65" s="470" t="n"/>
    </row>
    <row r="66" ht="33.95" customHeight="1" s="37">
      <c r="A66" s="551" t="n"/>
      <c r="B66" s="124">
        <f>B65+1</f>
        <v/>
      </c>
      <c r="C66" s="123" t="inlineStr">
        <is>
          <t>F</t>
        </is>
      </c>
      <c r="D66" s="471" t="n"/>
      <c r="N66" s="261" t="n"/>
      <c r="O66" s="122">
        <f>'0分'!D63</f>
        <v/>
      </c>
    </row>
    <row r="67" ht="33.95" customHeight="1" s="37">
      <c r="A67" s="551" t="n"/>
      <c r="B67" s="124">
        <f>B66+1</f>
        <v/>
      </c>
      <c r="C67" s="123" t="inlineStr">
        <is>
          <t>S</t>
        </is>
      </c>
      <c r="D67" s="471" t="n"/>
      <c r="N67" s="261" t="n"/>
      <c r="O67" s="122">
        <f>'0分'!D64</f>
        <v/>
      </c>
    </row>
    <row r="68" ht="33.95" customHeight="1" s="37">
      <c r="A68" s="551" t="n"/>
      <c r="B68" s="124">
        <f>B67+1</f>
        <v/>
      </c>
      <c r="C68" s="123" t="inlineStr">
        <is>
          <t>S</t>
        </is>
      </c>
      <c r="D68" s="471" t="n"/>
      <c r="N68" s="261" t="n"/>
      <c r="O68" s="122">
        <f>'0分'!D65</f>
        <v/>
      </c>
    </row>
    <row r="69" ht="33.95" customHeight="1" s="37">
      <c r="A69" s="551" t="n"/>
      <c r="B69" s="124">
        <f>B68+1</f>
        <v/>
      </c>
      <c r="C69" s="123" t="inlineStr">
        <is>
          <t>M</t>
        </is>
      </c>
      <c r="D69" s="471" t="n"/>
      <c r="N69" s="261" t="n"/>
      <c r="O69" s="122">
        <f>'0分'!D66</f>
        <v/>
      </c>
    </row>
    <row r="70" ht="33.95" customHeight="1" s="37">
      <c r="A70" s="551" t="n"/>
      <c r="B70" s="124">
        <f>B69+1</f>
        <v/>
      </c>
      <c r="C70" s="123" t="inlineStr">
        <is>
          <t>T</t>
        </is>
      </c>
      <c r="D70" s="471" t="n"/>
      <c r="N70" s="261" t="n"/>
      <c r="O70" s="122">
        <f>'0分'!D67</f>
        <v/>
      </c>
    </row>
    <row r="71" ht="33.95" customHeight="1" s="37">
      <c r="A71" s="552" t="n"/>
      <c r="B71" s="124">
        <f>B70+1</f>
        <v/>
      </c>
      <c r="C71" s="123" t="inlineStr">
        <is>
          <t>W</t>
        </is>
      </c>
      <c r="D71" s="471" t="n"/>
      <c r="N71" s="261" t="n"/>
      <c r="O71" s="122">
        <f>'0分'!D68</f>
        <v/>
      </c>
    </row>
    <row r="72" ht="33.95" customHeight="1" s="37">
      <c r="A72" s="462">
        <f>A65+0.1</f>
        <v/>
      </c>
      <c r="B72" s="124">
        <f>B71+1</f>
        <v/>
      </c>
      <c r="C72" s="123" t="inlineStr">
        <is>
          <t>Th</t>
        </is>
      </c>
      <c r="D72" s="471" t="n"/>
      <c r="N72" s="261" t="n"/>
      <c r="O72" s="122">
        <f>'0分'!D69</f>
        <v/>
      </c>
      <c r="X72" s="465" t="n"/>
    </row>
    <row r="73" ht="33.95" customHeight="1" s="37">
      <c r="A73" s="551" t="n"/>
      <c r="B73" s="124">
        <f>B72+1</f>
        <v/>
      </c>
      <c r="C73" s="123" t="inlineStr">
        <is>
          <t>F</t>
        </is>
      </c>
      <c r="D73" s="471" t="n"/>
      <c r="N73" s="261" t="n"/>
      <c r="O73" s="122">
        <f>'0分'!D70</f>
        <v/>
      </c>
    </row>
    <row r="74" ht="33.95" customHeight="1" s="37">
      <c r="A74" s="551" t="n"/>
      <c r="B74" s="124">
        <f>B73+1</f>
        <v/>
      </c>
      <c r="C74" s="123" t="inlineStr">
        <is>
          <t>S</t>
        </is>
      </c>
      <c r="D74" s="471" t="n"/>
      <c r="N74" s="261" t="n"/>
      <c r="O74" s="122">
        <f>'0分'!D71</f>
        <v/>
      </c>
    </row>
    <row r="75" ht="33.95" customHeight="1" s="37">
      <c r="A75" s="551" t="n"/>
      <c r="B75" s="124">
        <f>B74+1</f>
        <v/>
      </c>
      <c r="C75" s="123" t="inlineStr">
        <is>
          <t>S</t>
        </is>
      </c>
      <c r="D75" s="471" t="n"/>
      <c r="N75" s="261" t="n"/>
      <c r="O75" s="122">
        <f>'0分'!D72</f>
        <v/>
      </c>
    </row>
    <row r="76" ht="33.95" customHeight="1" s="37">
      <c r="A76" s="551" t="n"/>
      <c r="B76" s="124">
        <f>B75+1</f>
        <v/>
      </c>
      <c r="C76" s="123" t="inlineStr">
        <is>
          <t>M</t>
        </is>
      </c>
      <c r="D76" s="471" t="n"/>
      <c r="N76" s="261" t="n"/>
      <c r="O76" s="122">
        <f>'0分'!D73</f>
        <v/>
      </c>
    </row>
    <row r="77" ht="33.95" customHeight="1" s="37">
      <c r="A77" s="551" t="n"/>
      <c r="B77" s="124">
        <f>B76+1</f>
        <v/>
      </c>
      <c r="C77" s="123" t="inlineStr">
        <is>
          <t>T</t>
        </is>
      </c>
      <c r="D77" s="471" t="n"/>
      <c r="N77" s="261" t="n"/>
      <c r="O77" s="122">
        <f>'0分'!D74</f>
        <v/>
      </c>
      <c r="Z77" s="464" t="n"/>
      <c r="AA77" s="464" t="n"/>
      <c r="AB77" s="464" t="n"/>
    </row>
    <row r="78" ht="33.95" customHeight="1" s="37">
      <c r="A78" s="552" t="n"/>
      <c r="B78" s="124">
        <f>B77+1</f>
        <v/>
      </c>
      <c r="C78" s="123" t="inlineStr">
        <is>
          <t>W</t>
        </is>
      </c>
      <c r="D78" s="471" t="n"/>
      <c r="N78" s="261" t="n"/>
      <c r="O78" s="122">
        <f>'0分'!D75</f>
        <v/>
      </c>
    </row>
    <row r="79" ht="33.95" customHeight="1" s="37">
      <c r="A79" s="462">
        <f>A72+0.1</f>
        <v/>
      </c>
      <c r="B79" s="124">
        <f>B78+1</f>
        <v/>
      </c>
      <c r="C79" s="123" t="inlineStr">
        <is>
          <t>Th</t>
        </is>
      </c>
      <c r="D79" s="471" t="n"/>
      <c r="N79" s="261" t="n"/>
      <c r="O79" s="122">
        <f>'0分'!D76</f>
        <v/>
      </c>
      <c r="X79" s="465" t="n"/>
    </row>
    <row r="80" ht="33.95" customHeight="1" s="37">
      <c r="A80" s="551" t="n"/>
      <c r="B80" s="124">
        <f>B79+1</f>
        <v/>
      </c>
      <c r="C80" s="123" t="inlineStr">
        <is>
          <t>F</t>
        </is>
      </c>
      <c r="D80" s="471" t="n"/>
      <c r="N80" s="261" t="n"/>
      <c r="O80" s="122">
        <f>'0分'!D77</f>
        <v/>
      </c>
    </row>
    <row r="81" ht="33.95" customHeight="1" s="37">
      <c r="A81" s="551" t="n"/>
      <c r="B81" s="124">
        <f>B80+1</f>
        <v/>
      </c>
      <c r="C81" s="123" t="inlineStr">
        <is>
          <t>S</t>
        </is>
      </c>
      <c r="D81" s="471" t="n"/>
      <c r="N81" s="261" t="n"/>
      <c r="O81" s="122">
        <f>'0分'!D78</f>
        <v/>
      </c>
    </row>
    <row r="82" ht="33.95" customHeight="1" s="37">
      <c r="A82" s="551" t="n"/>
      <c r="B82" s="124">
        <f>B81+1</f>
        <v/>
      </c>
      <c r="C82" s="123" t="inlineStr">
        <is>
          <t>S</t>
        </is>
      </c>
      <c r="D82" s="471" t="n"/>
      <c r="N82" s="261" t="n"/>
      <c r="O82" s="122">
        <f>'0分'!D79</f>
        <v/>
      </c>
    </row>
    <row r="83" ht="33.95" customHeight="1" s="37">
      <c r="A83" s="551" t="n"/>
      <c r="B83" s="124">
        <f>B82+1</f>
        <v/>
      </c>
      <c r="C83" s="123" t="inlineStr">
        <is>
          <t>M</t>
        </is>
      </c>
      <c r="D83" s="471" t="n"/>
      <c r="J83" s="38" t="n"/>
      <c r="K83" s="127" t="n"/>
      <c r="L83" s="38" t="n"/>
      <c r="M83" s="38" t="n"/>
      <c r="N83" s="261" t="n"/>
      <c r="O83" s="122">
        <f>'0分'!D80</f>
        <v/>
      </c>
    </row>
    <row r="84" ht="33.95" customHeight="1" s="37">
      <c r="A84" s="551" t="n"/>
      <c r="B84" s="124">
        <f>B83+1</f>
        <v/>
      </c>
      <c r="C84" s="123" t="inlineStr">
        <is>
          <t>T</t>
        </is>
      </c>
      <c r="D84" s="471" t="n"/>
      <c r="N84" s="261" t="n"/>
      <c r="O84" s="122">
        <f>'0分'!D81</f>
        <v/>
      </c>
      <c r="Z84" s="464" t="n"/>
      <c r="AA84" s="464" t="n"/>
      <c r="AB84" s="464" t="n"/>
    </row>
    <row r="85" ht="33.95" customHeight="1" s="37">
      <c r="A85" s="552" t="n"/>
      <c r="B85" s="124">
        <f>B84+1</f>
        <v/>
      </c>
      <c r="C85" s="123" t="inlineStr">
        <is>
          <t>W</t>
        </is>
      </c>
      <c r="D85" s="471" t="n"/>
      <c r="N85" s="261" t="n"/>
      <c r="O85" s="122">
        <f>'0分'!D82</f>
        <v/>
      </c>
    </row>
    <row r="86" ht="33.95" customHeight="1" s="37">
      <c r="A86" s="462">
        <f>A79+0.1</f>
        <v/>
      </c>
      <c r="B86" s="124">
        <f>B85+1</f>
        <v/>
      </c>
      <c r="C86" s="123" t="inlineStr">
        <is>
          <t>Th</t>
        </is>
      </c>
      <c r="D86" s="471" t="n"/>
      <c r="N86" s="261" t="n"/>
      <c r="O86" s="122">
        <f>'0分'!D83</f>
        <v/>
      </c>
      <c r="X86" s="465" t="n"/>
    </row>
    <row r="87" ht="33.95" customHeight="1" s="37">
      <c r="A87" s="551" t="n"/>
      <c r="B87" s="124">
        <f>B86+1</f>
        <v/>
      </c>
      <c r="C87" s="123" t="inlineStr">
        <is>
          <t>F</t>
        </is>
      </c>
      <c r="D87" s="471" t="n"/>
      <c r="N87" s="261" t="n"/>
      <c r="O87" s="122">
        <f>'0分'!D84</f>
        <v/>
      </c>
    </row>
    <row r="88" ht="33.95" customHeight="1" s="37">
      <c r="A88" s="551" t="n"/>
      <c r="B88" s="124">
        <f>B87+1</f>
        <v/>
      </c>
      <c r="C88" s="123" t="inlineStr">
        <is>
          <t>S</t>
        </is>
      </c>
      <c r="D88" s="471" t="n"/>
      <c r="N88" s="261" t="n"/>
      <c r="O88" s="122">
        <f>'0分'!D85</f>
        <v/>
      </c>
    </row>
    <row r="89" ht="33.95" customHeight="1" s="37">
      <c r="A89" s="551" t="n"/>
      <c r="B89" s="124">
        <f>B88+1</f>
        <v/>
      </c>
      <c r="C89" s="123" t="inlineStr">
        <is>
          <t>S</t>
        </is>
      </c>
      <c r="D89" s="471" t="n"/>
      <c r="N89" s="261" t="n"/>
      <c r="O89" s="122">
        <f>'0分'!D86</f>
        <v/>
      </c>
    </row>
    <row r="90" ht="33.95" customHeight="1" s="37">
      <c r="A90" s="551" t="n"/>
      <c r="B90" s="124">
        <f>B89+1</f>
        <v/>
      </c>
      <c r="C90" s="123" t="inlineStr">
        <is>
          <t>M</t>
        </is>
      </c>
      <c r="D90" s="471" t="n"/>
      <c r="N90" s="261" t="n"/>
      <c r="O90" s="122">
        <f>'0分'!D87</f>
        <v/>
      </c>
    </row>
    <row r="91" ht="33.95" customHeight="1" s="37">
      <c r="A91" s="551" t="n"/>
      <c r="B91" s="124">
        <f>B90+1</f>
        <v/>
      </c>
      <c r="C91" s="123" t="inlineStr">
        <is>
          <t>T</t>
        </is>
      </c>
      <c r="D91" s="471" t="n"/>
      <c r="N91" s="261" t="n"/>
      <c r="O91" s="122">
        <f>'0分'!D88</f>
        <v/>
      </c>
      <c r="Z91" s="464" t="n"/>
      <c r="AA91" s="464" t="n"/>
      <c r="AB91" s="464" t="n"/>
      <c r="AD91" s="466" t="n"/>
    </row>
    <row r="92" ht="33.95" customHeight="1" s="37">
      <c r="A92" s="552" t="n"/>
      <c r="B92" s="124">
        <f>B91+1</f>
        <v/>
      </c>
      <c r="C92" s="123" t="inlineStr">
        <is>
          <t>W</t>
        </is>
      </c>
      <c r="D92" s="471" t="n"/>
      <c r="N92" s="261" t="n"/>
      <c r="O92" s="122">
        <f>'0分'!D89</f>
        <v/>
      </c>
      <c r="AD92" s="303" t="n"/>
      <c r="AE92" s="303" t="n"/>
      <c r="AF92" s="325" t="n"/>
      <c r="AG92" s="303" t="n"/>
      <c r="AH92" s="303" t="n"/>
      <c r="AI92" s="303" t="n"/>
    </row>
    <row r="93" ht="33.95" customHeight="1" s="37">
      <c r="A93" s="462">
        <f>A58+1</f>
        <v/>
      </c>
      <c r="B93" s="124">
        <f>B92+1</f>
        <v/>
      </c>
      <c r="C93" s="123" t="inlineStr">
        <is>
          <t>Th</t>
        </is>
      </c>
      <c r="D93" s="471" t="n"/>
      <c r="N93" s="261" t="n"/>
      <c r="O93" s="122">
        <f>'0分'!D90</f>
        <v/>
      </c>
      <c r="X93" s="465" t="n"/>
      <c r="AD93" s="470" t="n"/>
    </row>
    <row r="94" ht="33.95" customHeight="1" s="37">
      <c r="A94" s="551" t="n"/>
      <c r="B94" s="124">
        <f>B93+1</f>
        <v/>
      </c>
      <c r="C94" s="123" t="inlineStr">
        <is>
          <t>F</t>
        </is>
      </c>
      <c r="D94" s="471" t="n"/>
      <c r="N94" s="261" t="n"/>
      <c r="O94" s="122">
        <f>'0分'!D91</f>
        <v/>
      </c>
    </row>
    <row r="95" ht="33.95" customHeight="1" s="37">
      <c r="A95" s="551" t="n"/>
      <c r="B95" s="124">
        <f>B94+1</f>
        <v/>
      </c>
      <c r="C95" s="123" t="inlineStr">
        <is>
          <t>S</t>
        </is>
      </c>
      <c r="D95" s="471" t="n"/>
      <c r="N95" s="261" t="n"/>
      <c r="O95" s="122">
        <f>'0分'!D92</f>
        <v/>
      </c>
    </row>
    <row r="96" ht="33.95" customHeight="1" s="37">
      <c r="A96" s="551" t="n"/>
      <c r="B96" s="124">
        <f>B95+1</f>
        <v/>
      </c>
      <c r="C96" s="123" t="inlineStr">
        <is>
          <t>S</t>
        </is>
      </c>
      <c r="D96" s="471" t="n"/>
      <c r="N96" s="261" t="n"/>
      <c r="O96" s="122">
        <f>'0分'!D93</f>
        <v/>
      </c>
    </row>
    <row r="97" ht="33.95" customHeight="1" s="37">
      <c r="A97" s="551" t="n"/>
      <c r="B97" s="124">
        <f>B96+1</f>
        <v/>
      </c>
      <c r="C97" s="123" t="inlineStr">
        <is>
          <t>M</t>
        </is>
      </c>
      <c r="D97" s="471" t="n"/>
      <c r="N97" s="261" t="n"/>
      <c r="O97" s="122">
        <f>'0分'!D94</f>
        <v/>
      </c>
    </row>
    <row r="98" ht="33.95" customHeight="1" s="37">
      <c r="A98" s="551" t="n"/>
      <c r="B98" s="124">
        <f>B97+1</f>
        <v/>
      </c>
      <c r="C98" s="123" t="inlineStr">
        <is>
          <t>T</t>
        </is>
      </c>
      <c r="D98" s="471" t="n"/>
      <c r="N98" s="261" t="n"/>
      <c r="O98" s="122">
        <f>'0分'!D95</f>
        <v/>
      </c>
      <c r="Z98" s="464" t="n"/>
      <c r="AA98" s="464" t="n"/>
      <c r="AB98" s="464" t="n"/>
    </row>
    <row r="99" ht="33.95" customHeight="1" s="37">
      <c r="A99" s="552" t="n"/>
      <c r="B99" s="124">
        <f>B98+1</f>
        <v/>
      </c>
      <c r="C99" s="123" t="inlineStr">
        <is>
          <t>W</t>
        </is>
      </c>
      <c r="D99" s="471" t="n"/>
      <c r="N99" s="261" t="n"/>
      <c r="O99" s="122">
        <f>'0分'!D96</f>
        <v/>
      </c>
    </row>
    <row r="100" ht="33.95" customHeight="1" s="37">
      <c r="A100" s="462">
        <f>A93+0.1</f>
        <v/>
      </c>
      <c r="B100" s="124">
        <f>B99+1</f>
        <v/>
      </c>
      <c r="C100" s="123" t="inlineStr">
        <is>
          <t>Th</t>
        </is>
      </c>
      <c r="D100" s="471" t="n"/>
      <c r="K100" s="184" t="n"/>
      <c r="N100" s="261" t="n"/>
      <c r="O100" s="122">
        <f>'0分'!D97</f>
        <v/>
      </c>
      <c r="X100" s="465" t="n"/>
    </row>
    <row r="101" ht="33.95" customHeight="1" s="37">
      <c r="A101" s="551" t="n"/>
      <c r="B101" s="124">
        <f>B100+1</f>
        <v/>
      </c>
      <c r="C101" s="123" t="inlineStr">
        <is>
          <t>F</t>
        </is>
      </c>
      <c r="D101" s="471" t="n"/>
      <c r="N101" s="261" t="n"/>
      <c r="O101" s="122">
        <f>'0分'!D98</f>
        <v/>
      </c>
    </row>
    <row r="102" ht="33.95" customHeight="1" s="37">
      <c r="A102" s="551" t="n"/>
      <c r="B102" s="124">
        <f>B101+1</f>
        <v/>
      </c>
      <c r="C102" s="123" t="inlineStr">
        <is>
          <t>S</t>
        </is>
      </c>
      <c r="D102" s="471" t="n"/>
      <c r="N102" s="261" t="n"/>
      <c r="O102" s="122">
        <f>'0分'!D99</f>
        <v/>
      </c>
    </row>
    <row r="103" ht="33.95" customHeight="1" s="37">
      <c r="A103" s="551" t="n"/>
      <c r="B103" s="124">
        <f>B102+1</f>
        <v/>
      </c>
      <c r="C103" s="123" t="inlineStr">
        <is>
          <t>S</t>
        </is>
      </c>
      <c r="D103" s="471" t="n"/>
      <c r="N103" s="261" t="n"/>
      <c r="O103" s="122">
        <f>'0分'!D100</f>
        <v/>
      </c>
    </row>
    <row r="104" ht="33.95" customHeight="1" s="37">
      <c r="A104" s="551" t="n"/>
      <c r="B104" s="124">
        <f>B103+1</f>
        <v/>
      </c>
      <c r="C104" s="123" t="inlineStr">
        <is>
          <t>M</t>
        </is>
      </c>
      <c r="D104" s="471" t="n"/>
      <c r="G104" s="471" t="n"/>
      <c r="H104" s="471" t="n"/>
      <c r="I104" s="471" t="n"/>
      <c r="J104" s="24" t="n"/>
      <c r="K104" s="25" t="n"/>
      <c r="L104" s="517" t="n"/>
      <c r="N104" s="262" t="n"/>
      <c r="O104" s="122">
        <f>'0分'!D101</f>
        <v/>
      </c>
    </row>
    <row r="105" ht="33.95" customHeight="1" s="37">
      <c r="A105" s="551" t="n"/>
      <c r="B105" s="124">
        <f>B104+1</f>
        <v/>
      </c>
      <c r="C105" s="123" t="inlineStr">
        <is>
          <t>T</t>
        </is>
      </c>
      <c r="D105" s="471" t="n"/>
      <c r="N105" s="261" t="n"/>
      <c r="O105" s="122">
        <f>'0分'!D102</f>
        <v/>
      </c>
      <c r="Z105" s="464" t="n"/>
      <c r="AA105" s="464" t="n"/>
      <c r="AB105" s="464" t="n"/>
    </row>
    <row r="106" ht="33.95" customHeight="1" s="37">
      <c r="A106" s="552" t="n"/>
      <c r="B106" s="124">
        <f>B105+1</f>
        <v/>
      </c>
      <c r="C106" s="123" t="inlineStr">
        <is>
          <t>W</t>
        </is>
      </c>
      <c r="D106" s="471" t="n"/>
      <c r="K106" s="323" t="n"/>
      <c r="N106" s="261" t="n"/>
      <c r="O106" s="122">
        <f>'0分'!D103</f>
        <v/>
      </c>
    </row>
    <row r="107" ht="33.95" customHeight="1" s="37">
      <c r="A107" s="462">
        <f>A100+0.1</f>
        <v/>
      </c>
      <c r="B107" s="124">
        <f>B106+1</f>
        <v/>
      </c>
      <c r="C107" s="123" t="inlineStr">
        <is>
          <t>Th</t>
        </is>
      </c>
      <c r="D107" s="471" t="n"/>
      <c r="K107" s="323" t="n"/>
      <c r="N107" s="261" t="n"/>
      <c r="O107" s="122">
        <f>'0分'!D104</f>
        <v/>
      </c>
      <c r="X107" s="465" t="n"/>
    </row>
    <row r="108" ht="33.95" customHeight="1" s="37">
      <c r="A108" s="551" t="n"/>
      <c r="B108" s="124">
        <f>B107+1</f>
        <v/>
      </c>
      <c r="C108" s="123" t="inlineStr">
        <is>
          <t>F</t>
        </is>
      </c>
      <c r="D108" s="471" t="n"/>
      <c r="G108" s="471" t="n"/>
      <c r="H108" s="471" t="n"/>
      <c r="I108" s="471" t="n"/>
      <c r="J108" s="24" t="n"/>
      <c r="K108" s="34" t="n"/>
      <c r="L108" s="517" t="n"/>
      <c r="N108" s="262" t="n"/>
      <c r="O108" s="122">
        <f>'0分'!D105</f>
        <v/>
      </c>
    </row>
    <row r="109" ht="33.95" customHeight="1" s="37">
      <c r="A109" s="551" t="n"/>
      <c r="B109" s="124">
        <f>B108+1</f>
        <v/>
      </c>
      <c r="C109" s="123" t="inlineStr">
        <is>
          <t>S</t>
        </is>
      </c>
      <c r="D109" s="471" t="n"/>
      <c r="K109" s="323" t="n"/>
      <c r="N109" s="261" t="n"/>
      <c r="O109" s="122">
        <f>'0分'!D106</f>
        <v/>
      </c>
    </row>
    <row r="110" ht="33.95" customHeight="1" s="37">
      <c r="A110" s="551" t="n"/>
      <c r="B110" s="124">
        <f>B109+1</f>
        <v/>
      </c>
      <c r="C110" s="123" t="inlineStr">
        <is>
          <t>S</t>
        </is>
      </c>
      <c r="D110" s="471" t="n"/>
      <c r="K110" s="323" t="n"/>
      <c r="N110" s="261" t="n"/>
      <c r="O110" s="122">
        <f>'0分'!D107</f>
        <v/>
      </c>
    </row>
    <row r="111" ht="33.95" customHeight="1" s="37">
      <c r="A111" s="551" t="n"/>
      <c r="B111" s="124">
        <f>B110+1</f>
        <v/>
      </c>
      <c r="C111" s="123" t="inlineStr">
        <is>
          <t>M</t>
        </is>
      </c>
      <c r="D111" s="471" t="n"/>
      <c r="N111" s="261" t="n"/>
      <c r="O111" s="122">
        <f>'0分'!D108</f>
        <v/>
      </c>
    </row>
    <row r="112" ht="33.95" customHeight="1" s="37">
      <c r="A112" s="551" t="n"/>
      <c r="B112" s="124">
        <f>B111+1</f>
        <v/>
      </c>
      <c r="C112" s="123" t="inlineStr">
        <is>
          <t>T</t>
        </is>
      </c>
      <c r="D112" s="471" t="n"/>
      <c r="N112" s="261" t="n"/>
      <c r="O112" s="122">
        <f>'0分'!D109</f>
        <v/>
      </c>
      <c r="Z112" s="464" t="n"/>
      <c r="AA112" s="464" t="n"/>
      <c r="AB112" s="464" t="n"/>
    </row>
    <row r="113" ht="33.95" customHeight="1" s="37">
      <c r="A113" s="552" t="n"/>
      <c r="B113" s="124">
        <f>B112+1</f>
        <v/>
      </c>
      <c r="C113" s="123" t="inlineStr">
        <is>
          <t>W</t>
        </is>
      </c>
      <c r="D113" s="471" t="n"/>
      <c r="N113" s="261" t="n"/>
      <c r="O113" s="122">
        <f>'0分'!D110</f>
        <v/>
      </c>
    </row>
    <row r="114" ht="33.95" customHeight="1" s="37">
      <c r="A114" s="462">
        <f>A107+0.1</f>
        <v/>
      </c>
      <c r="B114" s="124">
        <f>B113+1</f>
        <v/>
      </c>
      <c r="C114" s="123" t="inlineStr">
        <is>
          <t>Th</t>
        </is>
      </c>
      <c r="D114" s="471" t="n"/>
      <c r="N114" s="261" t="n"/>
      <c r="O114" s="122">
        <f>'0分'!D111</f>
        <v/>
      </c>
      <c r="X114" s="465" t="n"/>
    </row>
    <row r="115" ht="33.95" customHeight="1" s="37">
      <c r="A115" s="551" t="n"/>
      <c r="B115" s="124">
        <f>B114+1</f>
        <v/>
      </c>
      <c r="C115" s="123" t="inlineStr">
        <is>
          <t>F</t>
        </is>
      </c>
      <c r="D115" s="471" t="n"/>
      <c r="N115" s="261" t="n"/>
      <c r="O115" s="122">
        <f>'0分'!D112</f>
        <v/>
      </c>
    </row>
    <row r="116" ht="33.95" customHeight="1" s="37">
      <c r="A116" s="551" t="n"/>
      <c r="B116" s="124">
        <f>B115+1</f>
        <v/>
      </c>
      <c r="C116" s="123" t="inlineStr">
        <is>
          <t>S</t>
        </is>
      </c>
      <c r="D116" s="471" t="n"/>
      <c r="N116" s="261" t="n"/>
      <c r="O116" s="122">
        <f>'0分'!D113</f>
        <v/>
      </c>
    </row>
    <row r="117" ht="33.95" customHeight="1" s="37">
      <c r="A117" s="551" t="n"/>
      <c r="B117" s="124">
        <f>B116+1</f>
        <v/>
      </c>
      <c r="C117" s="123" t="inlineStr">
        <is>
          <t>S</t>
        </is>
      </c>
      <c r="D117" s="471" t="n"/>
      <c r="N117" s="261" t="n"/>
      <c r="O117" s="122">
        <f>'0分'!D114</f>
        <v/>
      </c>
    </row>
    <row r="118" ht="33.95" customHeight="1" s="37">
      <c r="A118" s="551" t="n"/>
      <c r="B118" s="124">
        <f>B117+1</f>
        <v/>
      </c>
      <c r="C118" s="123" t="inlineStr">
        <is>
          <t>M</t>
        </is>
      </c>
      <c r="D118" s="471" t="n"/>
      <c r="N118" s="261" t="n"/>
      <c r="O118" s="122">
        <f>'0分'!D115</f>
        <v/>
      </c>
    </row>
    <row r="119" ht="33.95" customHeight="1" s="37">
      <c r="A119" s="551" t="n"/>
      <c r="B119" s="124">
        <f>B118+1</f>
        <v/>
      </c>
      <c r="C119" s="123" t="inlineStr">
        <is>
          <t>T</t>
        </is>
      </c>
      <c r="D119" s="471" t="n"/>
      <c r="N119" s="261" t="n"/>
      <c r="O119" s="122">
        <f>'0分'!D116</f>
        <v/>
      </c>
      <c r="Z119" s="464" t="n"/>
      <c r="AA119" s="464" t="n"/>
      <c r="AB119" s="464" t="n"/>
    </row>
    <row r="120" ht="33.95" customHeight="1" s="37">
      <c r="A120" s="552" t="n"/>
      <c r="B120" s="124">
        <f>B119+1</f>
        <v/>
      </c>
      <c r="C120" s="123" t="inlineStr">
        <is>
          <t>W</t>
        </is>
      </c>
      <c r="D120" s="471" t="n"/>
      <c r="N120" s="261" t="n"/>
      <c r="O120" s="122">
        <f>'0分'!D117</f>
        <v/>
      </c>
    </row>
    <row r="121" ht="33.95" customHeight="1" s="37">
      <c r="A121" s="462">
        <f>A93+1</f>
        <v/>
      </c>
      <c r="B121" s="124">
        <f>B120+1</f>
        <v/>
      </c>
      <c r="C121" s="123" t="inlineStr">
        <is>
          <t>Th</t>
        </is>
      </c>
      <c r="D121" s="471" t="n"/>
      <c r="N121" s="261" t="n"/>
      <c r="O121" s="122">
        <f>'0分'!D118</f>
        <v/>
      </c>
      <c r="X121" s="465" t="n"/>
    </row>
    <row r="122" ht="33.95" customHeight="1" s="37">
      <c r="A122" s="551" t="n"/>
      <c r="B122" s="124">
        <f>B121+1</f>
        <v/>
      </c>
      <c r="C122" s="123" t="inlineStr">
        <is>
          <t>F</t>
        </is>
      </c>
      <c r="D122" s="471" t="n"/>
      <c r="N122" s="261" t="n"/>
      <c r="O122" s="122">
        <f>'0分'!D119</f>
        <v/>
      </c>
    </row>
    <row r="123" ht="33.95" customHeight="1" s="37">
      <c r="A123" s="551" t="n"/>
      <c r="B123" s="124">
        <f>B122+1</f>
        <v/>
      </c>
      <c r="C123" s="123" t="inlineStr">
        <is>
          <t>S</t>
        </is>
      </c>
      <c r="D123" s="471" t="n"/>
      <c r="N123" s="261" t="n"/>
      <c r="O123" s="122">
        <f>'0分'!D120</f>
        <v/>
      </c>
    </row>
    <row r="124" ht="33.95" customHeight="1" s="37">
      <c r="A124" s="551" t="n"/>
      <c r="B124" s="124">
        <f>B123+1</f>
        <v/>
      </c>
      <c r="C124" s="123" t="inlineStr">
        <is>
          <t>S</t>
        </is>
      </c>
      <c r="D124" s="471" t="n"/>
      <c r="G124" s="57" t="n"/>
      <c r="N124" s="261" t="n"/>
      <c r="O124" s="122">
        <f>'0分'!D121</f>
        <v/>
      </c>
    </row>
    <row r="125" ht="33.95" customHeight="1" s="37">
      <c r="A125" s="551" t="n"/>
      <c r="B125" s="124">
        <f>B124+1</f>
        <v/>
      </c>
      <c r="C125" s="123" t="inlineStr">
        <is>
          <t>M</t>
        </is>
      </c>
      <c r="D125" s="471" t="n"/>
      <c r="N125" s="263" t="n"/>
      <c r="O125" s="122">
        <f>'0分'!D122</f>
        <v/>
      </c>
    </row>
    <row r="126" ht="33.95" customHeight="1" s="37">
      <c r="A126" s="551" t="n"/>
      <c r="B126" s="124">
        <f>B125+1</f>
        <v/>
      </c>
      <c r="C126" s="123" t="inlineStr">
        <is>
          <t>T</t>
        </is>
      </c>
      <c r="D126" s="471" t="n"/>
      <c r="N126" s="261" t="n"/>
      <c r="O126" s="122">
        <f>'0分'!D123</f>
        <v/>
      </c>
      <c r="Z126" s="464" t="n"/>
      <c r="AA126" s="464" t="n"/>
      <c r="AB126" s="464" t="n"/>
      <c r="AD126" s="466" t="n"/>
    </row>
    <row r="127" ht="33.95" customHeight="1" s="37">
      <c r="A127" s="552" t="n"/>
      <c r="B127" s="124">
        <f>B126+1</f>
        <v/>
      </c>
      <c r="C127" s="123" t="inlineStr">
        <is>
          <t>W</t>
        </is>
      </c>
      <c r="D127" s="471" t="n"/>
      <c r="N127" s="261" t="n"/>
      <c r="O127" s="122">
        <f>'0分'!D124</f>
        <v/>
      </c>
      <c r="AD127" s="303" t="n"/>
      <c r="AE127" s="303" t="n"/>
      <c r="AF127" s="325" t="n"/>
      <c r="AG127" s="303" t="n"/>
      <c r="AH127" s="303" t="n"/>
      <c r="AI127" s="303" t="n"/>
    </row>
    <row r="128" ht="33.95" customHeight="1" s="37">
      <c r="A128" s="462">
        <f>A121+0.1</f>
        <v/>
      </c>
      <c r="B128" s="124">
        <f>B127+1</f>
        <v/>
      </c>
      <c r="C128" s="123" t="inlineStr">
        <is>
          <t>Th</t>
        </is>
      </c>
      <c r="D128" s="471" t="n"/>
      <c r="N128" s="261" t="n"/>
      <c r="O128" s="122">
        <f>'0分'!D125</f>
        <v/>
      </c>
      <c r="X128" s="465" t="n"/>
      <c r="AD128" s="470" t="n"/>
    </row>
    <row r="129" ht="33.95" customHeight="1" s="37">
      <c r="A129" s="551" t="n"/>
      <c r="B129" s="124">
        <f>B128+1</f>
        <v/>
      </c>
      <c r="C129" s="123" t="inlineStr">
        <is>
          <t>F</t>
        </is>
      </c>
      <c r="D129" s="471" t="n"/>
      <c r="N129" s="261" t="n"/>
      <c r="O129" s="122">
        <f>'0分'!D126</f>
        <v/>
      </c>
    </row>
    <row r="130" ht="33.95" customHeight="1" s="37">
      <c r="A130" s="551" t="n"/>
      <c r="B130" s="124">
        <f>B129+1</f>
        <v/>
      </c>
      <c r="C130" s="123" t="inlineStr">
        <is>
          <t>S</t>
        </is>
      </c>
      <c r="D130" s="471" t="n"/>
      <c r="N130" s="261" t="n"/>
      <c r="O130" s="122">
        <f>'0分'!D127</f>
        <v/>
      </c>
    </row>
    <row r="131" ht="33.95" customHeight="1" s="37">
      <c r="A131" s="551" t="n"/>
      <c r="B131" s="124">
        <f>B130+1</f>
        <v/>
      </c>
      <c r="C131" s="123" t="inlineStr">
        <is>
          <t>S</t>
        </is>
      </c>
      <c r="D131" s="324" t="n"/>
      <c r="N131" s="261" t="n"/>
      <c r="O131" s="122">
        <f>'0分'!D128</f>
        <v/>
      </c>
    </row>
    <row r="132" ht="33.95" customHeight="1" s="37">
      <c r="A132" s="551" t="n"/>
      <c r="B132" s="124">
        <f>B131+1</f>
        <v/>
      </c>
      <c r="C132" s="123" t="inlineStr">
        <is>
          <t>M</t>
        </is>
      </c>
      <c r="D132" s="471" t="n"/>
      <c r="N132" s="261" t="n"/>
      <c r="O132" s="122">
        <f>'0分'!D129</f>
        <v/>
      </c>
    </row>
    <row r="133" ht="33.95" customHeight="1" s="37">
      <c r="A133" s="551" t="n"/>
      <c r="B133" s="124">
        <f>B132+1</f>
        <v/>
      </c>
      <c r="C133" s="123" t="inlineStr">
        <is>
          <t>T</t>
        </is>
      </c>
      <c r="D133" s="471" t="n"/>
      <c r="N133" s="261" t="n"/>
      <c r="O133" s="122">
        <f>'0分'!D130</f>
        <v/>
      </c>
      <c r="Z133" s="464" t="n"/>
      <c r="AA133" s="464" t="n"/>
      <c r="AB133" s="464" t="n"/>
    </row>
    <row r="134" ht="33.95" customHeight="1" s="37">
      <c r="A134" s="552" t="n"/>
      <c r="B134" s="124">
        <f>B133+1</f>
        <v/>
      </c>
      <c r="C134" s="123" t="inlineStr">
        <is>
          <t>W</t>
        </is>
      </c>
      <c r="D134" s="471" t="n"/>
      <c r="N134" s="261" t="n"/>
      <c r="O134" s="122">
        <f>'0分'!D131</f>
        <v/>
      </c>
    </row>
    <row r="135" ht="33.95" customHeight="1" s="37">
      <c r="A135" s="462">
        <f>A128+0.1</f>
        <v/>
      </c>
      <c r="B135" s="124">
        <f>B134+1</f>
        <v/>
      </c>
      <c r="C135" s="123" t="inlineStr">
        <is>
          <t>Th</t>
        </is>
      </c>
      <c r="D135" s="471" t="n"/>
      <c r="N135" s="261" t="n"/>
      <c r="O135" s="122">
        <f>'0分'!D132</f>
        <v/>
      </c>
      <c r="X135" s="465" t="n"/>
    </row>
    <row r="136" ht="33.95" customHeight="1" s="37">
      <c r="A136" s="551" t="n"/>
      <c r="B136" s="124">
        <f>B135+1</f>
        <v/>
      </c>
      <c r="C136" s="123" t="inlineStr">
        <is>
          <t>F</t>
        </is>
      </c>
      <c r="D136" s="471" t="n"/>
      <c r="J136" s="127" t="n"/>
      <c r="K136" s="127" t="n"/>
      <c r="L136" s="38" t="n"/>
      <c r="M136" s="38" t="n"/>
      <c r="N136" s="261" t="n"/>
      <c r="O136" s="122">
        <f>'0分'!D133</f>
        <v/>
      </c>
    </row>
    <row r="137" ht="33.95" customHeight="1" s="37">
      <c r="A137" s="551" t="n"/>
      <c r="B137" s="124">
        <f>B136+1</f>
        <v/>
      </c>
      <c r="C137" s="126" t="inlineStr">
        <is>
          <t>S</t>
        </is>
      </c>
      <c r="D137" s="471" t="n"/>
      <c r="N137" s="261" t="n"/>
      <c r="O137" s="122">
        <f>'0分'!D134</f>
        <v/>
      </c>
      <c r="AD137" s="466" t="n"/>
    </row>
    <row r="138" ht="33.95" customHeight="1" s="37">
      <c r="A138" s="551" t="n"/>
      <c r="B138" s="124">
        <f>B137+1</f>
        <v/>
      </c>
      <c r="C138" s="126" t="inlineStr">
        <is>
          <t>S</t>
        </is>
      </c>
      <c r="D138" s="471" t="n"/>
      <c r="N138" s="261" t="n"/>
      <c r="O138" s="122">
        <f>'0分'!D135</f>
        <v/>
      </c>
      <c r="AD138" s="303" t="n"/>
      <c r="AE138" s="303" t="n"/>
      <c r="AF138" s="325" t="n"/>
      <c r="AG138" s="303" t="n"/>
      <c r="AH138" s="303" t="n"/>
      <c r="AI138" s="303" t="n"/>
    </row>
    <row r="139" ht="33.95" customHeight="1" s="37">
      <c r="A139" s="551" t="n"/>
      <c r="B139" s="124">
        <f>B138+1</f>
        <v/>
      </c>
      <c r="C139" s="126" t="inlineStr">
        <is>
          <t>M</t>
        </is>
      </c>
      <c r="D139" s="471" t="n"/>
      <c r="N139" s="261" t="n"/>
      <c r="O139" s="122">
        <f>'0分'!D136</f>
        <v/>
      </c>
      <c r="AD139" s="468" t="n"/>
    </row>
    <row r="140" ht="33.95" customHeight="1" s="37">
      <c r="A140" s="551" t="n"/>
      <c r="B140" s="124">
        <f>B139+1</f>
        <v/>
      </c>
      <c r="C140" s="126" t="inlineStr">
        <is>
          <t>T</t>
        </is>
      </c>
      <c r="D140" s="471" t="n"/>
      <c r="J140" s="127" t="n"/>
      <c r="K140" s="127" t="n"/>
      <c r="M140" s="38" t="n"/>
      <c r="N140" s="261" t="n"/>
      <c r="O140" s="122">
        <f>'0分'!D137</f>
        <v/>
      </c>
      <c r="Z140" s="464" t="n"/>
      <c r="AA140" s="464" t="n"/>
      <c r="AB140" s="464" t="n"/>
    </row>
    <row r="141" ht="33.95" customHeight="1" s="37">
      <c r="A141" s="552" t="n"/>
      <c r="B141" s="124">
        <f>B140+1</f>
        <v/>
      </c>
      <c r="C141" s="126" t="inlineStr">
        <is>
          <t>W</t>
        </is>
      </c>
      <c r="D141" s="471" t="n"/>
      <c r="N141" s="261" t="n"/>
      <c r="O141" s="122">
        <f>'0分'!D138</f>
        <v/>
      </c>
    </row>
    <row r="142" ht="33.95" customHeight="1" s="37">
      <c r="A142" s="462">
        <f>A135+0.1</f>
        <v/>
      </c>
      <c r="B142" s="124">
        <f>B141+1</f>
        <v/>
      </c>
      <c r="C142" s="126" t="inlineStr">
        <is>
          <t>Th</t>
        </is>
      </c>
      <c r="D142" s="471" t="n"/>
      <c r="N142" s="261" t="n"/>
      <c r="O142" s="122">
        <f>'0分'!D139</f>
        <v/>
      </c>
      <c r="X142" s="465" t="n"/>
    </row>
    <row r="143" ht="33.95" customHeight="1" s="37">
      <c r="A143" s="551" t="n"/>
      <c r="B143" s="124">
        <f>B142+1</f>
        <v/>
      </c>
      <c r="C143" s="126" t="inlineStr">
        <is>
          <t>F</t>
        </is>
      </c>
      <c r="D143" s="471" t="n"/>
      <c r="N143" s="261" t="n"/>
      <c r="O143" s="122">
        <f>'0分'!D140</f>
        <v/>
      </c>
    </row>
    <row r="144" ht="33.95" customHeight="1" s="37">
      <c r="A144" s="551" t="n"/>
      <c r="B144" s="124">
        <f>B143+1</f>
        <v/>
      </c>
      <c r="C144" s="126" t="inlineStr">
        <is>
          <t>S</t>
        </is>
      </c>
      <c r="D144" s="471" t="n"/>
      <c r="N144" s="261" t="n"/>
      <c r="O144" s="122">
        <f>'0分'!D141</f>
        <v/>
      </c>
    </row>
    <row r="145" ht="33.95" customHeight="1" s="37">
      <c r="A145" s="551" t="n"/>
      <c r="B145" s="124">
        <f>B144+1</f>
        <v/>
      </c>
      <c r="C145" s="126" t="inlineStr">
        <is>
          <t>S</t>
        </is>
      </c>
      <c r="D145" s="471" t="n"/>
      <c r="N145" s="261" t="n"/>
      <c r="O145" s="122">
        <f>'0分'!D142</f>
        <v/>
      </c>
    </row>
    <row r="146" ht="33.95" customHeight="1" s="37">
      <c r="A146" s="551" t="n"/>
      <c r="B146" s="124">
        <f>B145+1</f>
        <v/>
      </c>
      <c r="C146" s="123" t="inlineStr">
        <is>
          <t>M</t>
        </is>
      </c>
      <c r="D146" s="471" t="n"/>
      <c r="N146" s="261" t="n"/>
      <c r="O146" s="122">
        <f>'0分'!D143</f>
        <v/>
      </c>
    </row>
    <row r="147" ht="33.95" customHeight="1" s="37">
      <c r="A147" s="551" t="n"/>
      <c r="B147" s="124">
        <f>B146+1</f>
        <v/>
      </c>
      <c r="C147" s="123" t="inlineStr">
        <is>
          <t>T</t>
        </is>
      </c>
      <c r="D147" s="471" t="n"/>
      <c r="N147" s="261" t="n"/>
      <c r="O147" s="122">
        <f>'0分'!D144</f>
        <v/>
      </c>
      <c r="Z147" s="464" t="n"/>
      <c r="AA147" s="464" t="n"/>
      <c r="AB147" s="464" t="n"/>
    </row>
    <row r="148" ht="33.95" customHeight="1" s="37">
      <c r="A148" s="552" t="n"/>
      <c r="B148" s="124">
        <f>B147+1</f>
        <v/>
      </c>
      <c r="C148" s="123" t="inlineStr">
        <is>
          <t>W</t>
        </is>
      </c>
      <c r="D148" s="471" t="n"/>
      <c r="N148" s="261" t="n"/>
      <c r="O148" s="122">
        <f>'0分'!D145</f>
        <v/>
      </c>
    </row>
    <row r="149" ht="33.95" customHeight="1" s="37">
      <c r="A149" s="462">
        <f>A121+1</f>
        <v/>
      </c>
      <c r="B149" s="124">
        <f>B148+1</f>
        <v/>
      </c>
      <c r="C149" s="123" t="inlineStr">
        <is>
          <t>Th</t>
        </is>
      </c>
      <c r="D149" s="471" t="n"/>
      <c r="N149" s="261" t="n"/>
      <c r="O149" s="122">
        <f>'0分'!D146</f>
        <v/>
      </c>
      <c r="X149" s="465" t="n"/>
      <c r="AD149" s="466" t="n"/>
    </row>
    <row r="150" ht="33.95" customHeight="1" s="37">
      <c r="A150" s="551" t="n"/>
      <c r="B150" s="124">
        <f>B149+1</f>
        <v/>
      </c>
      <c r="C150" s="123" t="inlineStr">
        <is>
          <t>F</t>
        </is>
      </c>
      <c r="D150" s="471" t="n"/>
      <c r="N150" s="261" t="n"/>
      <c r="O150" s="122">
        <f>'0分'!D147</f>
        <v/>
      </c>
      <c r="AD150" s="303" t="n"/>
      <c r="AE150" s="303" t="n"/>
      <c r="AF150" s="325" t="n"/>
      <c r="AG150" s="303" t="n"/>
      <c r="AH150" s="303" t="n"/>
      <c r="AI150" s="303" t="n"/>
    </row>
    <row r="151" ht="33.95" customHeight="1" s="37">
      <c r="A151" s="551" t="n"/>
      <c r="B151" s="124">
        <f>B150+1</f>
        <v/>
      </c>
      <c r="C151" s="123" t="inlineStr">
        <is>
          <t>S</t>
        </is>
      </c>
      <c r="D151" s="471" t="n"/>
      <c r="N151" s="261" t="n"/>
      <c r="O151" s="122">
        <f>'0分'!D148</f>
        <v/>
      </c>
      <c r="AD151" s="468" t="n"/>
    </row>
    <row r="152" ht="33.95" customHeight="1" s="37">
      <c r="A152" s="551" t="n"/>
      <c r="B152" s="124">
        <f>B151+1</f>
        <v/>
      </c>
      <c r="C152" s="123" t="inlineStr">
        <is>
          <t>S</t>
        </is>
      </c>
      <c r="D152" s="471" t="n"/>
      <c r="J152" s="127" t="n"/>
      <c r="K152" s="127" t="n"/>
      <c r="L152" s="38" t="n"/>
      <c r="M152" s="38" t="n"/>
      <c r="N152" s="261" t="n"/>
      <c r="O152" s="122">
        <f>'0分'!D149</f>
        <v/>
      </c>
    </row>
    <row r="153" ht="33.95" customHeight="1" s="37">
      <c r="A153" s="551" t="n"/>
      <c r="B153" s="124">
        <f>B152+1</f>
        <v/>
      </c>
      <c r="C153" s="123" t="inlineStr">
        <is>
          <t>M</t>
        </is>
      </c>
      <c r="D153" s="471" t="n"/>
      <c r="N153" s="261" t="n"/>
      <c r="O153" s="122">
        <f>'0分'!D150</f>
        <v/>
      </c>
    </row>
    <row r="154" ht="33.95" customHeight="1" s="37">
      <c r="A154" s="551" t="n"/>
      <c r="B154" s="124">
        <f>B153+1</f>
        <v/>
      </c>
      <c r="C154" s="123" t="inlineStr">
        <is>
          <t>T</t>
        </is>
      </c>
      <c r="D154" s="471" t="n"/>
      <c r="N154" s="261" t="n"/>
      <c r="O154" s="122">
        <f>'0分'!D151</f>
        <v/>
      </c>
      <c r="Z154" s="464" t="n"/>
      <c r="AA154" s="464" t="n"/>
      <c r="AB154" s="464" t="n"/>
    </row>
    <row r="155" ht="33.95" customHeight="1" s="37">
      <c r="A155" s="552" t="n"/>
      <c r="B155" s="124">
        <f>B154+1</f>
        <v/>
      </c>
      <c r="C155" s="123" t="inlineStr">
        <is>
          <t>W</t>
        </is>
      </c>
      <c r="D155" s="471" t="n"/>
      <c r="N155" s="261" t="n"/>
      <c r="O155" s="122">
        <f>'0分'!D152</f>
        <v/>
      </c>
    </row>
    <row r="156" ht="33.95" customHeight="1" s="37">
      <c r="A156" s="462">
        <f>A149+0.1</f>
        <v/>
      </c>
      <c r="B156" s="124">
        <f>B155+1</f>
        <v/>
      </c>
      <c r="C156" s="123" t="inlineStr">
        <is>
          <t>Th</t>
        </is>
      </c>
      <c r="D156" s="471" t="n"/>
      <c r="N156" s="261" t="n"/>
      <c r="O156" s="122">
        <f>'0分'!D153</f>
        <v/>
      </c>
      <c r="X156" s="465" t="n"/>
    </row>
    <row r="157" ht="33.95" customHeight="1" s="37">
      <c r="A157" s="551" t="n"/>
      <c r="B157" s="124">
        <f>B156+1</f>
        <v/>
      </c>
      <c r="C157" s="123" t="inlineStr">
        <is>
          <t>F</t>
        </is>
      </c>
      <c r="D157" s="471" t="n"/>
      <c r="N157" s="261" t="n"/>
      <c r="O157" s="122">
        <f>'0分'!D154</f>
        <v/>
      </c>
    </row>
    <row r="158" ht="33.95" customHeight="1" s="37">
      <c r="A158" s="551" t="n"/>
      <c r="B158" s="124">
        <f>B157+1</f>
        <v/>
      </c>
      <c r="C158" s="123" t="inlineStr">
        <is>
          <t>S</t>
        </is>
      </c>
      <c r="D158" s="471" t="n"/>
      <c r="N158" s="261" t="n"/>
      <c r="O158" s="122">
        <f>'0分'!D155</f>
        <v/>
      </c>
    </row>
    <row r="159" ht="33.95" customHeight="1" s="37">
      <c r="A159" s="551" t="n"/>
      <c r="B159" s="124">
        <f>B158+1</f>
        <v/>
      </c>
      <c r="C159" s="123" t="inlineStr">
        <is>
          <t>S</t>
        </is>
      </c>
      <c r="D159" s="471" t="n"/>
      <c r="N159" s="261" t="n"/>
      <c r="O159" s="122">
        <f>'0分'!D156</f>
        <v/>
      </c>
    </row>
    <row r="160" ht="33.95" customHeight="1" s="37">
      <c r="A160" s="551" t="n"/>
      <c r="B160" s="124">
        <f>B159+1</f>
        <v/>
      </c>
      <c r="C160" s="123" t="inlineStr">
        <is>
          <t>M</t>
        </is>
      </c>
      <c r="D160" s="471" t="n"/>
      <c r="N160" s="261" t="n"/>
      <c r="O160" s="122">
        <f>'0分'!D157</f>
        <v/>
      </c>
    </row>
    <row r="161" ht="33.95" customHeight="1" s="37">
      <c r="A161" s="551" t="n"/>
      <c r="B161" s="124">
        <f>B160+1</f>
        <v/>
      </c>
      <c r="C161" s="123" t="inlineStr">
        <is>
          <t>T</t>
        </is>
      </c>
      <c r="D161" s="471" t="n"/>
      <c r="N161" s="261" t="n"/>
      <c r="O161" s="122">
        <f>'0分'!D158</f>
        <v/>
      </c>
      <c r="Z161" s="464" t="n"/>
      <c r="AA161" s="464" t="n"/>
      <c r="AB161" s="464" t="n"/>
    </row>
    <row r="162" ht="33.95" customHeight="1" s="37">
      <c r="A162" s="552" t="n"/>
      <c r="B162" s="124">
        <f>B161+1</f>
        <v/>
      </c>
      <c r="C162" s="123" t="inlineStr">
        <is>
          <t>W</t>
        </is>
      </c>
      <c r="D162" s="471" t="n"/>
      <c r="N162" s="261" t="n"/>
      <c r="O162" s="122">
        <f>'0分'!D159</f>
        <v/>
      </c>
    </row>
    <row r="163" ht="33.95" customHeight="1" s="37">
      <c r="A163" s="462">
        <f>A156+0.1</f>
        <v/>
      </c>
      <c r="B163" s="125">
        <f>B162+1</f>
        <v/>
      </c>
      <c r="C163" s="123" t="inlineStr">
        <is>
          <t>Th</t>
        </is>
      </c>
      <c r="D163" s="471" t="n"/>
      <c r="N163" s="261" t="n"/>
      <c r="O163" s="122">
        <f>'0分'!D160</f>
        <v/>
      </c>
      <c r="X163" s="465" t="n"/>
    </row>
    <row r="164" ht="33.95" customHeight="1" s="37">
      <c r="A164" s="551" t="n"/>
      <c r="B164" s="124">
        <f>B163+1</f>
        <v/>
      </c>
      <c r="C164" s="123" t="inlineStr">
        <is>
          <t>F</t>
        </is>
      </c>
      <c r="D164" s="471" t="n"/>
      <c r="N164" s="261" t="n"/>
      <c r="O164" s="122">
        <f>'0分'!D161</f>
        <v/>
      </c>
    </row>
    <row r="165" ht="33.95" customHeight="1" s="37">
      <c r="A165" s="551" t="n"/>
      <c r="B165" s="124">
        <f>B164+1</f>
        <v/>
      </c>
      <c r="C165" s="123" t="inlineStr">
        <is>
          <t>S</t>
        </is>
      </c>
      <c r="D165" s="471" t="n"/>
      <c r="N165" s="261" t="n"/>
      <c r="O165" s="122">
        <f>'0分'!D162</f>
        <v/>
      </c>
    </row>
    <row r="166" ht="33.95" customHeight="1" s="37">
      <c r="A166" s="551" t="n"/>
      <c r="B166" s="124">
        <f>B165+1</f>
        <v/>
      </c>
      <c r="C166" s="123" t="inlineStr">
        <is>
          <t>S</t>
        </is>
      </c>
      <c r="D166" s="471" t="n"/>
      <c r="N166" s="261" t="n"/>
      <c r="O166" s="122">
        <f>'0分'!D163</f>
        <v/>
      </c>
    </row>
    <row r="167" ht="33.95" customHeight="1" s="37">
      <c r="A167" s="551" t="n"/>
      <c r="B167" s="124">
        <f>B166+1</f>
        <v/>
      </c>
      <c r="C167" s="123" t="inlineStr">
        <is>
          <t>M</t>
        </is>
      </c>
      <c r="D167" s="471" t="n"/>
      <c r="N167" s="261" t="n"/>
      <c r="O167" s="122">
        <f>'0分'!D164</f>
        <v/>
      </c>
    </row>
    <row r="168" ht="33.95" customHeight="1" s="37">
      <c r="A168" s="551" t="n"/>
      <c r="B168" s="124">
        <f>B167+1</f>
        <v/>
      </c>
      <c r="C168" s="123" t="inlineStr">
        <is>
          <t>T</t>
        </is>
      </c>
      <c r="D168" s="471" t="n"/>
      <c r="N168" s="261" t="n"/>
      <c r="O168" s="122">
        <f>'0分'!D165</f>
        <v/>
      </c>
      <c r="Z168" s="464" t="n"/>
      <c r="AA168" s="464" t="n"/>
      <c r="AB168" s="464" t="n"/>
    </row>
    <row r="169" ht="33.95" customHeight="1" s="37">
      <c r="A169" s="552" t="n"/>
      <c r="B169" s="124">
        <f>B168+1</f>
        <v/>
      </c>
      <c r="C169" s="123" t="inlineStr">
        <is>
          <t>W</t>
        </is>
      </c>
      <c r="D169" s="471" t="n"/>
      <c r="N169" s="261" t="n"/>
      <c r="O169" s="122">
        <f>'0分'!D166</f>
        <v/>
      </c>
    </row>
    <row r="170" ht="33.95" customHeight="1" s="37">
      <c r="A170" s="462">
        <f>A163+0.1</f>
        <v/>
      </c>
      <c r="B170" s="124">
        <f>B169+1</f>
        <v/>
      </c>
      <c r="C170" s="123" t="inlineStr">
        <is>
          <t>Th</t>
        </is>
      </c>
      <c r="D170" s="471" t="n"/>
      <c r="N170" s="261" t="n"/>
      <c r="O170" s="122">
        <f>'0分'!D167</f>
        <v/>
      </c>
      <c r="X170" s="465" t="n"/>
      <c r="AD170" s="466" t="n"/>
    </row>
    <row r="171" ht="33.95" customHeight="1" s="37">
      <c r="A171" s="551" t="n"/>
      <c r="B171" s="124">
        <f>B170+1</f>
        <v/>
      </c>
      <c r="C171" s="123" t="inlineStr">
        <is>
          <t>F</t>
        </is>
      </c>
      <c r="D171" s="471" t="n"/>
      <c r="E171" s="512" t="n"/>
      <c r="N171" s="261" t="n"/>
      <c r="O171" s="122">
        <f>'0分'!D168</f>
        <v/>
      </c>
      <c r="AD171" s="303" t="n"/>
      <c r="AE171" s="303" t="n"/>
      <c r="AF171" s="325" t="n"/>
      <c r="AG171" s="303" t="n"/>
      <c r="AH171" s="303" t="n"/>
      <c r="AI171" s="303" t="n"/>
    </row>
    <row r="172" ht="33.95" customHeight="1" s="37">
      <c r="A172" s="551" t="n"/>
      <c r="B172" s="124">
        <f>B171+1</f>
        <v/>
      </c>
      <c r="C172" s="123" t="inlineStr">
        <is>
          <t>S</t>
        </is>
      </c>
      <c r="D172" s="471" t="n"/>
      <c r="N172" s="261" t="n"/>
      <c r="O172" s="122">
        <f>'0分'!D169</f>
        <v/>
      </c>
      <c r="AD172" s="468" t="n"/>
    </row>
    <row r="173" ht="33.95" customHeight="1" s="37">
      <c r="A173" s="551" t="n"/>
      <c r="B173" s="124">
        <f>B172+1</f>
        <v/>
      </c>
      <c r="C173" s="123" t="inlineStr">
        <is>
          <t>S</t>
        </is>
      </c>
      <c r="D173" s="471" t="n"/>
      <c r="N173" s="261" t="n"/>
      <c r="O173" s="122">
        <f>'0分'!D170</f>
        <v/>
      </c>
    </row>
    <row r="174" ht="33.95" customHeight="1" s="37">
      <c r="A174" s="551" t="n"/>
      <c r="B174" s="124">
        <f>B173+1</f>
        <v/>
      </c>
      <c r="C174" s="123" t="inlineStr">
        <is>
          <t>M</t>
        </is>
      </c>
      <c r="D174" s="471" t="n"/>
      <c r="N174" s="261" t="n"/>
      <c r="O174" s="122">
        <f>'0分'!D171</f>
        <v/>
      </c>
    </row>
    <row r="175" ht="33.95" customHeight="1" s="37">
      <c r="A175" s="551" t="n"/>
      <c r="B175" s="124">
        <f>B174+1</f>
        <v/>
      </c>
      <c r="C175" s="123" t="inlineStr">
        <is>
          <t>T</t>
        </is>
      </c>
      <c r="D175" s="471" t="n"/>
      <c r="N175" s="261" t="n"/>
      <c r="O175" s="122">
        <f>'0分'!D172</f>
        <v/>
      </c>
      <c r="Z175" s="464" t="n"/>
      <c r="AA175" s="464" t="n"/>
      <c r="AB175" s="464" t="n"/>
    </row>
    <row r="176" ht="33.95" customHeight="1" s="37">
      <c r="A176" s="552" t="n"/>
      <c r="B176" s="124">
        <f>B175+1</f>
        <v/>
      </c>
      <c r="C176" s="123" t="inlineStr">
        <is>
          <t>W</t>
        </is>
      </c>
      <c r="D176" s="471" t="n"/>
      <c r="N176" s="261" t="n"/>
      <c r="O176" s="122">
        <f>'0分'!D173</f>
        <v/>
      </c>
    </row>
    <row r="177" ht="33.95" customHeight="1" s="37">
      <c r="A177" s="462">
        <f>A170+0.1</f>
        <v/>
      </c>
      <c r="B177" s="124">
        <f>B176+1</f>
        <v/>
      </c>
      <c r="C177" s="123" t="inlineStr">
        <is>
          <t>Th</t>
        </is>
      </c>
      <c r="D177" s="471" t="n"/>
      <c r="N177" s="261" t="n"/>
      <c r="O177" s="122">
        <f>'0分'!D174</f>
        <v/>
      </c>
      <c r="X177" s="465" t="n"/>
    </row>
    <row r="178" ht="33.95" customHeight="1" s="37">
      <c r="A178" s="551" t="n"/>
      <c r="B178" s="124">
        <f>B177+1</f>
        <v/>
      </c>
      <c r="C178" s="123" t="inlineStr">
        <is>
          <t>F</t>
        </is>
      </c>
      <c r="D178" s="471" t="n"/>
      <c r="N178" s="261" t="n"/>
      <c r="O178" s="122">
        <f>'0分'!D175</f>
        <v/>
      </c>
    </row>
    <row r="179" ht="33.95" customHeight="1" s="37">
      <c r="A179" s="551" t="n"/>
      <c r="B179" s="124">
        <f>B178+1</f>
        <v/>
      </c>
      <c r="C179" s="123" t="inlineStr">
        <is>
          <t>S</t>
        </is>
      </c>
      <c r="D179" s="471" t="n"/>
      <c r="N179" s="261" t="n"/>
      <c r="O179" s="122">
        <f>'0分'!D176</f>
        <v/>
      </c>
    </row>
    <row r="180" ht="33.95" customHeight="1" s="37">
      <c r="A180" s="551" t="n"/>
      <c r="B180" s="124">
        <f>B179+1</f>
        <v/>
      </c>
      <c r="C180" s="123" t="inlineStr">
        <is>
          <t>S</t>
        </is>
      </c>
      <c r="D180" s="471" t="n"/>
      <c r="N180" s="261" t="n"/>
      <c r="O180" s="122">
        <f>'0分'!D177</f>
        <v/>
      </c>
    </row>
    <row r="181" ht="33.95" customHeight="1" s="37">
      <c r="A181" s="551" t="n"/>
      <c r="B181" s="124">
        <f>B180+1</f>
        <v/>
      </c>
      <c r="C181" s="123" t="inlineStr">
        <is>
          <t>M</t>
        </is>
      </c>
      <c r="D181" s="471" t="n"/>
      <c r="J181" s="127" t="n"/>
      <c r="K181" s="127" t="n"/>
      <c r="L181" s="38" t="n"/>
      <c r="M181" s="38" t="n"/>
      <c r="N181" s="261" t="n"/>
      <c r="O181" s="122">
        <f>'0分'!D178</f>
        <v/>
      </c>
    </row>
    <row r="182" ht="33.95" customHeight="1" s="37">
      <c r="A182" s="551" t="n"/>
      <c r="B182" s="124">
        <f>B181+1</f>
        <v/>
      </c>
      <c r="C182" s="123" t="inlineStr">
        <is>
          <t>T</t>
        </is>
      </c>
      <c r="D182" s="471" t="n"/>
      <c r="N182" s="261" t="n"/>
      <c r="O182" s="122">
        <f>'0分'!D179</f>
        <v/>
      </c>
      <c r="Z182" s="464" t="n"/>
      <c r="AA182" s="464" t="n"/>
      <c r="AB182" s="464" t="n"/>
    </row>
    <row r="183" ht="33.95" customHeight="1" s="37">
      <c r="A183" s="552" t="n"/>
      <c r="B183" s="124">
        <f>B182+1</f>
        <v/>
      </c>
      <c r="C183" s="123" t="inlineStr">
        <is>
          <t>W</t>
        </is>
      </c>
      <c r="D183" s="471" t="n"/>
      <c r="N183" s="261" t="n"/>
      <c r="O183" s="122">
        <f>'0分'!D180</f>
        <v/>
      </c>
    </row>
    <row r="184" ht="33.95" customHeight="1" s="37">
      <c r="A184" s="462">
        <f>A149+1</f>
        <v/>
      </c>
      <c r="B184" s="124">
        <f>B183+1</f>
        <v/>
      </c>
      <c r="C184" s="123" t="inlineStr">
        <is>
          <t>Th</t>
        </is>
      </c>
      <c r="D184" s="471" t="n"/>
      <c r="N184" s="261" t="n"/>
      <c r="O184" s="122">
        <f>'0分'!D181</f>
        <v/>
      </c>
      <c r="X184" s="465" t="n"/>
    </row>
    <row r="185" ht="33.95" customHeight="1" s="37">
      <c r="A185" s="551" t="n"/>
      <c r="B185" s="124">
        <f>B184+1</f>
        <v/>
      </c>
      <c r="C185" s="123" t="inlineStr">
        <is>
          <t>F</t>
        </is>
      </c>
      <c r="D185" s="471" t="n"/>
      <c r="N185" s="261" t="n"/>
      <c r="O185" s="122">
        <f>'0分'!D182</f>
        <v/>
      </c>
    </row>
    <row r="186" ht="33.95" customHeight="1" s="37">
      <c r="A186" s="551" t="n"/>
      <c r="B186" s="124">
        <f>B185+1</f>
        <v/>
      </c>
      <c r="C186" s="123" t="inlineStr">
        <is>
          <t>S</t>
        </is>
      </c>
      <c r="D186" s="471" t="n"/>
      <c r="N186" s="261" t="n"/>
      <c r="O186" s="122">
        <f>'0分'!D183</f>
        <v/>
      </c>
    </row>
    <row r="187" ht="33.95" customHeight="1" s="37">
      <c r="A187" s="551" t="n"/>
      <c r="B187" s="124">
        <f>B186+1</f>
        <v/>
      </c>
      <c r="C187" s="123" t="inlineStr">
        <is>
          <t>S</t>
        </is>
      </c>
      <c r="D187" s="471" t="n"/>
      <c r="N187" s="261" t="n"/>
      <c r="O187" s="122">
        <f>'0分'!D184</f>
        <v/>
      </c>
    </row>
    <row r="188" ht="33.95" customHeight="1" s="37">
      <c r="A188" s="551" t="n"/>
      <c r="B188" s="124">
        <f>B187+1</f>
        <v/>
      </c>
      <c r="C188" s="123" t="inlineStr">
        <is>
          <t>M</t>
        </is>
      </c>
      <c r="D188" s="471" t="n"/>
      <c r="N188" s="261" t="n"/>
      <c r="O188" s="122">
        <f>'0分'!D185</f>
        <v/>
      </c>
    </row>
    <row r="189" ht="33.95" customHeight="1" s="37">
      <c r="A189" s="551" t="n"/>
      <c r="B189" s="124">
        <f>B188+1</f>
        <v/>
      </c>
      <c r="C189" s="123" t="inlineStr">
        <is>
          <t>T</t>
        </is>
      </c>
      <c r="D189" s="471" t="n"/>
      <c r="N189" s="261" t="n"/>
      <c r="O189" s="122">
        <f>'0分'!D186</f>
        <v/>
      </c>
      <c r="P189" s="561" t="n"/>
      <c r="Z189" s="464" t="n"/>
      <c r="AA189" s="464" t="n"/>
      <c r="AB189" s="464" t="n"/>
    </row>
    <row r="190" ht="33.95" customHeight="1" s="37">
      <c r="A190" s="552" t="n"/>
      <c r="B190" s="124">
        <f>B189+1</f>
        <v/>
      </c>
      <c r="C190" s="123" t="inlineStr">
        <is>
          <t>W</t>
        </is>
      </c>
      <c r="D190" s="471" t="n"/>
      <c r="N190" s="261" t="n"/>
      <c r="O190" s="122">
        <f>'0分'!D187</f>
        <v/>
      </c>
      <c r="P190" s="562" t="n"/>
    </row>
    <row r="191" ht="33.95" customHeight="1" s="37">
      <c r="A191" s="462">
        <f>A184+0.1</f>
        <v/>
      </c>
      <c r="B191" s="124">
        <f>B190+1</f>
        <v/>
      </c>
      <c r="C191" s="123" t="inlineStr">
        <is>
          <t>Th</t>
        </is>
      </c>
      <c r="D191" s="471" t="n"/>
      <c r="N191" s="261" t="n"/>
      <c r="O191" s="122">
        <f>'0分'!D188</f>
        <v/>
      </c>
      <c r="X191" s="465" t="n"/>
    </row>
    <row r="192" ht="33.95" customHeight="1" s="37">
      <c r="A192" s="551" t="n"/>
      <c r="B192" s="124">
        <f>B191+1</f>
        <v/>
      </c>
      <c r="C192" s="123" t="inlineStr">
        <is>
          <t>F</t>
        </is>
      </c>
      <c r="D192" s="471" t="n"/>
      <c r="N192" s="261" t="n"/>
      <c r="O192" s="122">
        <f>'0分'!D189</f>
        <v/>
      </c>
    </row>
    <row r="193" ht="33.95" customHeight="1" s="37">
      <c r="A193" s="551" t="n"/>
      <c r="B193" s="124">
        <f>B192+1</f>
        <v/>
      </c>
      <c r="C193" s="123" t="inlineStr">
        <is>
          <t>S</t>
        </is>
      </c>
      <c r="D193" s="471" t="n"/>
      <c r="N193" s="261" t="n"/>
      <c r="O193" s="122">
        <f>'0分'!D190</f>
        <v/>
      </c>
    </row>
    <row r="194" ht="33.95" customHeight="1" s="37">
      <c r="A194" s="551" t="n"/>
      <c r="B194" s="124">
        <f>B193+1</f>
        <v/>
      </c>
      <c r="C194" s="123" t="inlineStr">
        <is>
          <t>S</t>
        </is>
      </c>
      <c r="D194" s="471" t="n"/>
      <c r="N194" s="261" t="n"/>
      <c r="O194" s="122">
        <f>'0分'!D191</f>
        <v/>
      </c>
    </row>
    <row r="195" ht="33.95" customHeight="1" s="37">
      <c r="A195" s="551" t="n"/>
      <c r="B195" s="124">
        <f>B194+1</f>
        <v/>
      </c>
      <c r="C195" s="123" t="inlineStr">
        <is>
          <t>M</t>
        </is>
      </c>
      <c r="D195" s="471" t="n"/>
      <c r="N195" s="261" t="n"/>
      <c r="O195" s="122">
        <f>'0分'!D192</f>
        <v/>
      </c>
    </row>
    <row r="196" ht="33.95" customHeight="1" s="37">
      <c r="A196" s="551" t="n"/>
      <c r="B196" s="124">
        <f>B195+1</f>
        <v/>
      </c>
      <c r="C196" s="123" t="inlineStr">
        <is>
          <t>T</t>
        </is>
      </c>
      <c r="D196" s="471" t="n"/>
      <c r="H196" s="471" t="n"/>
      <c r="I196" s="471" t="n"/>
      <c r="J196" s="24" t="n"/>
      <c r="K196" s="25" t="n"/>
      <c r="L196" s="517" t="n"/>
      <c r="N196" s="262" t="n"/>
      <c r="O196" s="122">
        <f>'0分'!D193</f>
        <v/>
      </c>
      <c r="Z196" s="464" t="n"/>
      <c r="AA196" s="464" t="n"/>
      <c r="AB196" s="464" t="n"/>
    </row>
    <row r="197" ht="33.95" customHeight="1" s="37">
      <c r="A197" s="552" t="n"/>
      <c r="B197" s="124">
        <f>B196+1</f>
        <v/>
      </c>
      <c r="C197" s="123" t="inlineStr">
        <is>
          <t>W</t>
        </is>
      </c>
      <c r="D197" s="471" t="n"/>
      <c r="N197" s="261" t="n"/>
      <c r="O197" s="122">
        <f>'0分'!D194</f>
        <v/>
      </c>
    </row>
    <row r="198" ht="33.95" customHeight="1" s="37">
      <c r="A198" s="462">
        <f>A191+0.1</f>
        <v/>
      </c>
      <c r="B198" s="124">
        <f>B197+1</f>
        <v/>
      </c>
      <c r="C198" s="123" t="inlineStr">
        <is>
          <t>Th</t>
        </is>
      </c>
      <c r="D198" s="471" t="n"/>
      <c r="N198" s="261" t="n"/>
      <c r="O198" s="122">
        <f>'0分'!D195</f>
        <v/>
      </c>
      <c r="X198" s="465" t="n"/>
    </row>
    <row r="199" ht="33.95" customHeight="1" s="37">
      <c r="A199" s="551" t="n"/>
      <c r="B199" s="124">
        <f>B198+1</f>
        <v/>
      </c>
      <c r="C199" s="123" t="inlineStr">
        <is>
          <t>F</t>
        </is>
      </c>
      <c r="D199" s="471" t="n"/>
      <c r="N199" s="261" t="n"/>
      <c r="O199" s="122">
        <f>'0分'!D196</f>
        <v/>
      </c>
    </row>
    <row r="200" ht="33.95" customHeight="1" s="37">
      <c r="A200" s="551" t="n"/>
      <c r="B200" s="124">
        <f>B199+1</f>
        <v/>
      </c>
      <c r="C200" s="123" t="inlineStr">
        <is>
          <t>S</t>
        </is>
      </c>
      <c r="D200" s="471" t="n"/>
      <c r="G200" s="471" t="n"/>
      <c r="H200" s="471" t="n"/>
      <c r="I200" s="471" t="n"/>
      <c r="J200" s="24" t="n"/>
      <c r="K200" s="24" t="n"/>
      <c r="L200" s="517" t="n"/>
      <c r="N200" s="262" t="n"/>
      <c r="O200" s="122">
        <f>'0分'!D197</f>
        <v/>
      </c>
      <c r="U200" s="471" t="n"/>
    </row>
    <row r="201" ht="33.95" customHeight="1" s="37">
      <c r="A201" s="551" t="n"/>
      <c r="B201" s="124">
        <f>B200+1</f>
        <v/>
      </c>
      <c r="C201" s="123" t="inlineStr">
        <is>
          <t>S</t>
        </is>
      </c>
      <c r="D201" s="471" t="n"/>
      <c r="N201" s="261" t="n"/>
      <c r="O201" s="122">
        <f>'0分'!D198</f>
        <v/>
      </c>
    </row>
    <row r="202" ht="33.95" customHeight="1" s="37">
      <c r="A202" s="551" t="n"/>
      <c r="B202" s="124">
        <f>B201+1</f>
        <v/>
      </c>
      <c r="C202" s="123" t="inlineStr">
        <is>
          <t>M</t>
        </is>
      </c>
      <c r="D202" s="471" t="n"/>
      <c r="N202" s="261" t="n"/>
      <c r="O202" s="122">
        <f>'0分'!D199</f>
        <v/>
      </c>
    </row>
    <row r="203" ht="33.95" customHeight="1" s="37">
      <c r="A203" s="551" t="n"/>
      <c r="B203" s="124">
        <f>B202+1</f>
        <v/>
      </c>
      <c r="C203" s="123" t="inlineStr">
        <is>
          <t>T</t>
        </is>
      </c>
      <c r="D203" s="471" t="n"/>
      <c r="N203" s="261" t="n"/>
      <c r="O203" s="122">
        <f>'0分'!D200</f>
        <v/>
      </c>
      <c r="Z203" s="464" t="n"/>
      <c r="AA203" s="464" t="n"/>
      <c r="AB203" s="464" t="n"/>
    </row>
    <row r="204" ht="33.95" customHeight="1" s="37">
      <c r="A204" s="552" t="n"/>
      <c r="B204" s="124">
        <f>B203+1</f>
        <v/>
      </c>
      <c r="C204" s="123" t="inlineStr">
        <is>
          <t>W</t>
        </is>
      </c>
      <c r="D204" s="471" t="n"/>
      <c r="N204" s="261" t="n"/>
      <c r="O204" s="122">
        <f>'0分'!D201</f>
        <v/>
      </c>
    </row>
    <row r="205" ht="33.95" customHeight="1" s="37">
      <c r="A205" s="462">
        <f>A198+0.1</f>
        <v/>
      </c>
      <c r="B205" s="124">
        <f>B204+1</f>
        <v/>
      </c>
      <c r="C205" s="123" t="inlineStr">
        <is>
          <t>Th</t>
        </is>
      </c>
      <c r="D205" s="471" t="n"/>
      <c r="N205" s="261" t="n"/>
      <c r="O205" s="122">
        <f>'0分'!D202</f>
        <v/>
      </c>
      <c r="X205" s="465" t="n"/>
    </row>
    <row r="206" ht="33.95" customHeight="1" s="37">
      <c r="A206" s="551" t="n"/>
      <c r="B206" s="124">
        <f>B205+1</f>
        <v/>
      </c>
      <c r="C206" s="123" t="inlineStr">
        <is>
          <t>F</t>
        </is>
      </c>
      <c r="D206" s="471" t="n"/>
      <c r="N206" s="261" t="n"/>
      <c r="O206" s="122">
        <f>'0分'!D203</f>
        <v/>
      </c>
    </row>
    <row r="207" ht="33.95" customHeight="1" s="37">
      <c r="A207" s="551" t="n"/>
      <c r="B207" s="124">
        <f>B206+1</f>
        <v/>
      </c>
      <c r="C207" s="123" t="inlineStr">
        <is>
          <t>S</t>
        </is>
      </c>
      <c r="D207" s="471" t="n"/>
      <c r="N207" s="261" t="n"/>
      <c r="O207" s="122">
        <f>'0分'!D204</f>
        <v/>
      </c>
    </row>
    <row r="208" ht="33.95" customHeight="1" s="37">
      <c r="A208" s="551" t="n"/>
      <c r="B208" s="124">
        <f>B207+1</f>
        <v/>
      </c>
      <c r="C208" s="123" t="inlineStr">
        <is>
          <t>S</t>
        </is>
      </c>
      <c r="D208" s="471" t="n"/>
      <c r="N208" s="261" t="n"/>
      <c r="O208" s="122">
        <f>'0分'!D205</f>
        <v/>
      </c>
    </row>
    <row r="209" ht="33.95" customHeight="1" s="37">
      <c r="A209" s="551" t="n"/>
      <c r="B209" s="124">
        <f>B208+1</f>
        <v/>
      </c>
      <c r="C209" s="123" t="inlineStr">
        <is>
          <t>M</t>
        </is>
      </c>
      <c r="D209" s="471" t="n"/>
      <c r="N209" s="261" t="n"/>
      <c r="O209" s="122">
        <f>'0分'!D206</f>
        <v/>
      </c>
    </row>
    <row r="210" ht="33.95" customHeight="1" s="37">
      <c r="A210" s="551" t="n"/>
      <c r="B210" s="124">
        <f>B209+1</f>
        <v/>
      </c>
      <c r="C210" s="123" t="inlineStr">
        <is>
          <t>T</t>
        </is>
      </c>
      <c r="D210" s="471" t="n"/>
      <c r="N210" s="261" t="n"/>
      <c r="O210" s="122">
        <f>'0分'!D207</f>
        <v/>
      </c>
      <c r="Z210" s="464" t="n"/>
      <c r="AA210" s="464" t="n"/>
      <c r="AB210" s="464" t="n"/>
      <c r="AD210" s="466" t="n"/>
    </row>
    <row r="211" ht="33.95" customHeight="1" s="37">
      <c r="A211" s="552" t="n"/>
      <c r="B211" s="124">
        <f>B210+1</f>
        <v/>
      </c>
      <c r="C211" s="123" t="inlineStr">
        <is>
          <t>W</t>
        </is>
      </c>
      <c r="D211" s="471" t="n"/>
      <c r="N211" s="261" t="n"/>
      <c r="O211" s="122">
        <f>'0分'!D208</f>
        <v/>
      </c>
      <c r="AD211" s="303" t="n"/>
      <c r="AE211" s="303" t="n"/>
      <c r="AF211" s="325" t="n"/>
      <c r="AG211" s="303" t="n"/>
      <c r="AH211" s="303" t="n"/>
      <c r="AI211" s="303" t="n"/>
    </row>
    <row r="212" ht="33.95" customHeight="1" s="37">
      <c r="A212" s="462">
        <f>A184+1</f>
        <v/>
      </c>
      <c r="B212" s="124">
        <f>B211+1</f>
        <v/>
      </c>
      <c r="C212" s="123" t="inlineStr">
        <is>
          <t>Th</t>
        </is>
      </c>
      <c r="D212" s="471" t="n"/>
      <c r="N212" s="261" t="n"/>
      <c r="O212" s="122">
        <f>'0分'!D209</f>
        <v/>
      </c>
      <c r="X212" s="465" t="n"/>
      <c r="AD212" s="468" t="n"/>
    </row>
    <row r="213" ht="33.95" customHeight="1" s="37">
      <c r="A213" s="551" t="n"/>
      <c r="B213" s="124">
        <f>B212+1</f>
        <v/>
      </c>
      <c r="C213" s="123" t="inlineStr">
        <is>
          <t>F</t>
        </is>
      </c>
      <c r="D213" s="471" t="n"/>
      <c r="N213" s="261" t="n"/>
      <c r="O213" s="122">
        <f>'0分'!D210</f>
        <v/>
      </c>
    </row>
    <row r="214" ht="33.95" customHeight="1" s="37">
      <c r="A214" s="551" t="n"/>
      <c r="B214" s="124">
        <f>B213+1</f>
        <v/>
      </c>
      <c r="C214" s="123" t="inlineStr">
        <is>
          <t>S</t>
        </is>
      </c>
      <c r="D214" s="471" t="n"/>
      <c r="N214" s="261" t="n"/>
      <c r="O214" s="122">
        <f>'0分'!D211</f>
        <v/>
      </c>
    </row>
    <row r="215" ht="33.95" customHeight="1" s="37">
      <c r="A215" s="551" t="n"/>
      <c r="B215" s="124">
        <f>B214+1</f>
        <v/>
      </c>
      <c r="C215" s="123" t="inlineStr">
        <is>
          <t>S</t>
        </is>
      </c>
      <c r="D215" s="471" t="n"/>
      <c r="N215" s="261" t="n"/>
      <c r="O215" s="122">
        <f>'0分'!D212</f>
        <v/>
      </c>
    </row>
    <row r="216" ht="33.95" customHeight="1" s="37">
      <c r="A216" s="551" t="n"/>
      <c r="B216" s="124">
        <f>B215+1</f>
        <v/>
      </c>
      <c r="C216" s="123" t="inlineStr">
        <is>
          <t>M</t>
        </is>
      </c>
      <c r="D216" s="471" t="n"/>
      <c r="G216" s="57" t="n"/>
      <c r="N216" s="261" t="n"/>
      <c r="O216" s="122">
        <f>'0分'!D213</f>
        <v/>
      </c>
    </row>
    <row r="217" ht="33.95" customHeight="1" s="37">
      <c r="A217" s="551" t="n"/>
      <c r="B217" s="124">
        <f>B216+1</f>
        <v/>
      </c>
      <c r="C217" s="123" t="inlineStr">
        <is>
          <t>T</t>
        </is>
      </c>
      <c r="D217" s="471" t="n"/>
      <c r="N217" s="263" t="n"/>
      <c r="O217" s="122">
        <f>'0分'!D214</f>
        <v/>
      </c>
      <c r="Z217" s="464" t="n"/>
      <c r="AA217" s="464" t="n"/>
      <c r="AB217" s="464" t="n"/>
    </row>
    <row r="218" ht="33.95" customHeight="1" s="37">
      <c r="A218" s="552" t="n"/>
      <c r="B218" s="124">
        <f>B217+1</f>
        <v/>
      </c>
      <c r="C218" s="123" t="inlineStr">
        <is>
          <t>W</t>
        </is>
      </c>
      <c r="D218" s="471" t="n"/>
      <c r="N218" s="261" t="n"/>
      <c r="O218" s="122">
        <f>'0分'!D215</f>
        <v/>
      </c>
    </row>
    <row r="219" ht="33.95" customHeight="1" s="37">
      <c r="A219" s="462">
        <f>A212+0.1</f>
        <v/>
      </c>
      <c r="B219" s="124">
        <f>B218+1</f>
        <v/>
      </c>
      <c r="C219" s="123" t="inlineStr">
        <is>
          <t>Th</t>
        </is>
      </c>
      <c r="D219" s="471" t="n"/>
      <c r="N219" s="261" t="n"/>
      <c r="O219" s="122">
        <f>'0分'!D216</f>
        <v/>
      </c>
      <c r="X219" s="465" t="n"/>
    </row>
    <row r="220" ht="33.95" customHeight="1" s="37">
      <c r="A220" s="551" t="n"/>
      <c r="B220" s="124">
        <f>B219+1</f>
        <v/>
      </c>
      <c r="C220" s="123" t="inlineStr">
        <is>
          <t>F</t>
        </is>
      </c>
      <c r="D220" s="471" t="n"/>
      <c r="N220" s="261" t="n"/>
      <c r="O220" s="122">
        <f>'0分'!D217</f>
        <v/>
      </c>
    </row>
    <row r="221" ht="33.95" customHeight="1" s="37">
      <c r="A221" s="551" t="n"/>
      <c r="B221" s="124">
        <f>B220+1</f>
        <v/>
      </c>
      <c r="C221" s="123" t="inlineStr">
        <is>
          <t>S</t>
        </is>
      </c>
      <c r="D221" s="471" t="n"/>
      <c r="N221" s="261" t="n"/>
      <c r="O221" s="122">
        <f>'0分'!D218</f>
        <v/>
      </c>
    </row>
    <row r="222" ht="33.95" customHeight="1" s="37">
      <c r="A222" s="551" t="n"/>
      <c r="B222" s="124">
        <f>B221+1</f>
        <v/>
      </c>
      <c r="C222" s="123" t="inlineStr">
        <is>
          <t>S</t>
        </is>
      </c>
      <c r="D222" s="471" t="n"/>
      <c r="N222" s="261" t="n"/>
      <c r="O222" s="122">
        <f>'0分'!D219</f>
        <v/>
      </c>
    </row>
    <row r="223" ht="33.95" customHeight="1" s="37">
      <c r="A223" s="551" t="n"/>
      <c r="B223" s="124">
        <f>B222+1</f>
        <v/>
      </c>
      <c r="C223" s="123" t="inlineStr">
        <is>
          <t>M</t>
        </is>
      </c>
      <c r="D223" s="471" t="n"/>
      <c r="N223" s="261" t="n"/>
      <c r="O223" s="122">
        <f>'0分'!D220</f>
        <v/>
      </c>
    </row>
    <row r="224" ht="33.95" customHeight="1" s="37">
      <c r="A224" s="551" t="n"/>
      <c r="B224" s="124">
        <f>B223+1</f>
        <v/>
      </c>
      <c r="C224" s="123" t="inlineStr">
        <is>
          <t>T</t>
        </is>
      </c>
      <c r="D224" s="471" t="n"/>
      <c r="N224" s="261" t="n"/>
      <c r="O224" s="122">
        <f>'0分'!D221</f>
        <v/>
      </c>
      <c r="Z224" s="464" t="n"/>
      <c r="AA224" s="464" t="n"/>
      <c r="AB224" s="463" t="n"/>
    </row>
    <row r="225" ht="33.95" customHeight="1" s="37">
      <c r="A225" s="552" t="n"/>
      <c r="B225" s="124">
        <f>B224+1</f>
        <v/>
      </c>
      <c r="C225" s="123" t="inlineStr">
        <is>
          <t>W</t>
        </is>
      </c>
      <c r="D225" s="471" t="n"/>
      <c r="N225" s="261" t="n"/>
      <c r="O225" s="122">
        <f>'0分'!D222</f>
        <v/>
      </c>
    </row>
    <row r="226" ht="33.95" customHeight="1" s="37">
      <c r="A226" s="462">
        <f>A219+0.1</f>
        <v/>
      </c>
      <c r="B226" s="124">
        <f>B225+1</f>
        <v/>
      </c>
      <c r="C226" s="123" t="inlineStr">
        <is>
          <t>Th</t>
        </is>
      </c>
      <c r="D226" s="471" t="n"/>
      <c r="N226" s="261" t="n"/>
      <c r="O226" s="122">
        <f>'0分'!D223</f>
        <v/>
      </c>
      <c r="X226" s="465" t="n"/>
    </row>
    <row r="227" ht="33.95" customHeight="1" s="37">
      <c r="A227" s="551" t="n"/>
      <c r="B227" s="124">
        <f>B226+1</f>
        <v/>
      </c>
      <c r="C227" s="123" t="inlineStr">
        <is>
          <t>F</t>
        </is>
      </c>
      <c r="D227" s="471" t="n"/>
      <c r="N227" s="261" t="n"/>
      <c r="O227" s="122">
        <f>'0分'!D224</f>
        <v/>
      </c>
    </row>
    <row r="228" ht="33.95" customHeight="1" s="37">
      <c r="A228" s="551" t="n"/>
      <c r="B228" s="124">
        <f>B227+1</f>
        <v/>
      </c>
      <c r="C228" s="126" t="inlineStr">
        <is>
          <t>S</t>
        </is>
      </c>
      <c r="D228" s="471" t="n"/>
      <c r="J228" s="127" t="n"/>
      <c r="K228" s="127" t="n"/>
      <c r="L228" s="38" t="n"/>
      <c r="M228" s="38" t="n"/>
      <c r="N228" s="261" t="n"/>
      <c r="O228" s="122">
        <f>'0分'!D225</f>
        <v/>
      </c>
    </row>
    <row r="229" ht="33.95" customHeight="1" s="37">
      <c r="A229" s="551" t="n"/>
      <c r="B229" s="124">
        <f>B228+1</f>
        <v/>
      </c>
      <c r="C229" s="126" t="inlineStr">
        <is>
          <t>S</t>
        </is>
      </c>
      <c r="D229" s="471" t="n"/>
      <c r="N229" s="261" t="n"/>
      <c r="O229" s="122">
        <f>'0分'!D226</f>
        <v/>
      </c>
    </row>
    <row r="230" ht="33.95" customHeight="1" s="37">
      <c r="A230" s="551" t="n"/>
      <c r="B230" s="124">
        <f>B229+1</f>
        <v/>
      </c>
      <c r="C230" s="126" t="inlineStr">
        <is>
          <t>M</t>
        </is>
      </c>
      <c r="D230" s="471" t="n"/>
      <c r="N230" s="261" t="n"/>
      <c r="O230" s="122">
        <f>'0分'!D227</f>
        <v/>
      </c>
    </row>
    <row r="231" ht="33.95" customHeight="1" s="37">
      <c r="A231" s="551" t="n"/>
      <c r="B231" s="124">
        <f>B230+1</f>
        <v/>
      </c>
      <c r="C231" s="126" t="inlineStr">
        <is>
          <t>T</t>
        </is>
      </c>
      <c r="D231" s="471" t="n"/>
      <c r="N231" s="261" t="n"/>
      <c r="O231" s="122">
        <f>'0分'!D228</f>
        <v/>
      </c>
      <c r="Z231" s="464" t="n"/>
      <c r="AA231" s="464" t="n"/>
      <c r="AB231" s="463" t="n"/>
    </row>
    <row r="232" ht="33.95" customHeight="1" s="37">
      <c r="A232" s="552" t="n"/>
      <c r="B232" s="124">
        <f>B231+1</f>
        <v/>
      </c>
      <c r="C232" s="126" t="inlineStr">
        <is>
          <t>W</t>
        </is>
      </c>
      <c r="D232" s="471" t="n"/>
      <c r="J232" s="127" t="n"/>
      <c r="K232" s="127" t="n"/>
      <c r="M232" s="38" t="n"/>
      <c r="N232" s="261" t="n"/>
      <c r="O232" s="122">
        <f>'0分'!D229</f>
        <v/>
      </c>
    </row>
    <row r="233" ht="33.95" customHeight="1" s="37">
      <c r="A233" s="462">
        <f>A226+0.1</f>
        <v/>
      </c>
      <c r="B233" s="124">
        <f>B232+1</f>
        <v/>
      </c>
      <c r="C233" s="126" t="inlineStr">
        <is>
          <t>Th</t>
        </is>
      </c>
      <c r="D233" s="471" t="n"/>
      <c r="N233" s="261" t="n"/>
      <c r="O233" s="122">
        <f>'0分'!D230</f>
        <v/>
      </c>
      <c r="X233" s="465" t="n"/>
    </row>
    <row r="234" ht="33.95" customHeight="1" s="37">
      <c r="A234" s="551" t="n"/>
      <c r="B234" s="124">
        <f>B233+1</f>
        <v/>
      </c>
      <c r="C234" s="126" t="inlineStr">
        <is>
          <t>F</t>
        </is>
      </c>
      <c r="D234" s="471" t="n"/>
      <c r="N234" s="261" t="n"/>
      <c r="O234" s="122">
        <f>'0分'!D231</f>
        <v/>
      </c>
    </row>
    <row r="235" ht="33.95" customHeight="1" s="37">
      <c r="A235" s="551" t="n"/>
      <c r="B235" s="124">
        <f>B234+1</f>
        <v/>
      </c>
      <c r="C235" s="126" t="inlineStr">
        <is>
          <t>S</t>
        </is>
      </c>
      <c r="D235" s="471" t="n"/>
      <c r="N235" s="261" t="n"/>
      <c r="O235" s="122">
        <f>'0分'!D232</f>
        <v/>
      </c>
    </row>
    <row r="236" ht="33.95" customHeight="1" s="37">
      <c r="A236" s="551" t="n"/>
      <c r="B236" s="124">
        <f>B235+1</f>
        <v/>
      </c>
      <c r="C236" s="126" t="inlineStr">
        <is>
          <t>S</t>
        </is>
      </c>
      <c r="D236" s="471" t="n"/>
      <c r="N236" s="261" t="n"/>
      <c r="O236" s="122">
        <f>'0分'!D233</f>
        <v/>
      </c>
    </row>
    <row r="237" ht="33.95" customHeight="1" s="37">
      <c r="A237" s="551" t="n"/>
      <c r="B237" s="124">
        <f>B236+1</f>
        <v/>
      </c>
      <c r="C237" s="123" t="inlineStr">
        <is>
          <t>M</t>
        </is>
      </c>
      <c r="D237" s="471" t="n"/>
      <c r="N237" s="261" t="n"/>
      <c r="O237" s="122">
        <f>'0分'!D234</f>
        <v/>
      </c>
    </row>
    <row r="238" ht="33.95" customHeight="1" s="37">
      <c r="A238" s="551" t="n"/>
      <c r="B238" s="124">
        <f>B237+1</f>
        <v/>
      </c>
      <c r="C238" s="123" t="inlineStr">
        <is>
          <t>T</t>
        </is>
      </c>
      <c r="D238" s="471" t="n"/>
      <c r="N238" s="261" t="n"/>
      <c r="O238" s="122">
        <f>'0分'!D235</f>
        <v/>
      </c>
      <c r="Z238" s="464" t="n"/>
      <c r="AA238" s="464" t="n"/>
      <c r="AB238" s="463" t="n"/>
    </row>
    <row r="239" ht="33.95" customHeight="1" s="37">
      <c r="A239" s="552" t="n"/>
      <c r="B239" s="124">
        <f>B238+1</f>
        <v/>
      </c>
      <c r="C239" s="123" t="inlineStr">
        <is>
          <t>W</t>
        </is>
      </c>
      <c r="D239" s="471" t="n"/>
      <c r="N239" s="261" t="n"/>
      <c r="O239" s="122">
        <f>'0分'!D236</f>
        <v/>
      </c>
    </row>
    <row r="240" ht="33.95" customHeight="1" s="37">
      <c r="A240" s="462">
        <f>A212+1</f>
        <v/>
      </c>
      <c r="B240" s="124">
        <f>B239+1</f>
        <v/>
      </c>
      <c r="C240" s="123" t="inlineStr">
        <is>
          <t>Th</t>
        </is>
      </c>
      <c r="D240" s="471" t="n"/>
      <c r="N240" s="261" t="n"/>
      <c r="O240" s="122">
        <f>'0分'!D237</f>
        <v/>
      </c>
      <c r="X240" s="465" t="n"/>
    </row>
    <row r="241" ht="33.95" customHeight="1" s="37">
      <c r="A241" s="551" t="n"/>
      <c r="B241" s="124">
        <f>B240+1</f>
        <v/>
      </c>
      <c r="C241" s="123" t="inlineStr">
        <is>
          <t>F</t>
        </is>
      </c>
      <c r="D241" s="471" t="n"/>
      <c r="N241" s="261" t="n"/>
      <c r="O241" s="122">
        <f>'0分'!D238</f>
        <v/>
      </c>
    </row>
    <row r="242" ht="33.95" customHeight="1" s="37">
      <c r="A242" s="551" t="n"/>
      <c r="B242" s="124">
        <f>B241+1</f>
        <v/>
      </c>
      <c r="C242" s="123" t="inlineStr">
        <is>
          <t>S</t>
        </is>
      </c>
      <c r="D242" s="471" t="n"/>
      <c r="N242" s="261" t="n"/>
      <c r="O242" s="122">
        <f>'0分'!D239</f>
        <v/>
      </c>
    </row>
    <row r="243" ht="33.95" customHeight="1" s="37">
      <c r="A243" s="551" t="n"/>
      <c r="B243" s="124">
        <f>B242+1</f>
        <v/>
      </c>
      <c r="C243" s="123" t="inlineStr">
        <is>
          <t>S</t>
        </is>
      </c>
      <c r="D243" s="471" t="n"/>
      <c r="N243" s="261" t="n"/>
      <c r="O243" s="122">
        <f>'0分'!D240</f>
        <v/>
      </c>
    </row>
    <row r="244" ht="33.95" customHeight="1" s="37">
      <c r="A244" s="551" t="n"/>
      <c r="B244" s="124">
        <f>B243+1</f>
        <v/>
      </c>
      <c r="C244" s="123" t="inlineStr">
        <is>
          <t>M</t>
        </is>
      </c>
      <c r="D244" s="471" t="n"/>
      <c r="J244" s="127" t="n"/>
      <c r="K244" s="127" t="n"/>
      <c r="L244" s="38" t="n"/>
      <c r="M244" s="38" t="n"/>
      <c r="N244" s="261" t="n"/>
      <c r="O244" s="122">
        <f>'0分'!D241</f>
        <v/>
      </c>
    </row>
    <row r="245" ht="33.95" customHeight="1" s="37">
      <c r="A245" s="551" t="n"/>
      <c r="B245" s="124">
        <f>B244+1</f>
        <v/>
      </c>
      <c r="C245" s="123" t="inlineStr">
        <is>
          <t>T</t>
        </is>
      </c>
      <c r="D245" s="471" t="n"/>
      <c r="N245" s="261" t="n"/>
      <c r="O245" s="122">
        <f>'0分'!D242</f>
        <v/>
      </c>
      <c r="Z245" s="464" t="n"/>
      <c r="AA245" s="464" t="n"/>
      <c r="AB245" s="464" t="n"/>
    </row>
    <row r="246" ht="33.95" customHeight="1" s="37">
      <c r="A246" s="552" t="n"/>
      <c r="B246" s="124">
        <f>B245+1</f>
        <v/>
      </c>
      <c r="C246" s="123" t="inlineStr">
        <is>
          <t>W</t>
        </is>
      </c>
      <c r="D246" s="471" t="n"/>
      <c r="N246" s="261" t="n"/>
      <c r="O246" s="122">
        <f>'0分'!D243</f>
        <v/>
      </c>
    </row>
    <row r="247" ht="33.95" customHeight="1" s="37">
      <c r="A247" s="462">
        <f>A240+0.1</f>
        <v/>
      </c>
      <c r="B247" s="124">
        <f>B246+1</f>
        <v/>
      </c>
      <c r="C247" s="123" t="inlineStr">
        <is>
          <t>Th</t>
        </is>
      </c>
      <c r="D247" s="471" t="n"/>
      <c r="N247" s="261" t="n"/>
      <c r="O247" s="122">
        <f>'0分'!D244</f>
        <v/>
      </c>
      <c r="X247" s="465" t="n"/>
    </row>
    <row r="248" ht="33.95" customHeight="1" s="37">
      <c r="A248" s="551" t="n"/>
      <c r="B248" s="124">
        <f>B247+1</f>
        <v/>
      </c>
      <c r="C248" s="123" t="inlineStr">
        <is>
          <t>F</t>
        </is>
      </c>
      <c r="D248" s="471" t="n"/>
      <c r="N248" s="261" t="n"/>
      <c r="O248" s="122">
        <f>'0分'!D245</f>
        <v/>
      </c>
    </row>
    <row r="249" ht="33.95" customHeight="1" s="37">
      <c r="A249" s="551" t="n"/>
      <c r="B249" s="124">
        <f>B248+1</f>
        <v/>
      </c>
      <c r="C249" s="123" t="inlineStr">
        <is>
          <t>S</t>
        </is>
      </c>
      <c r="D249" s="471" t="n"/>
      <c r="N249" s="261" t="n"/>
      <c r="O249" s="122">
        <f>'0分'!D246</f>
        <v/>
      </c>
    </row>
    <row r="250" ht="33.95" customHeight="1" s="37">
      <c r="A250" s="551" t="n"/>
      <c r="B250" s="124">
        <f>B249+1</f>
        <v/>
      </c>
      <c r="C250" s="123" t="inlineStr">
        <is>
          <t>S</t>
        </is>
      </c>
      <c r="D250" s="471" t="n"/>
      <c r="N250" s="261" t="n"/>
      <c r="O250" s="122">
        <f>'0分'!D247</f>
        <v/>
      </c>
    </row>
    <row r="251" ht="33.95" customHeight="1" s="37">
      <c r="A251" s="551" t="n"/>
      <c r="B251" s="124">
        <f>B250+1</f>
        <v/>
      </c>
      <c r="C251" s="123" t="inlineStr">
        <is>
          <t>M</t>
        </is>
      </c>
      <c r="D251" s="471" t="n"/>
      <c r="N251" s="261" t="n"/>
      <c r="O251" s="122">
        <f>'0分'!D248</f>
        <v/>
      </c>
      <c r="AD251" s="466" t="n"/>
    </row>
    <row r="252" ht="33.95" customHeight="1" s="37">
      <c r="A252" s="551" t="n"/>
      <c r="B252" s="124">
        <f>B251+1</f>
        <v/>
      </c>
      <c r="C252" s="123" t="inlineStr">
        <is>
          <t>T</t>
        </is>
      </c>
      <c r="D252" s="471" t="n"/>
      <c r="N252" s="261" t="n"/>
      <c r="O252" s="122">
        <f>'0分'!D249</f>
        <v/>
      </c>
      <c r="Z252" s="464" t="n"/>
      <c r="AA252" s="464" t="n"/>
      <c r="AB252" s="464" t="n"/>
      <c r="AD252" s="303" t="n"/>
      <c r="AE252" s="303" t="n"/>
      <c r="AF252" s="325" t="n"/>
      <c r="AG252" s="303" t="n"/>
      <c r="AH252" s="303" t="n"/>
      <c r="AI252" s="303" t="n"/>
    </row>
    <row r="253" ht="33.95" customHeight="1" s="37">
      <c r="A253" s="552" t="n"/>
      <c r="B253" s="124">
        <f>B252+1</f>
        <v/>
      </c>
      <c r="C253" s="123" t="inlineStr">
        <is>
          <t>W</t>
        </is>
      </c>
      <c r="D253" s="471" t="n"/>
      <c r="N253" s="261" t="n"/>
      <c r="O253" s="122">
        <f>'0分'!D250</f>
        <v/>
      </c>
      <c r="AD253" s="467" t="n"/>
    </row>
    <row r="254" ht="33.95" customHeight="1" s="37">
      <c r="A254" s="462">
        <f>A247+0.1</f>
        <v/>
      </c>
      <c r="B254" s="124">
        <f>B253+1</f>
        <v/>
      </c>
      <c r="C254" s="123" t="inlineStr">
        <is>
          <t>Th</t>
        </is>
      </c>
      <c r="D254" s="471" t="n"/>
      <c r="N254" s="261" t="n"/>
      <c r="O254" s="122">
        <f>'0分'!D251</f>
        <v/>
      </c>
      <c r="X254" s="471" t="n"/>
    </row>
    <row r="255" ht="33.95" customHeight="1" s="37">
      <c r="A255" s="551" t="n"/>
      <c r="B255" s="125">
        <f>B254+1</f>
        <v/>
      </c>
      <c r="C255" s="123" t="inlineStr">
        <is>
          <t>F</t>
        </is>
      </c>
      <c r="D255" s="471" t="n"/>
      <c r="N255" s="261" t="n"/>
      <c r="O255" s="122">
        <f>'0分'!D252</f>
        <v/>
      </c>
    </row>
    <row r="256" ht="33.95" customHeight="1" s="37">
      <c r="A256" s="551" t="n"/>
      <c r="B256" s="124">
        <f>B255+1</f>
        <v/>
      </c>
      <c r="C256" s="123" t="inlineStr">
        <is>
          <t>S</t>
        </is>
      </c>
      <c r="D256" s="471" t="n"/>
      <c r="N256" s="261" t="n"/>
      <c r="O256" s="122">
        <f>'0分'!D253</f>
        <v/>
      </c>
    </row>
    <row r="257" ht="33.95" customHeight="1" s="37">
      <c r="A257" s="551" t="n"/>
      <c r="B257" s="124">
        <f>B256+1</f>
        <v/>
      </c>
      <c r="C257" s="123" t="inlineStr">
        <is>
          <t>S</t>
        </is>
      </c>
      <c r="D257" s="471" t="n"/>
      <c r="N257" s="261" t="n"/>
      <c r="O257" s="122">
        <f>'0分'!D254</f>
        <v/>
      </c>
    </row>
    <row r="258" ht="33.95" customHeight="1" s="37">
      <c r="A258" s="551" t="n"/>
      <c r="B258" s="124">
        <f>B257+1</f>
        <v/>
      </c>
      <c r="C258" s="123" t="inlineStr">
        <is>
          <t>M</t>
        </is>
      </c>
      <c r="D258" s="471" t="n"/>
      <c r="N258" s="261" t="n"/>
      <c r="O258" s="122">
        <f>'0分'!D255</f>
        <v/>
      </c>
    </row>
    <row r="259" ht="33.95" customHeight="1" s="37">
      <c r="A259" s="551" t="n"/>
      <c r="B259" s="124">
        <f>B258+1</f>
        <v/>
      </c>
      <c r="C259" s="123" t="inlineStr">
        <is>
          <t>T</t>
        </is>
      </c>
      <c r="D259" s="471" t="n"/>
      <c r="N259" s="261" t="n"/>
      <c r="O259" s="122">
        <f>'0分'!D256</f>
        <v/>
      </c>
      <c r="Z259" s="464" t="n"/>
      <c r="AA259" s="464" t="n"/>
      <c r="AB259" s="464" t="n"/>
    </row>
    <row r="260" ht="33.95" customHeight="1" s="37">
      <c r="A260" s="552" t="n"/>
      <c r="B260" s="124">
        <f>B259+1</f>
        <v/>
      </c>
      <c r="C260" s="123" t="inlineStr">
        <is>
          <t>W</t>
        </is>
      </c>
      <c r="D260" s="471" t="n"/>
      <c r="N260" s="261" t="n"/>
      <c r="O260" s="122">
        <f>'0分'!D257</f>
        <v/>
      </c>
    </row>
    <row r="261" ht="33.95" customHeight="1" s="37">
      <c r="A261" s="462">
        <f>A254+0.1</f>
        <v/>
      </c>
      <c r="B261" s="124">
        <f>B260+1</f>
        <v/>
      </c>
      <c r="C261" s="123" t="inlineStr">
        <is>
          <t>Th</t>
        </is>
      </c>
      <c r="D261" s="471" t="n"/>
      <c r="N261" s="261" t="n"/>
      <c r="O261" s="122">
        <f>'0分'!D258</f>
        <v/>
      </c>
      <c r="X261" s="471" t="n"/>
    </row>
    <row r="262" ht="33.95" customHeight="1" s="37">
      <c r="A262" s="551" t="n"/>
      <c r="B262" s="124">
        <f>B261+1</f>
        <v/>
      </c>
      <c r="C262" s="123" t="inlineStr">
        <is>
          <t>F</t>
        </is>
      </c>
      <c r="D262" s="471" t="n"/>
      <c r="N262" s="261" t="n"/>
      <c r="O262" s="122">
        <f>'0分'!D259</f>
        <v/>
      </c>
    </row>
    <row r="263" ht="33.95" customHeight="1" s="37">
      <c r="A263" s="551" t="n"/>
      <c r="B263" s="124">
        <f>B262+1</f>
        <v/>
      </c>
      <c r="C263" s="123" t="inlineStr">
        <is>
          <t>S</t>
        </is>
      </c>
      <c r="D263" s="471" t="n"/>
      <c r="N263" s="261" t="n"/>
      <c r="O263" s="122">
        <f>'0分'!D260</f>
        <v/>
      </c>
    </row>
    <row r="264" ht="33.95" customHeight="1" s="37">
      <c r="A264" s="551" t="n"/>
      <c r="B264" s="124">
        <f>B263+1</f>
        <v/>
      </c>
      <c r="C264" s="123" t="inlineStr">
        <is>
          <t>S</t>
        </is>
      </c>
      <c r="D264" s="471" t="n"/>
      <c r="N264" s="261" t="n"/>
      <c r="O264" s="122">
        <f>'0分'!D261</f>
        <v/>
      </c>
    </row>
    <row r="265" ht="33.95" customHeight="1" s="37">
      <c r="A265" s="551" t="n"/>
      <c r="B265" s="124">
        <f>B264+1</f>
        <v/>
      </c>
      <c r="C265" s="123" t="inlineStr">
        <is>
          <t>M</t>
        </is>
      </c>
      <c r="D265" s="471" t="n"/>
      <c r="N265" s="261" t="n"/>
      <c r="O265" s="122">
        <f>'0分'!D262</f>
        <v/>
      </c>
    </row>
    <row r="266" ht="33.95" customHeight="1" s="37">
      <c r="A266" s="551" t="n"/>
      <c r="B266" s="124">
        <f>B265+1</f>
        <v/>
      </c>
      <c r="C266" s="123" t="inlineStr">
        <is>
          <t>T</t>
        </is>
      </c>
      <c r="D266" s="471" t="n"/>
      <c r="N266" s="261" t="n"/>
      <c r="O266" s="122">
        <f>'0分'!D263</f>
        <v/>
      </c>
      <c r="Z266" s="464" t="n"/>
      <c r="AA266" s="464" t="n"/>
      <c r="AB266" s="464" t="n"/>
    </row>
    <row r="267" ht="33.95" customHeight="1" s="37">
      <c r="A267" s="552" t="n"/>
      <c r="B267" s="124">
        <f>B266+1</f>
        <v/>
      </c>
      <c r="C267" s="123" t="inlineStr">
        <is>
          <t>W</t>
        </is>
      </c>
      <c r="D267" s="471" t="n"/>
      <c r="N267" s="261" t="n"/>
      <c r="O267" s="122">
        <f>'0分'!D264</f>
        <v/>
      </c>
    </row>
    <row r="268" ht="33.95" customHeight="1" s="37">
      <c r="A268" s="462">
        <f>A261+0.1</f>
        <v/>
      </c>
      <c r="B268" s="124">
        <f>B267+1</f>
        <v/>
      </c>
      <c r="C268" s="123" t="inlineStr">
        <is>
          <t>Th</t>
        </is>
      </c>
      <c r="D268" s="471" t="n"/>
      <c r="N268" s="261" t="n"/>
      <c r="O268" s="122">
        <f>'0分'!D265</f>
        <v/>
      </c>
      <c r="X268" s="471" t="n"/>
    </row>
    <row r="269" ht="33.95" customHeight="1" s="37">
      <c r="A269" s="551" t="n"/>
      <c r="B269" s="124">
        <f>B268+1</f>
        <v/>
      </c>
      <c r="C269" s="123" t="inlineStr">
        <is>
          <t>F</t>
        </is>
      </c>
      <c r="D269" s="471" t="n"/>
      <c r="N269" s="261" t="n"/>
      <c r="O269" s="122">
        <f>'0分'!D266</f>
        <v/>
      </c>
    </row>
    <row r="270" ht="33.95" customHeight="1" s="37">
      <c r="A270" s="551" t="n"/>
      <c r="B270" s="124">
        <f>B269+1</f>
        <v/>
      </c>
      <c r="C270" s="123" t="inlineStr">
        <is>
          <t>S</t>
        </is>
      </c>
      <c r="D270" s="471" t="n"/>
      <c r="N270" s="261" t="n"/>
      <c r="O270" s="122">
        <f>'0分'!D267</f>
        <v/>
      </c>
    </row>
    <row r="271" ht="33.95" customHeight="1" s="37">
      <c r="A271" s="551" t="n"/>
      <c r="B271" s="124">
        <f>B270+1</f>
        <v/>
      </c>
      <c r="C271" s="123" t="inlineStr">
        <is>
          <t>S</t>
        </is>
      </c>
      <c r="D271" s="471" t="n"/>
      <c r="N271" s="261" t="n"/>
      <c r="O271" s="122">
        <f>'0分'!D268</f>
        <v/>
      </c>
    </row>
    <row r="272" ht="33.95" customHeight="1" s="37">
      <c r="A272" s="551" t="n"/>
      <c r="B272" s="124">
        <f>B271+1</f>
        <v/>
      </c>
      <c r="C272" s="123" t="inlineStr">
        <is>
          <t>M</t>
        </is>
      </c>
      <c r="D272" s="471" t="n"/>
      <c r="N272" s="261" t="n"/>
      <c r="O272" s="122">
        <f>'0分'!D269</f>
        <v/>
      </c>
    </row>
    <row r="273" ht="33.95" customHeight="1" s="37">
      <c r="A273" s="551" t="n"/>
      <c r="B273" s="124">
        <f>B272+1</f>
        <v/>
      </c>
      <c r="C273" s="123" t="inlineStr">
        <is>
          <t>T</t>
        </is>
      </c>
      <c r="D273" s="471" t="n"/>
      <c r="J273" s="127" t="n"/>
      <c r="K273" s="127" t="n"/>
      <c r="L273" s="38" t="n"/>
      <c r="M273" s="38" t="n"/>
      <c r="N273" s="261" t="n"/>
      <c r="O273" s="122">
        <f>'0分'!D270</f>
        <v/>
      </c>
      <c r="Z273" s="464" t="n"/>
      <c r="AA273" s="464" t="n"/>
      <c r="AB273" s="464" t="n"/>
    </row>
    <row r="274" ht="33.95" customHeight="1" s="37">
      <c r="A274" s="552" t="n"/>
      <c r="B274" s="124">
        <f>B273+1</f>
        <v/>
      </c>
      <c r="C274" s="123" t="inlineStr">
        <is>
          <t>W</t>
        </is>
      </c>
      <c r="D274" s="471" t="n"/>
      <c r="N274" s="261" t="n"/>
      <c r="O274" s="122">
        <f>'0分'!D271</f>
        <v/>
      </c>
      <c r="U274" s="530" t="n"/>
    </row>
    <row r="275" ht="33.95" customHeight="1" s="37">
      <c r="A275" s="462">
        <f>A240+1</f>
        <v/>
      </c>
      <c r="B275" s="124">
        <f>B274+1</f>
        <v/>
      </c>
      <c r="C275" s="123" t="inlineStr">
        <is>
          <t>Th</t>
        </is>
      </c>
      <c r="D275" s="471" t="n"/>
      <c r="N275" s="261" t="n"/>
      <c r="O275" s="122">
        <f>'0分'!D272</f>
        <v/>
      </c>
      <c r="U275" s="530" t="n"/>
      <c r="X275" s="465" t="n"/>
      <c r="AD275" s="466" t="n"/>
    </row>
    <row r="276" ht="33.95" customHeight="1" s="37">
      <c r="A276" s="551" t="n"/>
      <c r="B276" s="124">
        <f>B275+1</f>
        <v/>
      </c>
      <c r="C276" s="123" t="inlineStr">
        <is>
          <t>F</t>
        </is>
      </c>
      <c r="D276" s="471" t="n"/>
      <c r="N276" s="261" t="n"/>
      <c r="O276" s="122">
        <f>'0分'!D273</f>
        <v/>
      </c>
      <c r="U276" s="530" t="n"/>
      <c r="AD276" s="303" t="n"/>
      <c r="AE276" s="303" t="n"/>
      <c r="AF276" s="325" t="n"/>
      <c r="AG276" s="303" t="n"/>
      <c r="AH276" s="303" t="n"/>
      <c r="AI276" s="303" t="n"/>
    </row>
    <row r="277" ht="33.95" customHeight="1" s="37">
      <c r="A277" s="551" t="n"/>
      <c r="B277" s="124">
        <f>B276+1</f>
        <v/>
      </c>
      <c r="C277" s="123" t="inlineStr">
        <is>
          <t>S</t>
        </is>
      </c>
      <c r="D277" s="471" t="n"/>
      <c r="N277" s="261" t="n"/>
      <c r="O277" s="122">
        <f>'0分'!D274</f>
        <v/>
      </c>
      <c r="U277" s="530" t="n"/>
      <c r="AD277" s="467" t="n"/>
    </row>
    <row r="278" ht="33.95" customHeight="1" s="37">
      <c r="A278" s="551" t="n"/>
      <c r="B278" s="124">
        <f>B277+1</f>
        <v/>
      </c>
      <c r="C278" s="123" t="inlineStr">
        <is>
          <t>S</t>
        </is>
      </c>
      <c r="D278" s="471" t="n"/>
      <c r="N278" s="261" t="n"/>
      <c r="O278" s="122">
        <f>'0分'!D275</f>
        <v/>
      </c>
      <c r="U278" s="530" t="n"/>
    </row>
    <row r="279" ht="33.95" customHeight="1" s="37">
      <c r="A279" s="551" t="n"/>
      <c r="B279" s="124">
        <f>B278+1</f>
        <v/>
      </c>
      <c r="C279" s="123" t="inlineStr">
        <is>
          <t>M</t>
        </is>
      </c>
      <c r="D279" s="471" t="n"/>
      <c r="N279" s="261" t="n"/>
      <c r="O279" s="122">
        <f>'0分'!D276</f>
        <v/>
      </c>
      <c r="U279" s="530" t="n"/>
    </row>
    <row r="280" ht="33.95" customHeight="1" s="37">
      <c r="A280" s="551" t="n"/>
      <c r="B280" s="124">
        <f>B279+1</f>
        <v/>
      </c>
      <c r="C280" s="123" t="inlineStr">
        <is>
          <t>T</t>
        </is>
      </c>
      <c r="D280" s="471" t="n"/>
      <c r="N280" s="261" t="n"/>
      <c r="O280" s="122">
        <f>'0分'!D277</f>
        <v/>
      </c>
      <c r="U280" s="530" t="n"/>
      <c r="Z280" s="464" t="n"/>
      <c r="AA280" s="464" t="n"/>
      <c r="AB280" s="463" t="n"/>
    </row>
    <row r="281" ht="33.95" customHeight="1" s="37">
      <c r="A281" s="552" t="n"/>
      <c r="B281" s="124">
        <f>B280+1</f>
        <v/>
      </c>
      <c r="C281" s="123" t="inlineStr">
        <is>
          <t>W</t>
        </is>
      </c>
      <c r="D281" s="471" t="n"/>
      <c r="N281" s="261" t="n"/>
      <c r="O281" s="122">
        <f>'0分'!D278</f>
        <v/>
      </c>
      <c r="U281" s="530" t="n"/>
    </row>
    <row r="282" ht="33.95" customHeight="1" s="37">
      <c r="A282" s="462">
        <f>A275+0.1</f>
        <v/>
      </c>
      <c r="B282" s="124">
        <f>B281+1</f>
        <v/>
      </c>
      <c r="C282" s="123" t="inlineStr">
        <is>
          <t>Th</t>
        </is>
      </c>
      <c r="D282" s="471" t="n"/>
      <c r="N282" s="261" t="n"/>
      <c r="O282" s="122">
        <f>'0分'!D279</f>
        <v/>
      </c>
      <c r="U282" s="530" t="n"/>
      <c r="X282" s="465" t="n"/>
    </row>
    <row r="283" ht="33.95" customHeight="1" s="37">
      <c r="A283" s="551" t="n"/>
      <c r="B283" s="124">
        <f>B282+1</f>
        <v/>
      </c>
      <c r="C283" s="123" t="inlineStr">
        <is>
          <t>F</t>
        </is>
      </c>
      <c r="D283" s="471" t="n"/>
      <c r="N283" s="261" t="n"/>
      <c r="O283" s="122">
        <f>'0分'!D280</f>
        <v/>
      </c>
      <c r="U283" s="530" t="n"/>
    </row>
    <row r="284" ht="33.95" customHeight="1" s="37">
      <c r="A284" s="551" t="n"/>
      <c r="B284" s="124">
        <f>B283+1</f>
        <v/>
      </c>
      <c r="C284" s="123" t="inlineStr">
        <is>
          <t>S</t>
        </is>
      </c>
      <c r="D284" s="471" t="n"/>
      <c r="N284" s="261" t="n"/>
      <c r="O284" s="122">
        <f>'0分'!D281</f>
        <v/>
      </c>
      <c r="U284" s="530" t="n"/>
    </row>
    <row r="285" ht="33.95" customHeight="1" s="37">
      <c r="A285" s="551" t="n"/>
      <c r="B285" s="124">
        <f>B284+1</f>
        <v/>
      </c>
      <c r="C285" s="123" t="inlineStr">
        <is>
          <t>S</t>
        </is>
      </c>
      <c r="D285" s="471" t="n"/>
      <c r="N285" s="261" t="n"/>
      <c r="O285" s="122">
        <f>'0分'!D282</f>
        <v/>
      </c>
      <c r="U285" s="530" t="n"/>
    </row>
    <row r="286" ht="33.95" customHeight="1" s="37">
      <c r="A286" s="551" t="n"/>
      <c r="B286" s="124">
        <f>B285+1</f>
        <v/>
      </c>
      <c r="C286" s="123" t="inlineStr">
        <is>
          <t>M</t>
        </is>
      </c>
      <c r="D286" s="471" t="n"/>
      <c r="N286" s="261" t="n"/>
      <c r="O286" s="122">
        <f>'0分'!D283</f>
        <v/>
      </c>
      <c r="U286" s="530" t="n"/>
    </row>
    <row r="287" ht="33.95" customHeight="1" s="37">
      <c r="A287" s="551" t="n"/>
      <c r="B287" s="124">
        <f>B286+1</f>
        <v/>
      </c>
      <c r="C287" s="123" t="inlineStr">
        <is>
          <t>T</t>
        </is>
      </c>
      <c r="D287" s="471" t="n"/>
      <c r="G287" s="471" t="n"/>
      <c r="H287" s="471" t="n"/>
      <c r="I287" s="471" t="n"/>
      <c r="J287" s="24" t="n"/>
      <c r="K287" s="25" t="n"/>
      <c r="L287" s="517" t="n"/>
      <c r="N287" s="262" t="n"/>
      <c r="O287" s="122">
        <f>'0分'!D284</f>
        <v/>
      </c>
      <c r="U287" s="530" t="n"/>
      <c r="Z287" s="464" t="n"/>
      <c r="AA287" s="464" t="n"/>
      <c r="AB287" s="464" t="n"/>
    </row>
    <row r="288" ht="33.95" customHeight="1" s="37">
      <c r="A288" s="552" t="n"/>
      <c r="B288" s="124">
        <f>B287+1</f>
        <v/>
      </c>
      <c r="C288" s="123" t="inlineStr">
        <is>
          <t>W</t>
        </is>
      </c>
      <c r="D288" s="471" t="n"/>
      <c r="N288" s="261" t="n"/>
      <c r="O288" s="122">
        <f>'0分'!D285</f>
        <v/>
      </c>
      <c r="U288" s="530" t="n"/>
    </row>
    <row r="289" ht="33.95" customHeight="1" s="37">
      <c r="A289" s="462">
        <f>A282+0.1</f>
        <v/>
      </c>
      <c r="B289" s="124">
        <f>B288+1</f>
        <v/>
      </c>
      <c r="C289" s="123" t="inlineStr">
        <is>
          <t>Th</t>
        </is>
      </c>
      <c r="D289" s="471" t="n"/>
      <c r="N289" s="261" t="n"/>
      <c r="O289" s="122">
        <f>'0分'!D286</f>
        <v/>
      </c>
      <c r="U289" s="530" t="n"/>
      <c r="X289" s="465" t="n"/>
    </row>
    <row r="290" ht="33.95" customHeight="1" s="37">
      <c r="A290" s="551" t="n"/>
      <c r="B290" s="124">
        <f>B289+1</f>
        <v/>
      </c>
      <c r="C290" s="123" t="inlineStr">
        <is>
          <t>F</t>
        </is>
      </c>
      <c r="D290" s="471" t="n"/>
      <c r="N290" s="261" t="n"/>
      <c r="O290" s="122">
        <f>'0分'!D287</f>
        <v/>
      </c>
      <c r="U290" s="530" t="n"/>
      <c r="AD290" s="466" t="n"/>
    </row>
    <row r="291" ht="33.95" customHeight="1" s="37">
      <c r="A291" s="551" t="n"/>
      <c r="B291" s="124">
        <f>B290+1</f>
        <v/>
      </c>
      <c r="C291" s="123" t="inlineStr">
        <is>
          <t>S</t>
        </is>
      </c>
      <c r="D291" s="471" t="n"/>
      <c r="G291" s="471" t="n"/>
      <c r="H291" s="471" t="n"/>
      <c r="I291" s="471" t="n"/>
      <c r="J291" s="24" t="n"/>
      <c r="K291" s="24" t="n"/>
      <c r="L291" s="517" t="n"/>
      <c r="N291" s="262" t="n"/>
      <c r="O291" s="122">
        <f>'0分'!D288</f>
        <v/>
      </c>
      <c r="U291" s="530" t="n"/>
      <c r="AD291" s="303" t="n"/>
      <c r="AE291" s="303" t="n"/>
      <c r="AF291" s="325" t="n"/>
      <c r="AG291" s="303" t="n"/>
      <c r="AH291" s="303" t="n"/>
      <c r="AI291" s="303" t="n"/>
    </row>
    <row r="292" ht="33.95" customHeight="1" s="37">
      <c r="A292" s="551" t="n"/>
      <c r="B292" s="124">
        <f>B291+1</f>
        <v/>
      </c>
      <c r="C292" s="123" t="inlineStr">
        <is>
          <t>S</t>
        </is>
      </c>
      <c r="D292" s="471" t="n"/>
      <c r="N292" s="261" t="n"/>
      <c r="O292" s="122">
        <f>'0分'!D289</f>
        <v/>
      </c>
      <c r="U292" s="530" t="n"/>
      <c r="AD292" s="467" t="n"/>
    </row>
    <row r="293" ht="33.95" customHeight="1" s="37">
      <c r="A293" s="551" t="n"/>
      <c r="B293" s="124">
        <f>B292+1</f>
        <v/>
      </c>
      <c r="C293" s="123" t="inlineStr">
        <is>
          <t>M</t>
        </is>
      </c>
      <c r="D293" s="471" t="n"/>
      <c r="N293" s="261" t="n"/>
      <c r="O293" s="122">
        <f>'0分'!D290</f>
        <v/>
      </c>
      <c r="U293" s="530" t="n"/>
    </row>
    <row r="294" ht="33.95" customHeight="1" s="37">
      <c r="A294" s="551" t="n"/>
      <c r="B294" s="124">
        <f>B293+1</f>
        <v/>
      </c>
      <c r="C294" s="123" t="inlineStr">
        <is>
          <t>T</t>
        </is>
      </c>
      <c r="D294" s="471" t="n"/>
      <c r="N294" s="261" t="n"/>
      <c r="O294" s="122">
        <f>'0分'!D291</f>
        <v/>
      </c>
      <c r="U294" s="530" t="n"/>
      <c r="Z294" s="464" t="n"/>
      <c r="AA294" s="464" t="n"/>
      <c r="AB294" s="464" t="n"/>
    </row>
    <row r="295" ht="33.95" customHeight="1" s="37">
      <c r="A295" s="552" t="n"/>
      <c r="B295" s="124">
        <f>B294+1</f>
        <v/>
      </c>
      <c r="C295" s="123" t="inlineStr">
        <is>
          <t>W</t>
        </is>
      </c>
      <c r="D295" s="471" t="n"/>
      <c r="N295" s="261" t="n"/>
      <c r="O295" s="122">
        <f>'0分'!D292</f>
        <v/>
      </c>
      <c r="U295" s="530" t="n"/>
    </row>
    <row r="296" ht="33.95" customHeight="1" s="37">
      <c r="A296" s="462">
        <f>A289+0.1</f>
        <v/>
      </c>
      <c r="B296" s="124">
        <f>B295+1</f>
        <v/>
      </c>
      <c r="C296" s="123" t="inlineStr">
        <is>
          <t>Th</t>
        </is>
      </c>
      <c r="D296" s="471" t="n"/>
      <c r="N296" s="261" t="n"/>
      <c r="O296" s="122">
        <f>'0分'!D293</f>
        <v/>
      </c>
      <c r="U296" s="530" t="n"/>
      <c r="X296" s="471" t="n"/>
    </row>
    <row r="297" ht="33.95" customHeight="1" s="37">
      <c r="A297" s="551" t="n"/>
      <c r="B297" s="124">
        <f>B296+1</f>
        <v/>
      </c>
      <c r="C297" s="123" t="inlineStr">
        <is>
          <t>F</t>
        </is>
      </c>
      <c r="D297" s="471" t="n"/>
      <c r="N297" s="261" t="n"/>
      <c r="O297" s="122">
        <f>'0分'!D294</f>
        <v/>
      </c>
      <c r="U297" s="530" t="n"/>
    </row>
    <row r="298" ht="33.95" customHeight="1" s="37">
      <c r="A298" s="551" t="n"/>
      <c r="B298" s="124">
        <f>B297+1</f>
        <v/>
      </c>
      <c r="C298" s="123" t="inlineStr">
        <is>
          <t>S</t>
        </is>
      </c>
      <c r="D298" s="471" t="n"/>
      <c r="N298" s="261" t="n"/>
      <c r="O298" s="122">
        <f>'0分'!D295</f>
        <v/>
      </c>
      <c r="U298" s="530" t="n"/>
    </row>
    <row r="299" ht="33.95" customHeight="1" s="37">
      <c r="A299" s="551" t="n"/>
      <c r="B299" s="124">
        <f>B298+1</f>
        <v/>
      </c>
      <c r="C299" s="123" t="inlineStr">
        <is>
          <t>S</t>
        </is>
      </c>
      <c r="D299" s="471" t="n"/>
      <c r="N299" s="261" t="n"/>
      <c r="O299" s="122">
        <f>'0分'!D296</f>
        <v/>
      </c>
      <c r="U299" s="530" t="n"/>
    </row>
    <row r="300" ht="33.95" customHeight="1" s="37">
      <c r="A300" s="551" t="n"/>
      <c r="B300" s="124">
        <f>B299+1</f>
        <v/>
      </c>
      <c r="C300" s="123" t="inlineStr">
        <is>
          <t>M</t>
        </is>
      </c>
      <c r="D300" s="471" t="n"/>
      <c r="N300" s="261" t="n"/>
      <c r="O300" s="122">
        <f>'0分'!D297</f>
        <v/>
      </c>
      <c r="U300" s="530" t="n"/>
    </row>
    <row r="301" ht="33.95" customHeight="1" s="37">
      <c r="A301" s="551" t="n"/>
      <c r="B301" s="124">
        <f>B300+1</f>
        <v/>
      </c>
      <c r="C301" s="123" t="inlineStr">
        <is>
          <t>T</t>
        </is>
      </c>
      <c r="D301" s="471" t="n"/>
      <c r="N301" s="261" t="n"/>
      <c r="O301" s="122">
        <f>'0分'!D298</f>
        <v/>
      </c>
      <c r="U301" s="530" t="n"/>
      <c r="Z301" s="464" t="n"/>
      <c r="AA301" s="464" t="n"/>
      <c r="AB301" s="463" t="n"/>
    </row>
    <row r="302" ht="33.95" customHeight="1" s="37">
      <c r="A302" s="552" t="n"/>
      <c r="B302" s="124">
        <f>B301+1</f>
        <v/>
      </c>
      <c r="C302" s="123" t="inlineStr">
        <is>
          <t>W</t>
        </is>
      </c>
      <c r="D302" s="471" t="n"/>
      <c r="N302" s="261" t="n"/>
      <c r="O302" s="122">
        <f>'0分'!D299</f>
        <v/>
      </c>
      <c r="U302" s="530" t="n"/>
    </row>
    <row r="303" ht="33.95" customHeight="1" s="37">
      <c r="A303" s="462">
        <f>A275+1</f>
        <v/>
      </c>
      <c r="B303" s="124">
        <f>B302+1</f>
        <v/>
      </c>
      <c r="C303" s="123" t="inlineStr">
        <is>
          <t>Th</t>
        </is>
      </c>
      <c r="D303" s="471" t="n"/>
      <c r="N303" s="261" t="n"/>
      <c r="O303" s="122">
        <f>'0分'!D300</f>
        <v/>
      </c>
      <c r="U303" s="530" t="n"/>
      <c r="X303" s="471" t="n"/>
    </row>
    <row r="304" ht="33.95" customHeight="1" s="37">
      <c r="A304" s="551" t="n"/>
      <c r="B304" s="124">
        <f>B303+1</f>
        <v/>
      </c>
      <c r="C304" s="123" t="inlineStr">
        <is>
          <t>F</t>
        </is>
      </c>
      <c r="D304" s="471" t="n"/>
      <c r="N304" s="261" t="n"/>
      <c r="O304" s="122">
        <f>'0分'!D301</f>
        <v/>
      </c>
      <c r="U304" s="530" t="n"/>
    </row>
    <row r="305" ht="33.95" customHeight="1" s="37">
      <c r="A305" s="551" t="n"/>
      <c r="B305" s="124">
        <f>B304+1</f>
        <v/>
      </c>
      <c r="C305" s="123" t="inlineStr">
        <is>
          <t>S</t>
        </is>
      </c>
      <c r="D305" s="471" t="n"/>
      <c r="N305" s="261" t="n"/>
      <c r="O305" s="122">
        <f>'0分'!D302</f>
        <v/>
      </c>
      <c r="U305" s="530" t="n"/>
    </row>
    <row r="306" ht="33.95" customHeight="1" s="37">
      <c r="A306" s="551" t="n"/>
      <c r="B306" s="124">
        <f>B305+1</f>
        <v/>
      </c>
      <c r="C306" s="123" t="inlineStr">
        <is>
          <t>S</t>
        </is>
      </c>
      <c r="D306" s="471" t="n"/>
      <c r="N306" s="261" t="n"/>
      <c r="O306" s="122">
        <f>'0分'!D303</f>
        <v/>
      </c>
      <c r="U306" s="530" t="n"/>
    </row>
    <row r="307" ht="33.95" customHeight="1" s="37">
      <c r="A307" s="551" t="n"/>
      <c r="B307" s="124">
        <f>B306+1</f>
        <v/>
      </c>
      <c r="C307" s="123" t="inlineStr">
        <is>
          <t>M</t>
        </is>
      </c>
      <c r="D307" s="471" t="n"/>
      <c r="G307" s="57" t="n"/>
      <c r="N307" s="261" t="n"/>
      <c r="O307" s="122">
        <f>'0分'!D304</f>
        <v/>
      </c>
      <c r="U307" s="530" t="n"/>
    </row>
    <row r="308" ht="33.95" customHeight="1" s="37">
      <c r="A308" s="551" t="n"/>
      <c r="B308" s="124">
        <f>B307+1</f>
        <v/>
      </c>
      <c r="C308" s="123" t="inlineStr">
        <is>
          <t>T</t>
        </is>
      </c>
      <c r="D308" s="471" t="n"/>
      <c r="N308" s="263" t="n"/>
      <c r="O308" s="122">
        <f>'0分'!D305</f>
        <v/>
      </c>
      <c r="U308" s="530" t="n"/>
      <c r="Z308" s="464" t="n"/>
      <c r="AA308" s="464" t="n"/>
      <c r="AB308" s="463" t="n"/>
    </row>
    <row r="309" ht="33.95" customHeight="1" s="37">
      <c r="A309" s="552" t="n"/>
      <c r="B309" s="124">
        <f>B308+1</f>
        <v/>
      </c>
      <c r="C309" s="123" t="inlineStr">
        <is>
          <t>W</t>
        </is>
      </c>
      <c r="D309" s="471" t="n"/>
      <c r="N309" s="261" t="n"/>
      <c r="O309" s="122">
        <f>'0分'!D306</f>
        <v/>
      </c>
      <c r="U309" s="530" t="n"/>
    </row>
    <row r="310" ht="33.95" customHeight="1" s="37">
      <c r="A310" s="462">
        <f>A303+0.1</f>
        <v/>
      </c>
      <c r="B310" s="124">
        <f>B309+1</f>
        <v/>
      </c>
      <c r="C310" s="123" t="inlineStr">
        <is>
          <t>Th</t>
        </is>
      </c>
      <c r="D310" s="471" t="n"/>
      <c r="N310" s="261" t="n"/>
      <c r="O310" s="122">
        <f>'0分'!D307</f>
        <v/>
      </c>
      <c r="U310" s="530" t="n"/>
      <c r="X310" s="471" t="n"/>
    </row>
    <row r="311" ht="33.95" customHeight="1" s="37">
      <c r="A311" s="551" t="n"/>
      <c r="B311" s="124">
        <f>B310+1</f>
        <v/>
      </c>
      <c r="C311" s="123" t="inlineStr">
        <is>
          <t>F</t>
        </is>
      </c>
      <c r="D311" s="471" t="n"/>
      <c r="N311" s="261" t="n"/>
      <c r="O311" s="122">
        <f>'0分'!D308</f>
        <v/>
      </c>
      <c r="U311" s="530" t="n"/>
    </row>
    <row r="312" ht="33.95" customHeight="1" s="37">
      <c r="A312" s="551" t="n"/>
      <c r="B312" s="124">
        <f>B311+1</f>
        <v/>
      </c>
      <c r="C312" s="123" t="inlineStr">
        <is>
          <t>S</t>
        </is>
      </c>
      <c r="D312" s="471" t="n"/>
      <c r="N312" s="261" t="n"/>
      <c r="O312" s="122">
        <f>'0分'!D309</f>
        <v/>
      </c>
      <c r="U312" s="530" t="n"/>
    </row>
    <row r="313" ht="33.95" customHeight="1" s="37">
      <c r="A313" s="551" t="n"/>
      <c r="B313" s="124">
        <f>B312+1</f>
        <v/>
      </c>
      <c r="C313" s="123" t="inlineStr">
        <is>
          <t>S</t>
        </is>
      </c>
      <c r="D313" s="471" t="n"/>
      <c r="N313" s="261" t="n"/>
      <c r="O313" s="122">
        <f>'0分'!D310</f>
        <v/>
      </c>
      <c r="U313" s="530" t="n"/>
    </row>
    <row r="314" ht="33.95" customHeight="1" s="37">
      <c r="A314" s="551" t="n"/>
      <c r="B314" s="124">
        <f>B313+1</f>
        <v/>
      </c>
      <c r="C314" s="123" t="inlineStr">
        <is>
          <t>M</t>
        </is>
      </c>
      <c r="D314" s="471" t="n"/>
      <c r="N314" s="261" t="n"/>
      <c r="O314" s="122">
        <f>'0分'!D311</f>
        <v/>
      </c>
      <c r="U314" s="530" t="n"/>
    </row>
    <row r="315" ht="33.95" customHeight="1" s="37">
      <c r="A315" s="551" t="n"/>
      <c r="B315" s="124">
        <f>B314+1</f>
        <v/>
      </c>
      <c r="C315" s="123" t="inlineStr">
        <is>
          <t>T</t>
        </is>
      </c>
      <c r="D315" s="471" t="n"/>
      <c r="N315" s="261" t="n"/>
      <c r="O315" s="122">
        <f>'0分'!D312</f>
        <v/>
      </c>
      <c r="U315" s="530" t="n"/>
      <c r="Z315" s="464" t="n"/>
      <c r="AA315" s="464" t="n"/>
      <c r="AB315" s="464" t="n"/>
    </row>
    <row r="316" ht="33.95" customHeight="1" s="37">
      <c r="A316" s="552" t="n"/>
      <c r="B316" s="124">
        <f>B315+1</f>
        <v/>
      </c>
      <c r="C316" s="123" t="inlineStr">
        <is>
          <t>W</t>
        </is>
      </c>
      <c r="D316" s="471" t="n"/>
      <c r="N316" s="261" t="n"/>
      <c r="O316" s="122">
        <f>'0分'!D313</f>
        <v/>
      </c>
      <c r="U316" s="530" t="n"/>
    </row>
    <row r="317" ht="33.95" customHeight="1" s="37">
      <c r="A317" s="462">
        <f>A310+0.1</f>
        <v/>
      </c>
      <c r="B317" s="124">
        <f>B316+1</f>
        <v/>
      </c>
      <c r="C317" s="123" t="inlineStr">
        <is>
          <t>Th</t>
        </is>
      </c>
      <c r="D317" s="471" t="n"/>
      <c r="N317" s="261" t="n"/>
      <c r="O317" s="122">
        <f>'0分'!D314</f>
        <v/>
      </c>
      <c r="U317" s="530" t="n"/>
      <c r="X317" s="471" t="n"/>
    </row>
    <row r="318" ht="33.95" customHeight="1" s="37">
      <c r="A318" s="551" t="n"/>
      <c r="B318" s="124">
        <f>B317+1</f>
        <v/>
      </c>
      <c r="C318" s="123" t="inlineStr">
        <is>
          <t>F</t>
        </is>
      </c>
      <c r="D318" s="471" t="n"/>
      <c r="N318" s="261" t="n"/>
      <c r="O318" s="122">
        <f>'0分'!D315</f>
        <v/>
      </c>
      <c r="U318" s="530" t="n"/>
    </row>
    <row r="319" ht="33.95" customHeight="1" s="37">
      <c r="A319" s="551" t="n"/>
      <c r="B319" s="124">
        <f>B318+1</f>
        <v/>
      </c>
      <c r="C319" s="126" t="inlineStr">
        <is>
          <t>S</t>
        </is>
      </c>
      <c r="D319" s="471" t="n"/>
      <c r="J319" s="127" t="n"/>
      <c r="K319" s="127" t="n"/>
      <c r="L319" s="38" t="n"/>
      <c r="M319" s="38" t="n"/>
      <c r="N319" s="261" t="n"/>
      <c r="O319" s="122">
        <f>'0分'!D316</f>
        <v/>
      </c>
      <c r="U319" s="530" t="n"/>
    </row>
    <row r="320" ht="33.95" customHeight="1" s="37">
      <c r="A320" s="551" t="n"/>
      <c r="B320" s="124">
        <f>B319+1</f>
        <v/>
      </c>
      <c r="C320" s="126" t="inlineStr">
        <is>
          <t>S</t>
        </is>
      </c>
      <c r="D320" s="471" t="n"/>
      <c r="N320" s="261" t="n"/>
      <c r="O320" s="122">
        <f>'0分'!D317</f>
        <v/>
      </c>
      <c r="U320" s="530" t="n"/>
    </row>
    <row r="321" ht="33.95" customHeight="1" s="37">
      <c r="A321" s="551" t="n"/>
      <c r="B321" s="124">
        <f>B320+1</f>
        <v/>
      </c>
      <c r="C321" s="126" t="inlineStr">
        <is>
          <t>M</t>
        </is>
      </c>
      <c r="D321" s="471" t="n"/>
      <c r="N321" s="261" t="n"/>
      <c r="O321" s="122">
        <f>'0分'!D318</f>
        <v/>
      </c>
      <c r="U321" s="530" t="n"/>
    </row>
    <row r="322" ht="33.95" customHeight="1" s="37">
      <c r="A322" s="551" t="n"/>
      <c r="B322" s="124">
        <f>B321+1</f>
        <v/>
      </c>
      <c r="C322" s="126" t="inlineStr">
        <is>
          <t>T</t>
        </is>
      </c>
      <c r="D322" s="471" t="n"/>
      <c r="N322" s="261" t="n"/>
      <c r="O322" s="122">
        <f>'0分'!D319</f>
        <v/>
      </c>
      <c r="U322" s="530" t="n"/>
      <c r="Z322" s="464" t="n"/>
      <c r="AA322" s="464" t="n"/>
      <c r="AB322" s="463" t="n"/>
    </row>
    <row r="323" ht="33.95" customHeight="1" s="37">
      <c r="A323" s="552" t="n"/>
      <c r="B323" s="124">
        <f>B322+1</f>
        <v/>
      </c>
      <c r="C323" s="126" t="inlineStr">
        <is>
          <t>W</t>
        </is>
      </c>
      <c r="D323" s="471" t="n"/>
      <c r="J323" s="127" t="n"/>
      <c r="K323" s="127" t="n"/>
      <c r="M323" s="38" t="n"/>
      <c r="N323" s="261" t="n"/>
      <c r="O323" s="122">
        <f>'0分'!D320</f>
        <v/>
      </c>
      <c r="U323" s="530" t="n"/>
    </row>
    <row r="324" ht="33.95" customHeight="1" s="37">
      <c r="A324" s="462">
        <f>A317+0.1</f>
        <v/>
      </c>
      <c r="B324" s="124">
        <f>B323+1</f>
        <v/>
      </c>
      <c r="C324" s="126" t="inlineStr">
        <is>
          <t>Th</t>
        </is>
      </c>
      <c r="D324" s="471" t="n"/>
      <c r="N324" s="261" t="n"/>
      <c r="O324" s="122">
        <f>'0分'!D321</f>
        <v/>
      </c>
      <c r="U324" s="530" t="n"/>
      <c r="X324" s="471" t="n"/>
    </row>
    <row r="325" ht="33.95" customHeight="1" s="37">
      <c r="A325" s="551" t="n"/>
      <c r="B325" s="124">
        <f>B324+1</f>
        <v/>
      </c>
      <c r="C325" s="126" t="inlineStr">
        <is>
          <t>F</t>
        </is>
      </c>
      <c r="D325" s="471" t="n"/>
      <c r="N325" s="261" t="n"/>
      <c r="O325" s="122">
        <f>'0分'!D322</f>
        <v/>
      </c>
      <c r="U325" s="530" t="n"/>
      <c r="AD325" s="466" t="n"/>
    </row>
    <row r="326" ht="33.95" customHeight="1" s="37">
      <c r="A326" s="551" t="n"/>
      <c r="B326" s="124">
        <f>B325+1</f>
        <v/>
      </c>
      <c r="C326" s="126" t="inlineStr">
        <is>
          <t>S</t>
        </is>
      </c>
      <c r="D326" s="471" t="n"/>
      <c r="N326" s="261" t="n"/>
      <c r="O326" s="122">
        <f>'0分'!D323</f>
        <v/>
      </c>
      <c r="U326" s="530" t="n"/>
      <c r="AD326" s="303" t="n"/>
      <c r="AE326" s="303" t="n"/>
      <c r="AF326" s="325" t="n"/>
      <c r="AG326" s="303" t="n"/>
      <c r="AH326" s="303" t="n"/>
      <c r="AI326" s="303" t="n"/>
    </row>
    <row r="327" ht="33.95" customHeight="1" s="37">
      <c r="A327" s="551" t="n"/>
      <c r="B327" s="124">
        <f>B326+1</f>
        <v/>
      </c>
      <c r="C327" s="126" t="inlineStr">
        <is>
          <t>S</t>
        </is>
      </c>
      <c r="D327" s="471" t="n"/>
      <c r="N327" s="261" t="n"/>
      <c r="O327" s="122">
        <f>'0分'!D324</f>
        <v/>
      </c>
      <c r="U327" s="530" t="n"/>
      <c r="AD327" s="468" t="n"/>
    </row>
    <row r="328" ht="33.95" customHeight="1" s="37">
      <c r="A328" s="551" t="n"/>
      <c r="B328" s="124">
        <f>B327+1</f>
        <v/>
      </c>
      <c r="C328" s="123" t="inlineStr">
        <is>
          <t>M</t>
        </is>
      </c>
      <c r="D328" s="471" t="n"/>
      <c r="N328" s="261" t="n"/>
      <c r="O328" s="122">
        <f>'0分'!D325</f>
        <v/>
      </c>
      <c r="U328" s="530" t="n"/>
    </row>
    <row r="329" ht="33.95" customHeight="1" s="37">
      <c r="A329" s="551" t="n"/>
      <c r="B329" s="124">
        <f>B328+1</f>
        <v/>
      </c>
      <c r="C329" s="123" t="inlineStr">
        <is>
          <t>T</t>
        </is>
      </c>
      <c r="D329" s="471" t="n"/>
      <c r="N329" s="261" t="n"/>
      <c r="O329" s="122">
        <f>'0分'!D326</f>
        <v/>
      </c>
      <c r="U329" s="530" t="n"/>
      <c r="Z329" s="464" t="n"/>
      <c r="AA329" s="464" t="n"/>
      <c r="AB329" s="463" t="n"/>
    </row>
    <row r="330" ht="33.95" customHeight="1" s="37">
      <c r="A330" s="552" t="n"/>
      <c r="B330" s="124">
        <f>B329+1</f>
        <v/>
      </c>
      <c r="C330" s="123" t="inlineStr">
        <is>
          <t>W</t>
        </is>
      </c>
      <c r="D330" s="471" t="n"/>
      <c r="N330" s="261" t="n"/>
      <c r="O330" s="122">
        <f>'0分'!D327</f>
        <v/>
      </c>
      <c r="U330" s="530" t="n"/>
    </row>
    <row r="331" ht="33.95" customHeight="1" s="37">
      <c r="A331" s="462">
        <f>A303+1</f>
        <v/>
      </c>
      <c r="B331" s="124">
        <f>B330+1</f>
        <v/>
      </c>
      <c r="C331" s="123" t="inlineStr">
        <is>
          <t>Th</t>
        </is>
      </c>
      <c r="D331" s="471" t="n"/>
      <c r="N331" s="261" t="n"/>
      <c r="O331" s="122">
        <f>'0分'!D328</f>
        <v/>
      </c>
      <c r="U331" s="530" t="n"/>
      <c r="X331" s="465" t="n"/>
    </row>
    <row r="332" ht="33.95" customHeight="1" s="37">
      <c r="A332" s="551" t="n"/>
      <c r="B332" s="124">
        <f>B331+1</f>
        <v/>
      </c>
      <c r="C332" s="123" t="inlineStr">
        <is>
          <t>F</t>
        </is>
      </c>
      <c r="D332" s="471" t="n"/>
      <c r="N332" s="261" t="n"/>
      <c r="O332" s="122">
        <f>'0分'!D329</f>
        <v/>
      </c>
      <c r="U332" s="530" t="n"/>
    </row>
    <row r="333" ht="33.95" customHeight="1" s="37">
      <c r="A333" s="551" t="n"/>
      <c r="B333" s="124">
        <f>B332+1</f>
        <v/>
      </c>
      <c r="C333" s="123" t="inlineStr">
        <is>
          <t>S</t>
        </is>
      </c>
      <c r="D333" s="471" t="n"/>
      <c r="N333" s="261" t="n"/>
      <c r="O333" s="122">
        <f>'0分'!D330</f>
        <v/>
      </c>
      <c r="U333" s="530" t="n"/>
    </row>
    <row r="334" ht="33.95" customHeight="1" s="37">
      <c r="A334" s="551" t="n"/>
      <c r="B334" s="124">
        <f>B333+1</f>
        <v/>
      </c>
      <c r="C334" s="123" t="inlineStr">
        <is>
          <t>S</t>
        </is>
      </c>
      <c r="D334" s="471" t="n"/>
      <c r="N334" s="261" t="n"/>
      <c r="O334" s="122">
        <f>'0分'!D331</f>
        <v/>
      </c>
      <c r="U334" s="530" t="n"/>
    </row>
    <row r="335" ht="33.95" customHeight="1" s="37">
      <c r="A335" s="551" t="n"/>
      <c r="B335" s="124">
        <f>B334+1</f>
        <v/>
      </c>
      <c r="C335" s="123" t="inlineStr">
        <is>
          <t>M</t>
        </is>
      </c>
      <c r="D335" s="471" t="n"/>
      <c r="J335" s="127" t="n"/>
      <c r="K335" s="127" t="n"/>
      <c r="L335" s="38" t="n"/>
      <c r="M335" s="38" t="n"/>
      <c r="N335" s="261" t="n"/>
      <c r="O335" s="122">
        <f>'0分'!D332</f>
        <v/>
      </c>
      <c r="U335" s="530" t="n"/>
    </row>
    <row r="336" ht="33.95" customHeight="1" s="37">
      <c r="A336" s="551" t="n"/>
      <c r="B336" s="124">
        <f>B335+1</f>
        <v/>
      </c>
      <c r="C336" s="123" t="inlineStr">
        <is>
          <t>T</t>
        </is>
      </c>
      <c r="D336" s="471" t="n"/>
      <c r="N336" s="261" t="n"/>
      <c r="O336" s="122">
        <f>'0分'!D333</f>
        <v/>
      </c>
      <c r="U336" s="530" t="n"/>
      <c r="Z336" s="464" t="n"/>
      <c r="AA336" s="464" t="n"/>
      <c r="AB336" s="464" t="n"/>
    </row>
    <row r="337" ht="33.95" customHeight="1" s="37">
      <c r="A337" s="552" t="n"/>
      <c r="B337" s="124">
        <f>B336+1</f>
        <v/>
      </c>
      <c r="C337" s="123" t="inlineStr">
        <is>
          <t>W</t>
        </is>
      </c>
      <c r="D337" s="471" t="n"/>
      <c r="N337" s="261" t="n"/>
      <c r="O337" s="122">
        <f>'0分'!D334</f>
        <v/>
      </c>
      <c r="U337" s="530" t="n"/>
    </row>
    <row r="338" ht="33.95" customHeight="1" s="37">
      <c r="A338" s="462">
        <f>A331+0.1</f>
        <v/>
      </c>
      <c r="B338" s="124">
        <f>B337+1</f>
        <v/>
      </c>
      <c r="C338" s="123" t="inlineStr">
        <is>
          <t>Th</t>
        </is>
      </c>
      <c r="D338" s="471" t="n"/>
      <c r="N338" s="261" t="n"/>
      <c r="O338" s="122">
        <f>'0分'!D335</f>
        <v/>
      </c>
      <c r="U338" s="530" t="n"/>
      <c r="X338" s="471" t="n"/>
    </row>
    <row r="339" ht="33.95" customHeight="1" s="37">
      <c r="A339" s="551" t="n"/>
      <c r="B339" s="124">
        <f>B338+1</f>
        <v/>
      </c>
      <c r="C339" s="123" t="inlineStr">
        <is>
          <t>F</t>
        </is>
      </c>
      <c r="D339" s="471" t="n"/>
      <c r="N339" s="261" t="n"/>
      <c r="O339" s="122">
        <f>'0分'!D336</f>
        <v/>
      </c>
      <c r="U339" s="530" t="n"/>
    </row>
    <row r="340" ht="33.95" customHeight="1" s="37">
      <c r="A340" s="551" t="n"/>
      <c r="B340" s="124">
        <f>B339+1</f>
        <v/>
      </c>
      <c r="C340" s="123" t="inlineStr">
        <is>
          <t>S</t>
        </is>
      </c>
      <c r="D340" s="471" t="n"/>
      <c r="N340" s="261" t="n"/>
      <c r="O340" s="122">
        <f>'0分'!D337</f>
        <v/>
      </c>
      <c r="U340" s="530" t="n"/>
    </row>
    <row r="341" ht="33.95" customHeight="1" s="37">
      <c r="A341" s="551" t="n"/>
      <c r="B341" s="124">
        <f>B340+1</f>
        <v/>
      </c>
      <c r="C341" s="123" t="inlineStr">
        <is>
          <t>S</t>
        </is>
      </c>
      <c r="D341" s="471" t="n"/>
      <c r="N341" s="261" t="n"/>
      <c r="O341" s="122">
        <f>'0分'!D338</f>
        <v/>
      </c>
      <c r="U341" s="530" t="n"/>
    </row>
    <row r="342" ht="33.95" customHeight="1" s="37">
      <c r="A342" s="551" t="n"/>
      <c r="B342" s="124">
        <f>B341+1</f>
        <v/>
      </c>
      <c r="C342" s="123" t="inlineStr">
        <is>
          <t>M</t>
        </is>
      </c>
      <c r="D342" s="471" t="n"/>
      <c r="N342" s="261" t="n"/>
      <c r="O342" s="122">
        <f>'0分'!D339</f>
        <v/>
      </c>
      <c r="U342" s="530" t="n"/>
    </row>
    <row r="343" ht="33.95" customHeight="1" s="37">
      <c r="A343" s="551" t="n"/>
      <c r="B343" s="124">
        <f>B342+1</f>
        <v/>
      </c>
      <c r="C343" s="123" t="inlineStr">
        <is>
          <t>T</t>
        </is>
      </c>
      <c r="D343" s="471" t="n"/>
      <c r="N343" s="261" t="n"/>
      <c r="O343" s="122">
        <f>'0分'!D340</f>
        <v/>
      </c>
      <c r="U343" s="530" t="n"/>
      <c r="Z343" s="464" t="n"/>
      <c r="AA343" s="464" t="n"/>
      <c r="AB343" s="464" t="n"/>
      <c r="AD343" s="466" t="n"/>
    </row>
    <row r="344" ht="33.95" customHeight="1" s="37">
      <c r="A344" s="552" t="n"/>
      <c r="B344" s="124">
        <f>B343+1</f>
        <v/>
      </c>
      <c r="C344" s="123" t="inlineStr">
        <is>
          <t>W</t>
        </is>
      </c>
      <c r="D344" s="471" t="n"/>
      <c r="N344" s="261" t="n"/>
      <c r="O344" s="122">
        <f>'0分'!D341</f>
        <v/>
      </c>
      <c r="U344" s="530" t="n"/>
      <c r="AD344" s="303" t="n"/>
      <c r="AE344" s="303" t="n"/>
      <c r="AF344" s="325" t="n"/>
      <c r="AG344" s="303" t="n"/>
      <c r="AH344" s="303" t="n"/>
      <c r="AI344" s="303" t="n"/>
    </row>
    <row r="345" ht="33.95" customHeight="1" s="37">
      <c r="A345" s="462">
        <f>A338+0.1</f>
        <v/>
      </c>
      <c r="B345" s="124">
        <f>B344+1</f>
        <v/>
      </c>
      <c r="C345" s="123" t="inlineStr">
        <is>
          <t>Th</t>
        </is>
      </c>
      <c r="D345" s="471" t="n"/>
      <c r="N345" s="261" t="n"/>
      <c r="O345" s="122">
        <f>'0分'!D342</f>
        <v/>
      </c>
      <c r="U345" s="530" t="n"/>
      <c r="X345" s="471" t="n"/>
      <c r="AD345" s="467" t="n"/>
    </row>
    <row r="346" ht="33.95" customHeight="1" s="37">
      <c r="A346" s="551" t="n"/>
      <c r="B346" s="125">
        <f>B345+1</f>
        <v/>
      </c>
      <c r="C346" s="123" t="inlineStr">
        <is>
          <t>F</t>
        </is>
      </c>
      <c r="D346" s="471" t="n"/>
      <c r="N346" s="261" t="n"/>
      <c r="O346" s="122">
        <f>'0分'!D343</f>
        <v/>
      </c>
      <c r="U346" s="530" t="n"/>
    </row>
    <row r="347" ht="33.95" customHeight="1" s="37">
      <c r="A347" s="551" t="n"/>
      <c r="B347" s="124">
        <f>B346+1</f>
        <v/>
      </c>
      <c r="C347" s="123" t="inlineStr">
        <is>
          <t>S</t>
        </is>
      </c>
      <c r="D347" s="471" t="n"/>
      <c r="N347" s="261" t="n"/>
      <c r="O347" s="122">
        <f>'0分'!D344</f>
        <v/>
      </c>
      <c r="U347" s="530" t="n"/>
    </row>
    <row r="348" ht="33.95" customHeight="1" s="37">
      <c r="A348" s="551" t="n"/>
      <c r="B348" s="124">
        <f>B347+1</f>
        <v/>
      </c>
      <c r="C348" s="123" t="inlineStr">
        <is>
          <t>S</t>
        </is>
      </c>
      <c r="D348" s="471" t="n"/>
      <c r="N348" s="261" t="n"/>
      <c r="O348" s="122">
        <f>'0分'!D345</f>
        <v/>
      </c>
      <c r="U348" s="530" t="n"/>
    </row>
    <row r="349" ht="33.95" customHeight="1" s="37">
      <c r="A349" s="551" t="n"/>
      <c r="B349" s="124">
        <f>B348+1</f>
        <v/>
      </c>
      <c r="C349" s="123" t="inlineStr">
        <is>
          <t>M</t>
        </is>
      </c>
      <c r="D349" s="471" t="n"/>
      <c r="N349" s="261" t="n"/>
      <c r="O349" s="122">
        <f>'0分'!D346</f>
        <v/>
      </c>
      <c r="U349" s="530" t="n"/>
    </row>
    <row r="350" ht="33.95" customHeight="1" s="37">
      <c r="A350" s="551" t="n"/>
      <c r="B350" s="124">
        <f>B349+1</f>
        <v/>
      </c>
      <c r="C350" s="123" t="inlineStr">
        <is>
          <t>T</t>
        </is>
      </c>
      <c r="D350" s="471" t="n"/>
      <c r="N350" s="261" t="n"/>
      <c r="O350" s="122">
        <f>'0分'!D347</f>
        <v/>
      </c>
      <c r="U350" s="530" t="n"/>
      <c r="Z350" s="464" t="n"/>
      <c r="AA350" s="464" t="n"/>
      <c r="AB350" s="464" t="n"/>
    </row>
    <row r="351" ht="33.95" customHeight="1" s="37">
      <c r="A351" s="552" t="n"/>
      <c r="B351" s="124">
        <f>B350+1</f>
        <v/>
      </c>
      <c r="C351" s="123" t="inlineStr">
        <is>
          <t>W</t>
        </is>
      </c>
      <c r="D351" s="471" t="n"/>
      <c r="N351" s="261" t="n"/>
      <c r="O351" s="122">
        <f>'0分'!D348</f>
        <v/>
      </c>
      <c r="U351" s="530" t="n"/>
    </row>
    <row r="352" ht="33.95" customHeight="1" s="37">
      <c r="A352" s="462">
        <f>A345+0.1</f>
        <v/>
      </c>
      <c r="B352" s="124">
        <f>B351+1</f>
        <v/>
      </c>
      <c r="C352" s="123" t="inlineStr">
        <is>
          <t>Th</t>
        </is>
      </c>
      <c r="D352" s="471" t="n"/>
      <c r="N352" s="261" t="n"/>
      <c r="O352" s="122">
        <f>'0分'!D349</f>
        <v/>
      </c>
      <c r="U352" s="530" t="n"/>
      <c r="X352" s="471" t="n"/>
    </row>
    <row r="353" ht="33.95" customHeight="1" s="37">
      <c r="A353" s="551" t="n"/>
      <c r="B353" s="124">
        <f>B352+1</f>
        <v/>
      </c>
      <c r="C353" s="123" t="inlineStr">
        <is>
          <t>F</t>
        </is>
      </c>
      <c r="D353" s="471" t="n"/>
      <c r="N353" s="261" t="n"/>
      <c r="O353" s="122">
        <f>'0分'!D350</f>
        <v/>
      </c>
      <c r="U353" s="530" t="n"/>
    </row>
    <row r="354" ht="33.95" customHeight="1" s="37">
      <c r="A354" s="551" t="n"/>
      <c r="B354" s="124">
        <f>B353+1</f>
        <v/>
      </c>
      <c r="C354" s="123" t="inlineStr">
        <is>
          <t>S</t>
        </is>
      </c>
      <c r="D354" s="471" t="n"/>
      <c r="N354" s="261" t="n"/>
      <c r="O354" s="122">
        <f>'0分'!D351</f>
        <v/>
      </c>
      <c r="U354" s="530" t="n"/>
    </row>
    <row r="355" ht="33.95" customHeight="1" s="37">
      <c r="A355" s="551" t="n"/>
      <c r="B355" s="124">
        <f>B354+1</f>
        <v/>
      </c>
      <c r="C355" s="123" t="inlineStr">
        <is>
          <t>S</t>
        </is>
      </c>
      <c r="D355" s="471" t="n"/>
      <c r="N355" s="261" t="n"/>
      <c r="O355" s="122">
        <f>'0分'!D352</f>
        <v/>
      </c>
      <c r="U355" s="530" t="n"/>
    </row>
    <row r="356" ht="33.95" customHeight="1" s="37">
      <c r="A356" s="551" t="n"/>
      <c r="B356" s="124">
        <f>B355+1</f>
        <v/>
      </c>
      <c r="C356" s="123" t="inlineStr">
        <is>
          <t>M</t>
        </is>
      </c>
      <c r="D356" s="471" t="n"/>
      <c r="N356" s="261" t="n"/>
      <c r="O356" s="122">
        <f>'0分'!D353</f>
        <v/>
      </c>
      <c r="U356" s="530" t="n"/>
    </row>
    <row r="357" ht="33.95" customHeight="1" s="37">
      <c r="A357" s="551" t="n"/>
      <c r="B357" s="124">
        <f>B356+1</f>
        <v/>
      </c>
      <c r="C357" s="123" t="inlineStr">
        <is>
          <t>T</t>
        </is>
      </c>
      <c r="D357" s="471" t="n"/>
      <c r="N357" s="261" t="n"/>
      <c r="O357" s="122">
        <f>'0分'!D354</f>
        <v/>
      </c>
      <c r="U357" s="530" t="n"/>
      <c r="Z357" s="464" t="n"/>
      <c r="AA357" s="464" t="n"/>
      <c r="AB357" s="464" t="n"/>
    </row>
    <row r="358" ht="33.95" customHeight="1" s="37">
      <c r="A358" s="552" t="n"/>
      <c r="B358" s="124">
        <f>B357+1</f>
        <v/>
      </c>
      <c r="C358" s="123" t="inlineStr">
        <is>
          <t>W</t>
        </is>
      </c>
      <c r="D358" s="471" t="n"/>
      <c r="N358" s="261" t="n"/>
      <c r="O358" s="122">
        <f>'0分'!D355</f>
        <v/>
      </c>
      <c r="U358" s="530" t="n"/>
    </row>
    <row r="359" ht="33.95" customHeight="1" s="37">
      <c r="A359" s="462">
        <f>A352+0.1</f>
        <v/>
      </c>
      <c r="B359" s="124">
        <f>B358+1</f>
        <v/>
      </c>
      <c r="C359" s="123" t="inlineStr">
        <is>
          <t>Th</t>
        </is>
      </c>
      <c r="D359" s="471" t="n"/>
      <c r="N359" s="261" t="n"/>
      <c r="O359" s="122">
        <f>'0分'!D356</f>
        <v/>
      </c>
      <c r="U359" s="530" t="n"/>
      <c r="X359" s="471" t="n"/>
    </row>
    <row r="360" ht="33.95" customHeight="1" s="37">
      <c r="A360" s="551" t="n"/>
      <c r="B360" s="124">
        <f>B359+1</f>
        <v/>
      </c>
      <c r="C360" s="123" t="inlineStr">
        <is>
          <t>F</t>
        </is>
      </c>
      <c r="D360" s="471" t="n"/>
      <c r="N360" s="261" t="n"/>
      <c r="O360" s="122">
        <f>'0分'!D357</f>
        <v/>
      </c>
      <c r="U360" s="530" t="n"/>
    </row>
    <row r="361" ht="33.95" customHeight="1" s="37">
      <c r="A361" s="551" t="n"/>
      <c r="B361" s="124">
        <f>B360+1</f>
        <v/>
      </c>
      <c r="C361" s="123" t="inlineStr">
        <is>
          <t>S</t>
        </is>
      </c>
      <c r="D361" s="471" t="n"/>
      <c r="N361" s="261" t="n"/>
      <c r="O361" s="122">
        <f>'0分'!D358</f>
        <v/>
      </c>
      <c r="U361" s="530" t="n"/>
    </row>
    <row r="362" ht="33.95" customHeight="1" s="37">
      <c r="A362" s="551" t="n"/>
      <c r="B362" s="124">
        <f>B361+1</f>
        <v/>
      </c>
      <c r="C362" s="123" t="inlineStr">
        <is>
          <t>S</t>
        </is>
      </c>
      <c r="D362" s="471" t="n"/>
      <c r="N362" s="261" t="n"/>
      <c r="O362" s="122">
        <f>'0分'!D359</f>
        <v/>
      </c>
      <c r="U362" s="530" t="n"/>
    </row>
    <row r="363" ht="33.95" customHeight="1" s="37">
      <c r="A363" s="551" t="n"/>
      <c r="B363" s="124">
        <f>B362+1</f>
        <v/>
      </c>
      <c r="C363" s="123" t="inlineStr">
        <is>
          <t>M</t>
        </is>
      </c>
      <c r="D363" s="471" t="n"/>
      <c r="N363" s="261" t="n"/>
      <c r="O363" s="122">
        <f>'0分'!D360</f>
        <v/>
      </c>
      <c r="U363" s="530" t="n"/>
    </row>
    <row r="364" ht="33.95" customHeight="1" s="37">
      <c r="A364" s="551" t="n"/>
      <c r="B364" s="124">
        <f>B363+1</f>
        <v/>
      </c>
      <c r="C364" s="123" t="inlineStr">
        <is>
          <t>T</t>
        </is>
      </c>
      <c r="D364" s="471" t="n"/>
      <c r="J364" s="127" t="n"/>
      <c r="K364" s="127" t="n"/>
      <c r="L364" s="38" t="n"/>
      <c r="M364" s="38" t="n"/>
      <c r="N364" s="261" t="n"/>
      <c r="O364" s="122">
        <f>'0分'!D361</f>
        <v/>
      </c>
      <c r="U364" s="530" t="n"/>
      <c r="Z364" s="464" t="n"/>
      <c r="AA364" s="464" t="n"/>
      <c r="AB364" s="464" t="n"/>
    </row>
    <row r="365" ht="33.95" customHeight="1" s="37">
      <c r="A365" s="552" t="n"/>
      <c r="B365" s="124">
        <f>B364+1</f>
        <v/>
      </c>
      <c r="C365" s="123" t="inlineStr">
        <is>
          <t>W</t>
        </is>
      </c>
      <c r="D365" s="471" t="n"/>
      <c r="N365" s="261" t="n"/>
      <c r="O365" s="122">
        <f>'0分'!D362</f>
        <v/>
      </c>
      <c r="U365" s="530" t="n"/>
    </row>
    <row r="366" ht="33.95" customHeight="1" s="37">
      <c r="A366" s="480" t="n"/>
      <c r="B366" s="124">
        <f>B365+1</f>
        <v/>
      </c>
      <c r="C366" s="123" t="inlineStr">
        <is>
          <t>Th</t>
        </is>
      </c>
      <c r="D366" s="471" t="n"/>
      <c r="N366" s="261" t="n"/>
      <c r="O366" s="122">
        <f>'0分'!D363</f>
        <v/>
      </c>
      <c r="U366" s="530" t="n"/>
      <c r="X366" s="471" t="n"/>
    </row>
    <row r="367" ht="33.95" customHeight="1" s="37">
      <c r="A367" s="47" t="n"/>
      <c r="B367" s="124">
        <f>B366+1</f>
        <v/>
      </c>
      <c r="C367" s="123" t="inlineStr">
        <is>
          <t>F</t>
        </is>
      </c>
      <c r="D367" s="471" t="n"/>
      <c r="N367" s="261" t="n"/>
      <c r="O367" s="122">
        <f>'0分'!D364</f>
        <v/>
      </c>
      <c r="U367" s="530" t="n"/>
    </row>
    <row r="368" ht="33.95" customHeight="1" s="37">
      <c r="A368" s="47" t="n"/>
      <c r="B368" s="124">
        <f>B367+1</f>
        <v/>
      </c>
      <c r="C368" s="123" t="inlineStr">
        <is>
          <t>S</t>
        </is>
      </c>
      <c r="D368" s="471" t="n"/>
      <c r="N368" s="261" t="n"/>
      <c r="O368" s="122">
        <f>'0分'!D365</f>
        <v/>
      </c>
      <c r="U368" s="530" t="n"/>
    </row>
    <row r="369" ht="33.95" customHeight="1" s="37">
      <c r="A369" s="47" t="n"/>
      <c r="B369" s="124">
        <f>B368+1</f>
        <v/>
      </c>
      <c r="C369" s="123" t="inlineStr">
        <is>
          <t>S</t>
        </is>
      </c>
      <c r="D369" s="471" t="n"/>
      <c r="N369" s="261" t="n"/>
      <c r="O369" s="122">
        <f>'0分'!#REF!</f>
        <v/>
      </c>
      <c r="U369" s="530" t="n"/>
    </row>
    <row r="370" ht="33.95" customHeight="1" s="37">
      <c r="A370" s="47" t="n"/>
      <c r="B370" s="124">
        <f>B369+1</f>
        <v/>
      </c>
      <c r="C370" s="123" t="inlineStr">
        <is>
          <t>M</t>
        </is>
      </c>
      <c r="D370" s="471" t="n"/>
      <c r="N370" s="261" t="n"/>
      <c r="O370" s="122">
        <f>'0分'!#REF!</f>
        <v/>
      </c>
      <c r="U370" s="530" t="n"/>
    </row>
    <row r="371" ht="33.95" customHeight="1" s="37">
      <c r="A371" s="47" t="n"/>
      <c r="B371" s="124">
        <f>B370+1</f>
        <v/>
      </c>
      <c r="C371" s="123" t="inlineStr">
        <is>
          <t>T</t>
        </is>
      </c>
      <c r="D371" s="471" t="n"/>
      <c r="N371" s="261" t="n"/>
      <c r="O371" s="122">
        <f>'0分'!#REF!</f>
        <v/>
      </c>
      <c r="U371" s="530" t="n"/>
      <c r="Z371" s="464" t="n"/>
      <c r="AA371" s="464" t="n"/>
      <c r="AB371" s="464" t="n"/>
    </row>
    <row r="372" ht="33.95" customHeight="1" s="37">
      <c r="A372" s="47" t="n"/>
      <c r="B372" s="124">
        <f>B371+1</f>
        <v/>
      </c>
      <c r="C372" s="123" t="inlineStr">
        <is>
          <t>W</t>
        </is>
      </c>
      <c r="D372" s="471" t="n"/>
      <c r="N372" s="261" t="n"/>
      <c r="O372" s="122">
        <f>'0分'!#REF!</f>
        <v/>
      </c>
      <c r="U372" s="530" t="n"/>
    </row>
    <row r="373" ht="33.95" customHeight="1" s="37">
      <c r="A373" s="47" t="n"/>
      <c r="B373" s="124">
        <f>B372+1</f>
        <v/>
      </c>
      <c r="C373" s="123" t="inlineStr">
        <is>
          <t>Th</t>
        </is>
      </c>
      <c r="D373" s="471" t="n"/>
      <c r="N373" s="261" t="n"/>
      <c r="O373" s="122">
        <f>'0分'!#REF!</f>
        <v/>
      </c>
      <c r="U373" s="530" t="n"/>
      <c r="X373" s="450" t="n"/>
    </row>
    <row r="374" ht="33.95" customHeight="1" s="37">
      <c r="A374" s="47" t="n"/>
      <c r="B374" s="124">
        <f>B373+1</f>
        <v/>
      </c>
      <c r="C374" s="123" t="inlineStr">
        <is>
          <t>F</t>
        </is>
      </c>
      <c r="D374" s="471" t="n"/>
      <c r="N374" s="261" t="n"/>
      <c r="O374" s="122">
        <f>'0分'!#REF!</f>
        <v/>
      </c>
      <c r="U374" s="530" t="n"/>
      <c r="X374" s="450" t="n"/>
    </row>
    <row r="375" ht="33.95" customHeight="1" s="37">
      <c r="A375" s="47" t="n"/>
      <c r="B375" s="124">
        <f>B374+1</f>
        <v/>
      </c>
      <c r="C375" s="123" t="inlineStr">
        <is>
          <t>S</t>
        </is>
      </c>
      <c r="D375" s="471" t="n"/>
      <c r="N375" s="261" t="n"/>
      <c r="O375" s="122">
        <f>'0分'!#REF!</f>
        <v/>
      </c>
      <c r="U375" s="530" t="n"/>
      <c r="X375" s="450" t="n"/>
    </row>
    <row r="376" ht="33.95" customHeight="1" s="37">
      <c r="A376" s="47" t="n"/>
      <c r="B376" s="124">
        <f>B375+1</f>
        <v/>
      </c>
      <c r="C376" s="123" t="inlineStr">
        <is>
          <t>S</t>
        </is>
      </c>
      <c r="D376" s="471" t="n"/>
      <c r="N376" s="261" t="n"/>
      <c r="O376" s="122">
        <f>'0分'!#REF!</f>
        <v/>
      </c>
      <c r="U376" s="530" t="n"/>
      <c r="X376" s="450" t="n"/>
    </row>
    <row r="377" ht="33.95" customHeight="1" s="37">
      <c r="A377" s="47" t="n"/>
      <c r="B377" s="124">
        <f>B376+1</f>
        <v/>
      </c>
      <c r="C377" s="123" t="inlineStr">
        <is>
          <t>S</t>
        </is>
      </c>
      <c r="D377" s="471" t="n"/>
      <c r="N377" s="261" t="n"/>
      <c r="O377" s="122">
        <f>'0分'!#REF!</f>
        <v/>
      </c>
      <c r="U377" s="530" t="n"/>
      <c r="X377" s="450" t="n"/>
    </row>
    <row r="378" ht="17.1" customHeight="1" s="37">
      <c r="A378" s="47" t="n"/>
      <c r="B378" s="83" t="n"/>
      <c r="C378" s="83" t="n"/>
      <c r="D378" s="83" t="n"/>
      <c r="E378" s="83" t="n"/>
      <c r="F378" s="83" t="n"/>
      <c r="G378" s="83" t="n"/>
      <c r="H378" s="83" t="n"/>
      <c r="I378" s="83" t="n"/>
      <c r="J378" s="83" t="n"/>
      <c r="K378" s="187" t="n"/>
      <c r="L378" s="83" t="n"/>
      <c r="M378" s="83" t="n"/>
      <c r="N378" s="83" t="n"/>
      <c r="O378" s="83" t="n"/>
      <c r="P378" s="563" t="n"/>
      <c r="Q378" s="563" t="n"/>
      <c r="R378" s="563" t="n"/>
      <c r="S378" s="83" t="n"/>
      <c r="T378" s="83" t="n"/>
      <c r="U378" s="350" t="n"/>
      <c r="V378" s="563" t="n"/>
      <c r="W378" s="563" t="n"/>
      <c r="Z378" s="464" t="n"/>
      <c r="AA378" s="464" t="n"/>
      <c r="AB378" s="464" t="n"/>
    </row>
    <row r="379">
      <c r="A379" s="47" t="n"/>
      <c r="I379" s="445" t="inlineStr">
        <is>
          <t>Q1</t>
        </is>
      </c>
      <c r="J379" s="445">
        <f>SUM(J6:J96)</f>
        <v/>
      </c>
    </row>
    <row r="380">
      <c r="A380" s="47" t="n"/>
      <c r="K380" s="445">
        <f>SUM(K7:K97)</f>
        <v/>
      </c>
    </row>
    <row r="381">
      <c r="A381" s="47" t="n"/>
      <c r="L381" s="445">
        <f>SUM(L8:L98)</f>
        <v/>
      </c>
    </row>
    <row r="382">
      <c r="A382" s="47" t="n"/>
      <c r="I382" s="445" t="inlineStr">
        <is>
          <t>Q2</t>
        </is>
      </c>
      <c r="J382" s="445">
        <f>SUM(J9:J99)</f>
        <v/>
      </c>
    </row>
    <row r="383" ht="15.75" customHeight="1" s="37">
      <c r="A383" s="47" t="n"/>
      <c r="D383" s="450" t="inlineStr">
        <is>
          <t xml:space="preserve"> </t>
        </is>
      </c>
      <c r="K383" s="445">
        <f>SUM(K10:K100)</f>
        <v/>
      </c>
    </row>
    <row r="384">
      <c r="A384" s="47" t="n"/>
      <c r="L384" s="445">
        <f>SUM(L11:L101)</f>
        <v/>
      </c>
    </row>
    <row r="385">
      <c r="A385" s="47" t="n"/>
      <c r="I385" s="445" t="inlineStr">
        <is>
          <t>Q3</t>
        </is>
      </c>
      <c r="J385" s="445">
        <f>SUM(J188:J279)</f>
        <v/>
      </c>
      <c r="Z385" s="45" t="n"/>
      <c r="AA385" s="45" t="n"/>
      <c r="AB385" s="45" t="n"/>
    </row>
    <row r="386">
      <c r="A386" s="47" t="n"/>
      <c r="K386" s="445">
        <f>SUM(K188:K279)</f>
        <v/>
      </c>
      <c r="Z386" s="45" t="n"/>
      <c r="AA386" s="45" t="n"/>
      <c r="AB386" s="45" t="n"/>
    </row>
    <row r="387">
      <c r="A387" s="47" t="n"/>
      <c r="L387" s="445">
        <f>SUM(L188:L279)</f>
        <v/>
      </c>
      <c r="Z387" s="45" t="n"/>
      <c r="AA387" s="45" t="n"/>
      <c r="AB387" s="45" t="n"/>
    </row>
    <row r="388">
      <c r="A388" s="47" t="n"/>
      <c r="Z388" s="45" t="n"/>
      <c r="AA388" s="45" t="n"/>
      <c r="AB388" s="45" t="n"/>
    </row>
    <row r="389">
      <c r="A389" s="47" t="n"/>
      <c r="Z389" s="45" t="n"/>
      <c r="AA389" s="45" t="n"/>
      <c r="AB389" s="45" t="n"/>
    </row>
    <row r="390">
      <c r="A390" s="47" t="n"/>
      <c r="Z390" s="45" t="n"/>
      <c r="AA390" s="45" t="n"/>
      <c r="AB390" s="45" t="n"/>
    </row>
    <row r="391">
      <c r="A391" s="47" t="n"/>
      <c r="Z391" s="45" t="n"/>
      <c r="AA391" s="45" t="n"/>
      <c r="AB391" s="45" t="n"/>
    </row>
    <row r="392">
      <c r="A392" s="47" t="n"/>
      <c r="Z392" s="45" t="n"/>
      <c r="AA392" s="45" t="n"/>
      <c r="AB392" s="45" t="n"/>
    </row>
    <row r="393">
      <c r="A393" s="47" t="n"/>
      <c r="Z393" s="45" t="n"/>
      <c r="AA393" s="45" t="n"/>
      <c r="AB393" s="45" t="n"/>
    </row>
    <row r="394">
      <c r="A394" s="47" t="n"/>
      <c r="Z394" s="45" t="n"/>
      <c r="AA394" s="45" t="n"/>
      <c r="AB394" s="45" t="n"/>
    </row>
    <row r="395">
      <c r="A395" s="47" t="n"/>
      <c r="Z395" s="45" t="n"/>
      <c r="AA395" s="45" t="n"/>
      <c r="AB395" s="45" t="n"/>
    </row>
    <row r="396">
      <c r="A396" s="47" t="n"/>
      <c r="Z396" s="45" t="n"/>
      <c r="AA396" s="45" t="n"/>
      <c r="AB396" s="45" t="n"/>
    </row>
    <row r="397">
      <c r="A397" s="47" t="n"/>
      <c r="Z397" s="45" t="n"/>
      <c r="AA397" s="45" t="n"/>
      <c r="AB397" s="45" t="n"/>
    </row>
    <row r="398">
      <c r="A398" s="47" t="n"/>
      <c r="Z398" s="45" t="n"/>
      <c r="AA398" s="45" t="n"/>
      <c r="AB398" s="45" t="n"/>
    </row>
    <row r="399">
      <c r="A399" s="47" t="n"/>
      <c r="Z399" s="45" t="n"/>
      <c r="AA399" s="45" t="n"/>
      <c r="AB399" s="45" t="n"/>
    </row>
    <row r="400">
      <c r="A400" s="47" t="n"/>
      <c r="Z400" s="45" t="n"/>
      <c r="AA400" s="45" t="n"/>
      <c r="AB400" s="45" t="n"/>
    </row>
    <row r="401">
      <c r="A401" s="47" t="n"/>
      <c r="Z401" s="45" t="n"/>
      <c r="AA401" s="45" t="n"/>
      <c r="AB401" s="45" t="n"/>
    </row>
    <row r="402">
      <c r="A402" s="47" t="n"/>
      <c r="Z402" s="45" t="n"/>
      <c r="AA402" s="45" t="n"/>
      <c r="AB402" s="45" t="n"/>
    </row>
    <row r="403">
      <c r="A403" s="47" t="n"/>
      <c r="Z403" s="45" t="n"/>
      <c r="AA403" s="45" t="n"/>
      <c r="AB403" s="45" t="n"/>
    </row>
    <row r="404">
      <c r="A404" s="47" t="n"/>
      <c r="Z404" s="45" t="n"/>
      <c r="AA404" s="45" t="n"/>
      <c r="AB404" s="45" t="n"/>
    </row>
    <row r="405">
      <c r="A405" s="47" t="n"/>
      <c r="Z405" s="45" t="n"/>
      <c r="AA405" s="45" t="n"/>
      <c r="AB405" s="45" t="n"/>
    </row>
    <row r="406">
      <c r="A406" s="47" t="n"/>
      <c r="Z406" s="45" t="n"/>
      <c r="AA406" s="45" t="n"/>
      <c r="AB406" s="45" t="n"/>
    </row>
    <row r="407">
      <c r="A407" s="47" t="n"/>
      <c r="Z407" s="45" t="n"/>
      <c r="AA407" s="45" t="n"/>
      <c r="AB407" s="45" t="n"/>
    </row>
    <row r="408">
      <c r="A408" s="47" t="n"/>
      <c r="Z408" s="45" t="n"/>
      <c r="AA408" s="45" t="n"/>
      <c r="AB408" s="45" t="n"/>
    </row>
    <row r="409">
      <c r="A409" s="47" t="n"/>
      <c r="Z409" s="45" t="n"/>
      <c r="AA409" s="45" t="n"/>
      <c r="AB409" s="45" t="n"/>
    </row>
    <row r="410">
      <c r="A410" s="47" t="n"/>
      <c r="Z410" s="45" t="n"/>
      <c r="AA410" s="45" t="n"/>
      <c r="AB410" s="45" t="n"/>
    </row>
    <row r="411">
      <c r="A411" s="47" t="n"/>
      <c r="Z411" s="45" t="n"/>
      <c r="AA411" s="45" t="n"/>
      <c r="AB411" s="45" t="n"/>
    </row>
    <row r="412">
      <c r="A412" s="47" t="n"/>
      <c r="Z412" s="45" t="n"/>
      <c r="AA412" s="45" t="n"/>
      <c r="AB412" s="45" t="n"/>
    </row>
    <row r="413">
      <c r="A413" s="47" t="n"/>
      <c r="Z413" s="45" t="n"/>
      <c r="AA413" s="45" t="n"/>
      <c r="AB413" s="45" t="n"/>
    </row>
    <row r="414">
      <c r="A414" s="47" t="n"/>
      <c r="Z414" s="45" t="n"/>
      <c r="AA414" s="45" t="n"/>
      <c r="AB414" s="45" t="n"/>
    </row>
    <row r="415">
      <c r="A415" s="47" t="n"/>
      <c r="Z415" s="45" t="n"/>
      <c r="AA415" s="45" t="n"/>
      <c r="AB415" s="45" t="n"/>
    </row>
    <row r="416">
      <c r="A416" s="47" t="n"/>
      <c r="Z416" s="45" t="n"/>
      <c r="AA416" s="45" t="n"/>
      <c r="AB416" s="45" t="n"/>
    </row>
    <row r="417">
      <c r="A417" s="47" t="n"/>
      <c r="Z417" s="45" t="n"/>
      <c r="AA417" s="45" t="n"/>
      <c r="AB417" s="45" t="n"/>
    </row>
    <row r="418">
      <c r="A418" s="47" t="n"/>
      <c r="Z418" s="45" t="n"/>
      <c r="AA418" s="45" t="n"/>
      <c r="AB418" s="45" t="n"/>
    </row>
    <row r="419">
      <c r="A419" s="47" t="n"/>
      <c r="Z419" s="45" t="n"/>
      <c r="AA419" s="45" t="n"/>
      <c r="AB419" s="45" t="n"/>
    </row>
    <row r="420">
      <c r="A420" s="47" t="n"/>
      <c r="Z420" s="45" t="n"/>
      <c r="AA420" s="45" t="n"/>
      <c r="AB420" s="45" t="n"/>
    </row>
    <row r="421">
      <c r="A421" s="47" t="n"/>
      <c r="Z421" s="45" t="n"/>
      <c r="AA421" s="45" t="n"/>
      <c r="AB421" s="45" t="n"/>
    </row>
    <row r="422">
      <c r="A422" s="47" t="n"/>
      <c r="Z422" s="45" t="n"/>
      <c r="AA422" s="45" t="n"/>
      <c r="AB422" s="45" t="n"/>
    </row>
    <row r="423">
      <c r="A423" s="47" t="n"/>
      <c r="Z423" s="45" t="n"/>
      <c r="AA423" s="45" t="n"/>
      <c r="AB423" s="45" t="n"/>
    </row>
    <row r="424">
      <c r="A424" s="47" t="n"/>
      <c r="Z424" s="45" t="n"/>
      <c r="AA424" s="45" t="n"/>
      <c r="AB424" s="45" t="n"/>
    </row>
    <row r="425">
      <c r="A425" s="47" t="n"/>
      <c r="Z425" s="45" t="n"/>
      <c r="AA425" s="45" t="n"/>
      <c r="AB425" s="45" t="n"/>
    </row>
    <row r="426">
      <c r="A426" s="47" t="n"/>
      <c r="Z426" s="45" t="n"/>
      <c r="AA426" s="45" t="n"/>
      <c r="AB426" s="45" t="n"/>
    </row>
    <row r="427">
      <c r="A427" s="47" t="n"/>
      <c r="Z427" s="45" t="n"/>
      <c r="AA427" s="45" t="n"/>
      <c r="AB427" s="45" t="n"/>
    </row>
    <row r="428">
      <c r="A428" s="47" t="n"/>
      <c r="Z428" s="45" t="n"/>
      <c r="AA428" s="45" t="n"/>
      <c r="AB428" s="45" t="n"/>
    </row>
    <row r="429">
      <c r="A429" s="47" t="n"/>
      <c r="Z429" s="45" t="n"/>
      <c r="AA429" s="45" t="n"/>
      <c r="AB429" s="45" t="n"/>
    </row>
    <row r="430">
      <c r="A430" s="47" t="n"/>
      <c r="Z430" s="45" t="n"/>
      <c r="AA430" s="45" t="n"/>
      <c r="AB430" s="45" t="n"/>
    </row>
    <row r="431">
      <c r="A431" s="47" t="n"/>
      <c r="Z431" s="45" t="n"/>
      <c r="AA431" s="45" t="n"/>
      <c r="AB431" s="45" t="n"/>
    </row>
    <row r="432">
      <c r="A432" s="47" t="n"/>
      <c r="Z432" s="45" t="n"/>
      <c r="AA432" s="45" t="n"/>
      <c r="AB432" s="45" t="n"/>
    </row>
    <row r="433">
      <c r="A433" s="47" t="n"/>
      <c r="Z433" s="45" t="n"/>
      <c r="AA433" s="45" t="n"/>
      <c r="AB433" s="45" t="n"/>
    </row>
    <row r="434">
      <c r="A434" s="47" t="n"/>
      <c r="Z434" s="45" t="n"/>
      <c r="AA434" s="45" t="n"/>
      <c r="AB434" s="45" t="n"/>
    </row>
    <row r="435">
      <c r="Z435" s="45" t="n"/>
      <c r="AA435" s="45" t="n"/>
      <c r="AB435" s="45" t="n"/>
    </row>
    <row r="436">
      <c r="Z436" s="45" t="n"/>
      <c r="AA436" s="45" t="n"/>
      <c r="AB436" s="45" t="n"/>
    </row>
    <row r="437">
      <c r="Z437" s="45" t="n"/>
      <c r="AA437" s="45" t="n"/>
      <c r="AB437" s="45" t="n"/>
    </row>
    <row r="438">
      <c r="Z438" s="45" t="n"/>
      <c r="AA438" s="45" t="n"/>
      <c r="AB438" s="45" t="n"/>
    </row>
    <row r="439">
      <c r="Z439" s="45" t="n"/>
      <c r="AA439" s="45" t="n"/>
      <c r="AB439" s="45" t="n"/>
    </row>
    <row r="440">
      <c r="Z440" s="45" t="n"/>
      <c r="AA440" s="45" t="n"/>
      <c r="AB440" s="45" t="n"/>
    </row>
    <row r="441">
      <c r="Z441" s="45" t="n"/>
      <c r="AA441" s="45" t="n"/>
      <c r="AB441" s="45" t="n"/>
    </row>
    <row r="442">
      <c r="Z442" s="45" t="n"/>
      <c r="AA442" s="45" t="n"/>
      <c r="AB442" s="45" t="n"/>
    </row>
    <row r="443">
      <c r="Z443" s="45" t="n"/>
      <c r="AA443" s="45" t="n"/>
      <c r="AB443" s="45" t="n"/>
    </row>
    <row r="444">
      <c r="Z444" s="45" t="n"/>
      <c r="AA444" s="45" t="n"/>
      <c r="AB444" s="45" t="n"/>
    </row>
    <row r="445">
      <c r="Z445" s="45" t="n"/>
      <c r="AA445" s="45" t="n"/>
      <c r="AB445" s="45" t="n"/>
    </row>
    <row r="446">
      <c r="Z446" s="45" t="n"/>
      <c r="AA446" s="45" t="n"/>
      <c r="AB446" s="45" t="n"/>
    </row>
    <row r="447">
      <c r="Z447" s="45" t="n"/>
      <c r="AA447" s="45" t="n"/>
      <c r="AB447" s="45" t="n"/>
    </row>
    <row r="448">
      <c r="Z448" s="45" t="n"/>
      <c r="AA448" s="45" t="n"/>
      <c r="AB448" s="45" t="n"/>
    </row>
    <row r="449">
      <c r="Z449" s="45" t="n"/>
      <c r="AA449" s="45" t="n"/>
      <c r="AB449" s="45" t="n"/>
    </row>
    <row r="450">
      <c r="Z450" s="45" t="n"/>
      <c r="AA450" s="45" t="n"/>
      <c r="AB450" s="45" t="n"/>
    </row>
    <row r="451">
      <c r="Z451" s="45" t="n"/>
      <c r="AA451" s="45" t="n"/>
      <c r="AB451" s="45" t="n"/>
    </row>
    <row r="452">
      <c r="Z452" s="45" t="n"/>
      <c r="AA452" s="45" t="n"/>
      <c r="AB452" s="45" t="n"/>
    </row>
    <row r="453">
      <c r="Z453" s="45" t="n"/>
      <c r="AA453" s="45" t="n"/>
      <c r="AB453" s="45" t="n"/>
    </row>
    <row r="454">
      <c r="Z454" s="45" t="n"/>
      <c r="AA454" s="45" t="n"/>
      <c r="AB454" s="45" t="n"/>
    </row>
    <row r="455">
      <c r="Z455" s="45" t="n"/>
      <c r="AA455" s="45" t="n"/>
      <c r="AB455" s="45" t="n"/>
    </row>
    <row r="456">
      <c r="Z456" s="45" t="n"/>
      <c r="AA456" s="45" t="n"/>
      <c r="AB456" s="45" t="n"/>
    </row>
    <row r="457">
      <c r="Z457" s="45" t="n"/>
      <c r="AA457" s="45" t="n"/>
      <c r="AB457" s="45" t="n"/>
    </row>
    <row r="458">
      <c r="Z458" s="45" t="n"/>
      <c r="AA458" s="45" t="n"/>
      <c r="AB458" s="45" t="n"/>
    </row>
    <row r="459">
      <c r="Z459" s="45" t="n"/>
      <c r="AA459" s="45" t="n"/>
      <c r="AB459" s="45" t="n"/>
    </row>
    <row r="460">
      <c r="Z460" s="45" t="n"/>
      <c r="AA460" s="45" t="n"/>
      <c r="AB460" s="45" t="n"/>
    </row>
    <row r="461">
      <c r="Z461" s="45" t="n"/>
      <c r="AA461" s="45" t="n"/>
      <c r="AB461" s="45" t="n"/>
    </row>
    <row r="462">
      <c r="Z462" s="45" t="n"/>
      <c r="AA462" s="45" t="n"/>
      <c r="AB462" s="45" t="n"/>
    </row>
    <row r="463">
      <c r="Z463" s="45" t="n"/>
      <c r="AA463" s="45" t="n"/>
      <c r="AB463" s="45" t="n"/>
    </row>
    <row r="464">
      <c r="Z464" s="45" t="n"/>
      <c r="AA464" s="45" t="n"/>
      <c r="AB464" s="45" t="n"/>
    </row>
    <row r="465">
      <c r="Z465" s="45" t="n"/>
      <c r="AA465" s="45" t="n"/>
      <c r="AB465" s="45" t="n"/>
    </row>
    <row r="466">
      <c r="Z466" s="45" t="n"/>
      <c r="AA466" s="45" t="n"/>
      <c r="AB466" s="45" t="n"/>
    </row>
    <row r="467">
      <c r="Z467" s="45" t="n"/>
      <c r="AA467" s="45" t="n"/>
      <c r="AB467" s="45" t="n"/>
    </row>
    <row r="468">
      <c r="Z468" s="45" t="n"/>
      <c r="AA468" s="45" t="n"/>
      <c r="AB468" s="45" t="n"/>
    </row>
    <row r="469">
      <c r="Z469" s="45" t="n"/>
      <c r="AA469" s="45" t="n"/>
      <c r="AB469" s="45" t="n"/>
    </row>
    <row r="470">
      <c r="Z470" s="45" t="n"/>
      <c r="AA470" s="45" t="n"/>
      <c r="AB470" s="45" t="n"/>
    </row>
    <row r="471">
      <c r="Z471" s="45" t="n"/>
      <c r="AA471" s="45" t="n"/>
      <c r="AB471" s="45" t="n"/>
    </row>
    <row r="472">
      <c r="Z472" s="45" t="n"/>
      <c r="AA472" s="45" t="n"/>
      <c r="AB472" s="45" t="n"/>
    </row>
    <row r="473">
      <c r="Z473" s="45" t="n"/>
      <c r="AA473" s="45" t="n"/>
      <c r="AB473" s="45" t="n"/>
    </row>
    <row r="474">
      <c r="Z474" s="45" t="n"/>
      <c r="AA474" s="45" t="n"/>
      <c r="AB474" s="45" t="n"/>
    </row>
    <row r="475">
      <c r="Z475" s="45" t="n"/>
      <c r="AA475" s="45" t="n"/>
      <c r="AB475" s="45" t="n"/>
    </row>
    <row r="476">
      <c r="Z476" s="45" t="n"/>
      <c r="AA476" s="45" t="n"/>
      <c r="AB476" s="45" t="n"/>
    </row>
    <row r="477">
      <c r="Z477" s="45" t="n"/>
      <c r="AA477" s="45" t="n"/>
      <c r="AB477" s="45" t="n"/>
    </row>
    <row r="478">
      <c r="Z478" s="45" t="n"/>
      <c r="AA478" s="45" t="n"/>
      <c r="AB478" s="45" t="n"/>
    </row>
    <row r="479">
      <c r="Z479" s="45" t="n"/>
      <c r="AA479" s="45" t="n"/>
      <c r="AB479" s="45" t="n"/>
    </row>
    <row r="480">
      <c r="Z480" s="45" t="n"/>
      <c r="AA480" s="45" t="n"/>
      <c r="AB480" s="45" t="n"/>
    </row>
    <row r="481">
      <c r="Z481" s="45" t="n"/>
      <c r="AA481" s="45" t="n"/>
      <c r="AB481" s="45" t="n"/>
    </row>
    <row r="482">
      <c r="Z482" s="45" t="n"/>
      <c r="AA482" s="45" t="n"/>
      <c r="AB482" s="45" t="n"/>
    </row>
    <row r="483">
      <c r="Z483" s="45" t="n"/>
      <c r="AA483" s="45" t="n"/>
      <c r="AB483" s="45" t="n"/>
    </row>
    <row r="484">
      <c r="Z484" s="45" t="n"/>
      <c r="AA484" s="45" t="n"/>
      <c r="AB484" s="45" t="n"/>
    </row>
    <row r="485">
      <c r="Z485" s="45" t="n"/>
      <c r="AA485" s="45" t="n"/>
      <c r="AB485" s="45" t="n"/>
    </row>
    <row r="486">
      <c r="Z486" s="45" t="n"/>
      <c r="AA486" s="45" t="n"/>
      <c r="AB486" s="45" t="n"/>
    </row>
    <row r="487">
      <c r="Z487" s="45" t="n"/>
      <c r="AA487" s="45" t="n"/>
      <c r="AB487" s="45" t="n"/>
    </row>
    <row r="488">
      <c r="Z488" s="45" t="n"/>
      <c r="AA488" s="45" t="n"/>
      <c r="AB488" s="45" t="n"/>
    </row>
    <row r="489">
      <c r="Z489" s="45" t="n"/>
      <c r="AA489" s="45" t="n"/>
      <c r="AB489" s="45" t="n"/>
    </row>
    <row r="490">
      <c r="Z490" s="45" t="n"/>
      <c r="AA490" s="45" t="n"/>
      <c r="AB490" s="45" t="n"/>
    </row>
    <row r="491">
      <c r="Z491" s="45" t="n"/>
      <c r="AA491" s="45" t="n"/>
      <c r="AB491" s="45" t="n"/>
    </row>
    <row r="492">
      <c r="Z492" s="45" t="n"/>
      <c r="AA492" s="45" t="n"/>
      <c r="AB492" s="45" t="n"/>
    </row>
    <row r="493">
      <c r="Z493" s="45" t="n"/>
      <c r="AA493" s="45" t="n"/>
      <c r="AB493" s="45" t="n"/>
    </row>
    <row r="494">
      <c r="Z494" s="45" t="n"/>
      <c r="AA494" s="45" t="n"/>
      <c r="AB494" s="45" t="n"/>
    </row>
    <row r="495">
      <c r="Z495" s="45" t="n"/>
      <c r="AA495" s="45" t="n"/>
      <c r="AB495" s="45" t="n"/>
    </row>
    <row r="496">
      <c r="Z496" s="45" t="n"/>
      <c r="AA496" s="45" t="n"/>
      <c r="AB496" s="45" t="n"/>
    </row>
    <row r="497">
      <c r="Z497" s="45" t="n"/>
      <c r="AA497" s="45" t="n"/>
      <c r="AB497" s="45" t="n"/>
    </row>
    <row r="498">
      <c r="Z498" s="45" t="n"/>
      <c r="AA498" s="45" t="n"/>
      <c r="AB498" s="45" t="n"/>
    </row>
    <row r="499">
      <c r="Z499" s="45" t="n"/>
      <c r="AA499" s="45" t="n"/>
      <c r="AB499" s="45" t="n"/>
    </row>
    <row r="500">
      <c r="Z500" s="45" t="n"/>
      <c r="AA500" s="45" t="n"/>
      <c r="AB500" s="45" t="n"/>
    </row>
    <row r="501">
      <c r="Z501" s="45" t="n"/>
      <c r="AA501" s="45" t="n"/>
      <c r="AB501" s="45" t="n"/>
    </row>
    <row r="502">
      <c r="Z502" s="45" t="n"/>
      <c r="AA502" s="45" t="n"/>
      <c r="AB502" s="45" t="n"/>
    </row>
    <row r="503">
      <c r="Z503" s="45" t="n"/>
      <c r="AA503" s="45" t="n"/>
      <c r="AB503" s="45" t="n"/>
    </row>
    <row r="504">
      <c r="Z504" s="45" t="n"/>
      <c r="AA504" s="45" t="n"/>
      <c r="AB504" s="45" t="n"/>
    </row>
    <row r="505">
      <c r="Z505" s="45" t="n"/>
      <c r="AA505" s="45" t="n"/>
      <c r="AB505" s="45" t="n"/>
    </row>
    <row r="506">
      <c r="Z506" s="45" t="n"/>
      <c r="AA506" s="45" t="n"/>
      <c r="AB506" s="45" t="n"/>
    </row>
    <row r="507">
      <c r="Z507" s="45" t="n"/>
      <c r="AA507" s="45" t="n"/>
      <c r="AB507" s="45" t="n"/>
    </row>
    <row r="508">
      <c r="Z508" s="45" t="n"/>
      <c r="AA508" s="45" t="n"/>
      <c r="AB508" s="45" t="n"/>
    </row>
    <row r="509">
      <c r="Z509" s="45" t="n"/>
      <c r="AA509" s="45" t="n"/>
      <c r="AB509" s="45" t="n"/>
    </row>
    <row r="510">
      <c r="Z510" s="45" t="n"/>
      <c r="AA510" s="45" t="n"/>
      <c r="AB510" s="45" t="n"/>
    </row>
    <row r="511">
      <c r="Z511" s="45" t="n"/>
      <c r="AA511" s="45" t="n"/>
      <c r="AB511" s="45" t="n"/>
    </row>
    <row r="512">
      <c r="Z512" s="45" t="n"/>
      <c r="AA512" s="45" t="n"/>
      <c r="AB512" s="45" t="n"/>
    </row>
    <row r="513">
      <c r="Z513" s="45" t="n"/>
      <c r="AA513" s="45" t="n"/>
      <c r="AB513" s="45" t="n"/>
    </row>
    <row r="514">
      <c r="Z514" s="45" t="n"/>
      <c r="AA514" s="45" t="n"/>
      <c r="AB514" s="45" t="n"/>
    </row>
    <row r="515">
      <c r="Z515" s="45" t="n"/>
      <c r="AA515" s="45" t="n"/>
      <c r="AB515" s="45" t="n"/>
    </row>
    <row r="516">
      <c r="Z516" s="45" t="n"/>
      <c r="AA516" s="45" t="n"/>
      <c r="AB516" s="45" t="n"/>
    </row>
    <row r="517">
      <c r="Z517" s="45" t="n"/>
      <c r="AA517" s="45" t="n"/>
      <c r="AB517" s="45" t="n"/>
    </row>
    <row r="518">
      <c r="Z518" s="45" t="n"/>
      <c r="AA518" s="45" t="n"/>
      <c r="AB518" s="45" t="n"/>
    </row>
    <row r="519">
      <c r="Z519" s="45" t="n"/>
      <c r="AA519" s="45" t="n"/>
      <c r="AB519" s="45" t="n"/>
    </row>
    <row r="520">
      <c r="Z520" s="45" t="n"/>
      <c r="AA520" s="45" t="n"/>
      <c r="AB520" s="45" t="n"/>
    </row>
    <row r="521">
      <c r="Z521" s="45" t="n"/>
      <c r="AA521" s="45" t="n"/>
      <c r="AB521" s="45" t="n"/>
    </row>
    <row r="522">
      <c r="Z522" s="45" t="n"/>
      <c r="AA522" s="45" t="n"/>
      <c r="AB522" s="45" t="n"/>
    </row>
    <row r="523">
      <c r="Z523" s="45" t="n"/>
      <c r="AA523" s="45" t="n"/>
      <c r="AB523" s="45" t="n"/>
    </row>
    <row r="524">
      <c r="Z524" s="45" t="n"/>
      <c r="AA524" s="45" t="n"/>
      <c r="AB524" s="45" t="n"/>
    </row>
    <row r="525">
      <c r="Z525" s="45" t="n"/>
      <c r="AA525" s="45" t="n"/>
      <c r="AB525" s="45" t="n"/>
    </row>
    <row r="526">
      <c r="Z526" s="45" t="n"/>
      <c r="AA526" s="45" t="n"/>
      <c r="AB526" s="45" t="n"/>
    </row>
    <row r="527">
      <c r="Z527" s="45" t="n"/>
      <c r="AA527" s="45" t="n"/>
      <c r="AB527" s="45" t="n"/>
    </row>
    <row r="528">
      <c r="Z528" s="45" t="n"/>
      <c r="AA528" s="45" t="n"/>
      <c r="AB528" s="45" t="n"/>
    </row>
    <row r="529">
      <c r="Z529" s="45" t="n"/>
      <c r="AA529" s="45" t="n"/>
      <c r="AB529" s="45" t="n"/>
    </row>
    <row r="530">
      <c r="Z530" s="45" t="n"/>
      <c r="AA530" s="45" t="n"/>
      <c r="AB530" s="45" t="n"/>
    </row>
    <row r="531">
      <c r="Z531" s="45" t="n"/>
      <c r="AA531" s="45" t="n"/>
      <c r="AB531" s="45" t="n"/>
    </row>
    <row r="532">
      <c r="Z532" s="45" t="n"/>
      <c r="AA532" s="45" t="n"/>
      <c r="AB532" s="45" t="n"/>
    </row>
    <row r="533">
      <c r="Z533" s="45" t="n"/>
      <c r="AA533" s="45" t="n"/>
      <c r="AB533" s="45" t="n"/>
    </row>
    <row r="534">
      <c r="Z534" s="45" t="n"/>
      <c r="AA534" s="45" t="n"/>
      <c r="AB534" s="45" t="n"/>
    </row>
    <row r="535">
      <c r="Z535" s="45" t="n"/>
      <c r="AA535" s="45" t="n"/>
      <c r="AB535" s="45" t="n"/>
    </row>
    <row r="536">
      <c r="Z536" s="45" t="n"/>
      <c r="AA536" s="45" t="n"/>
      <c r="AB536" s="45" t="n"/>
    </row>
    <row r="537">
      <c r="Z537" s="45" t="n"/>
      <c r="AA537" s="45" t="n"/>
      <c r="AB537" s="45" t="n"/>
    </row>
    <row r="538">
      <c r="Z538" s="45" t="n"/>
      <c r="AA538" s="45" t="n"/>
      <c r="AB538" s="45" t="n"/>
    </row>
    <row r="539">
      <c r="Z539" s="45" t="n"/>
      <c r="AA539" s="45" t="n"/>
      <c r="AB539" s="45" t="n"/>
    </row>
    <row r="540">
      <c r="Z540" s="45" t="n"/>
      <c r="AA540" s="45" t="n"/>
      <c r="AB540" s="45" t="n"/>
    </row>
    <row r="541">
      <c r="Z541" s="45" t="n"/>
      <c r="AA541" s="45" t="n"/>
      <c r="AB541" s="45" t="n"/>
    </row>
    <row r="542">
      <c r="Z542" s="45" t="n"/>
      <c r="AA542" s="45" t="n"/>
      <c r="AB542" s="45" t="n"/>
    </row>
    <row r="543">
      <c r="Z543" s="45" t="n"/>
      <c r="AA543" s="45" t="n"/>
      <c r="AB543" s="45" t="n"/>
    </row>
    <row r="544">
      <c r="Z544" s="45" t="n"/>
      <c r="AA544" s="45" t="n"/>
      <c r="AB544" s="45" t="n"/>
    </row>
    <row r="545">
      <c r="Z545" s="45" t="n"/>
      <c r="AA545" s="45" t="n"/>
      <c r="AB545" s="45" t="n"/>
    </row>
    <row r="546">
      <c r="Z546" s="45" t="n"/>
      <c r="AA546" s="45" t="n"/>
      <c r="AB546" s="45" t="n"/>
    </row>
    <row r="547">
      <c r="Z547" s="45" t="n"/>
      <c r="AA547" s="45" t="n"/>
      <c r="AB547" s="45" t="n"/>
    </row>
    <row r="548">
      <c r="Z548" s="45" t="n"/>
      <c r="AA548" s="45" t="n"/>
      <c r="AB548" s="45" t="n"/>
    </row>
    <row r="549">
      <c r="Z549" s="45" t="n"/>
      <c r="AA549" s="45" t="n"/>
      <c r="AB549" s="45" t="n"/>
    </row>
    <row r="550">
      <c r="Z550" s="45" t="n"/>
      <c r="AA550" s="45" t="n"/>
      <c r="AB550" s="45" t="n"/>
    </row>
    <row r="551">
      <c r="Z551" s="45" t="n"/>
      <c r="AA551" s="45" t="n"/>
      <c r="AB551" s="45" t="n"/>
    </row>
    <row r="552">
      <c r="Z552" s="45" t="n"/>
      <c r="AA552" s="45" t="n"/>
      <c r="AB552" s="45" t="n"/>
    </row>
    <row r="553">
      <c r="Z553" s="45" t="n"/>
      <c r="AA553" s="45" t="n"/>
      <c r="AB553" s="45" t="n"/>
    </row>
    <row r="554">
      <c r="Z554" s="45" t="n"/>
      <c r="AA554" s="45" t="n"/>
      <c r="AB554" s="45" t="n"/>
    </row>
    <row r="555">
      <c r="Z555" s="45" t="n"/>
      <c r="AA555" s="45" t="n"/>
      <c r="AB555" s="45" t="n"/>
    </row>
    <row r="556">
      <c r="Z556" s="45" t="n"/>
      <c r="AA556" s="45" t="n"/>
      <c r="AB556" s="45" t="n"/>
    </row>
    <row r="557">
      <c r="Z557" s="45" t="n"/>
      <c r="AA557" s="45" t="n"/>
      <c r="AB557" s="45" t="n"/>
    </row>
    <row r="558">
      <c r="Z558" s="45" t="n"/>
      <c r="AA558" s="45" t="n"/>
      <c r="AB558" s="45" t="n"/>
    </row>
    <row r="559">
      <c r="Z559" s="45" t="n"/>
      <c r="AA559" s="45" t="n"/>
      <c r="AB559" s="45" t="n"/>
    </row>
    <row r="560">
      <c r="Z560" s="45" t="n"/>
      <c r="AA560" s="45" t="n"/>
      <c r="AB560" s="45" t="n"/>
    </row>
    <row r="561">
      <c r="Z561" s="45" t="n"/>
      <c r="AA561" s="45" t="n"/>
      <c r="AB561" s="45" t="n"/>
    </row>
    <row r="562">
      <c r="Z562" s="45" t="n"/>
      <c r="AA562" s="45" t="n"/>
      <c r="AB562" s="45" t="n"/>
    </row>
    <row r="563">
      <c r="Z563" s="45" t="n"/>
      <c r="AA563" s="45" t="n"/>
      <c r="AB563" s="45" t="n"/>
    </row>
    <row r="564">
      <c r="Z564" s="45" t="n"/>
      <c r="AA564" s="45" t="n"/>
      <c r="AB564" s="45" t="n"/>
    </row>
    <row r="565">
      <c r="Z565" s="45" t="n"/>
      <c r="AA565" s="45" t="n"/>
      <c r="AB565" s="45" t="n"/>
    </row>
    <row r="566">
      <c r="Z566" s="45" t="n"/>
      <c r="AA566" s="45" t="n"/>
      <c r="AB566" s="45" t="n"/>
    </row>
    <row r="567">
      <c r="Z567" s="45" t="n"/>
      <c r="AA567" s="45" t="n"/>
      <c r="AB567" s="45" t="n"/>
    </row>
    <row r="568">
      <c r="Z568" s="45" t="n"/>
      <c r="AA568" s="45" t="n"/>
      <c r="AB568" s="45" t="n"/>
    </row>
    <row r="569">
      <c r="Z569" s="45" t="n"/>
      <c r="AA569" s="45" t="n"/>
      <c r="AB569" s="45" t="n"/>
    </row>
    <row r="570">
      <c r="Z570" s="45" t="n"/>
      <c r="AA570" s="45" t="n"/>
      <c r="AB570" s="45" t="n"/>
    </row>
    <row r="571">
      <c r="Z571" s="45" t="n"/>
      <c r="AA571" s="45" t="n"/>
      <c r="AB571" s="45" t="n"/>
    </row>
    <row r="572">
      <c r="Z572" s="45" t="n"/>
      <c r="AA572" s="45" t="n"/>
      <c r="AB572" s="45" t="n"/>
    </row>
    <row r="573">
      <c r="Z573" s="45" t="n"/>
      <c r="AA573" s="45" t="n"/>
      <c r="AB573" s="45" t="n"/>
    </row>
    <row r="574">
      <c r="Z574" s="45" t="n"/>
      <c r="AA574" s="45" t="n"/>
      <c r="AB574" s="45" t="n"/>
    </row>
    <row r="575">
      <c r="Z575" s="45" t="n"/>
      <c r="AA575" s="45" t="n"/>
      <c r="AB575" s="45" t="n"/>
    </row>
    <row r="576">
      <c r="Z576" s="45" t="n"/>
      <c r="AA576" s="45" t="n"/>
      <c r="AB576" s="45" t="n"/>
    </row>
    <row r="577">
      <c r="Z577" s="45" t="n"/>
      <c r="AA577" s="45" t="n"/>
      <c r="AB577" s="45" t="n"/>
    </row>
    <row r="578">
      <c r="Z578" s="45" t="n"/>
      <c r="AA578" s="45" t="n"/>
      <c r="AB578" s="45" t="n"/>
    </row>
    <row r="579">
      <c r="Z579" s="45" t="n"/>
      <c r="AA579" s="45" t="n"/>
      <c r="AB579" s="45" t="n"/>
    </row>
    <row r="580">
      <c r="Z580" s="45" t="n"/>
      <c r="AA580" s="45" t="n"/>
      <c r="AB580" s="45" t="n"/>
    </row>
    <row r="581">
      <c r="Z581" s="45" t="n"/>
      <c r="AA581" s="45" t="n"/>
      <c r="AB581" s="45" t="n"/>
    </row>
    <row r="582">
      <c r="Z582" s="45" t="n"/>
      <c r="AA582" s="45" t="n"/>
      <c r="AB582" s="45" t="n"/>
    </row>
    <row r="583">
      <c r="Z583" s="45" t="n"/>
      <c r="AA583" s="45" t="n"/>
      <c r="AB583" s="45" t="n"/>
    </row>
    <row r="584">
      <c r="Z584" s="45" t="n"/>
      <c r="AA584" s="45" t="n"/>
      <c r="AB584" s="45" t="n"/>
    </row>
    <row r="585">
      <c r="Z585" s="45" t="n"/>
      <c r="AA585" s="45" t="n"/>
      <c r="AB585" s="45" t="n"/>
    </row>
    <row r="586">
      <c r="Z586" s="45" t="n"/>
      <c r="AA586" s="45" t="n"/>
      <c r="AB586" s="45" t="n"/>
    </row>
    <row r="587">
      <c r="Z587" s="45" t="n"/>
      <c r="AA587" s="45" t="n"/>
      <c r="AB587" s="45" t="n"/>
    </row>
    <row r="588">
      <c r="Z588" s="45" t="n"/>
      <c r="AA588" s="45" t="n"/>
      <c r="AB588" s="45" t="n"/>
    </row>
    <row r="589">
      <c r="Z589" s="45" t="n"/>
      <c r="AA589" s="45" t="n"/>
      <c r="AB589" s="45" t="n"/>
    </row>
    <row r="590">
      <c r="Z590" s="45" t="n"/>
      <c r="AA590" s="45" t="n"/>
      <c r="AB590" s="45" t="n"/>
    </row>
    <row r="591">
      <c r="Z591" s="45" t="n"/>
      <c r="AA591" s="45" t="n"/>
      <c r="AB591" s="45" t="n"/>
    </row>
    <row r="592">
      <c r="Z592" s="45" t="n"/>
      <c r="AA592" s="45" t="n"/>
      <c r="AB592" s="45" t="n"/>
    </row>
    <row r="593">
      <c r="Z593" s="45" t="n"/>
      <c r="AA593" s="45" t="n"/>
      <c r="AB593" s="45" t="n"/>
    </row>
    <row r="594">
      <c r="Z594" s="45" t="n"/>
      <c r="AA594" s="45" t="n"/>
      <c r="AB594" s="45" t="n"/>
    </row>
    <row r="595">
      <c r="Z595" s="45" t="n"/>
      <c r="AA595" s="45" t="n"/>
      <c r="AB595" s="45" t="n"/>
    </row>
    <row r="596">
      <c r="Z596" s="45" t="n"/>
      <c r="AA596" s="45" t="n"/>
      <c r="AB596" s="45" t="n"/>
    </row>
    <row r="597">
      <c r="Z597" s="45" t="n"/>
      <c r="AA597" s="45" t="n"/>
      <c r="AB597" s="45" t="n"/>
    </row>
    <row r="598">
      <c r="Z598" s="45" t="n"/>
      <c r="AA598" s="45" t="n"/>
      <c r="AB598" s="45" t="n"/>
    </row>
    <row r="599">
      <c r="Z599" s="45" t="n"/>
      <c r="AA599" s="45" t="n"/>
      <c r="AB599" s="45" t="n"/>
    </row>
    <row r="600">
      <c r="Z600" s="45" t="n"/>
      <c r="AA600" s="45" t="n"/>
      <c r="AB600" s="45" t="n"/>
    </row>
    <row r="601">
      <c r="Z601" s="45" t="n"/>
      <c r="AA601" s="45" t="n"/>
      <c r="AB601" s="45" t="n"/>
    </row>
    <row r="602">
      <c r="Z602" s="45" t="n"/>
      <c r="AA602" s="45" t="n"/>
      <c r="AB602" s="45" t="n"/>
    </row>
    <row r="603">
      <c r="Z603" s="45" t="n"/>
      <c r="AA603" s="45" t="n"/>
      <c r="AB603" s="45" t="n"/>
    </row>
    <row r="604">
      <c r="Z604" s="45" t="n"/>
      <c r="AA604" s="45" t="n"/>
      <c r="AB604" s="45" t="n"/>
    </row>
    <row r="605">
      <c r="Z605" s="45" t="n"/>
      <c r="AA605" s="45" t="n"/>
      <c r="AB605" s="45" t="n"/>
    </row>
    <row r="606">
      <c r="Z606" s="45" t="n"/>
      <c r="AA606" s="45" t="n"/>
      <c r="AB606" s="45" t="n"/>
    </row>
    <row r="607">
      <c r="Z607" s="45" t="n"/>
      <c r="AA607" s="45" t="n"/>
      <c r="AB607" s="45" t="n"/>
    </row>
    <row r="608">
      <c r="Z608" s="45" t="n"/>
      <c r="AA608" s="45" t="n"/>
      <c r="AB608" s="45" t="n"/>
    </row>
    <row r="609">
      <c r="Z609" s="45" t="n"/>
      <c r="AA609" s="45" t="n"/>
      <c r="AB609" s="45" t="n"/>
    </row>
    <row r="610">
      <c r="Z610" s="45" t="n"/>
      <c r="AA610" s="45" t="n"/>
      <c r="AB610" s="45" t="n"/>
    </row>
    <row r="611">
      <c r="Z611" s="45" t="n"/>
      <c r="AA611" s="45" t="n"/>
      <c r="AB611" s="45" t="n"/>
    </row>
    <row r="612">
      <c r="Z612" s="45" t="n"/>
      <c r="AA612" s="45" t="n"/>
      <c r="AB612" s="45" t="n"/>
    </row>
    <row r="613">
      <c r="Z613" s="45" t="n"/>
      <c r="AA613" s="45" t="n"/>
      <c r="AB613" s="45" t="n"/>
    </row>
    <row r="614">
      <c r="Z614" s="45" t="n"/>
      <c r="AA614" s="45" t="n"/>
      <c r="AB614" s="45" t="n"/>
    </row>
    <row r="615">
      <c r="Z615" s="45" t="n"/>
      <c r="AA615" s="45" t="n"/>
      <c r="AB615" s="45" t="n"/>
    </row>
    <row r="616">
      <c r="Z616" s="45" t="n"/>
      <c r="AA616" s="45" t="n"/>
      <c r="AB616" s="45" t="n"/>
    </row>
    <row r="617">
      <c r="Z617" s="45" t="n"/>
      <c r="AA617" s="45" t="n"/>
      <c r="AB617" s="45" t="n"/>
    </row>
    <row r="618">
      <c r="Z618" s="45" t="n"/>
      <c r="AA618" s="45" t="n"/>
      <c r="AB618" s="45" t="n"/>
    </row>
    <row r="619">
      <c r="Z619" s="45" t="n"/>
      <c r="AA619" s="45" t="n"/>
      <c r="AB619" s="45" t="n"/>
    </row>
    <row r="620">
      <c r="Z620" s="45" t="n"/>
      <c r="AA620" s="45" t="n"/>
      <c r="AB620" s="45" t="n"/>
    </row>
    <row r="621">
      <c r="Z621" s="45" t="n"/>
      <c r="AA621" s="45" t="n"/>
      <c r="AB621" s="45" t="n"/>
    </row>
    <row r="622">
      <c r="Z622" s="45" t="n"/>
      <c r="AA622" s="45" t="n"/>
      <c r="AB622" s="45" t="n"/>
    </row>
    <row r="623">
      <c r="Z623" s="45" t="n"/>
      <c r="AA623" s="45" t="n"/>
      <c r="AB623" s="45" t="n"/>
    </row>
    <row r="624">
      <c r="Z624" s="45" t="n"/>
      <c r="AA624" s="45" t="n"/>
      <c r="AB624" s="45" t="n"/>
    </row>
    <row r="625">
      <c r="Z625" s="45" t="n"/>
      <c r="AA625" s="45" t="n"/>
      <c r="AB625" s="45" t="n"/>
    </row>
    <row r="626">
      <c r="Z626" s="45" t="n"/>
      <c r="AA626" s="45" t="n"/>
      <c r="AB626" s="45" t="n"/>
    </row>
    <row r="627">
      <c r="Z627" s="45" t="n"/>
      <c r="AA627" s="45" t="n"/>
      <c r="AB627" s="45" t="n"/>
    </row>
    <row r="628">
      <c r="Z628" s="45" t="n"/>
      <c r="AA628" s="45" t="n"/>
      <c r="AB628" s="45" t="n"/>
    </row>
    <row r="629">
      <c r="Z629" s="45" t="n"/>
      <c r="AA629" s="45" t="n"/>
      <c r="AB629" s="45" t="n"/>
    </row>
    <row r="630">
      <c r="Z630" s="45" t="n"/>
      <c r="AA630" s="45" t="n"/>
      <c r="AB630" s="45" t="n"/>
    </row>
    <row r="631">
      <c r="Z631" s="45" t="n"/>
      <c r="AA631" s="45" t="n"/>
      <c r="AB631" s="45" t="n"/>
    </row>
    <row r="632">
      <c r="Z632" s="45" t="n"/>
      <c r="AA632" s="45" t="n"/>
      <c r="AB632" s="45" t="n"/>
    </row>
    <row r="633">
      <c r="Z633" s="45" t="n"/>
      <c r="AA633" s="45" t="n"/>
      <c r="AB633" s="45" t="n"/>
    </row>
    <row r="634">
      <c r="Z634" s="45" t="n"/>
      <c r="AA634" s="45" t="n"/>
      <c r="AB634" s="45" t="n"/>
    </row>
    <row r="635">
      <c r="Z635" s="45" t="n"/>
      <c r="AA635" s="45" t="n"/>
      <c r="AB635" s="45" t="n"/>
    </row>
    <row r="636">
      <c r="Z636" s="45" t="n"/>
      <c r="AA636" s="45" t="n"/>
      <c r="AB636" s="45" t="n"/>
    </row>
    <row r="637">
      <c r="Z637" s="45" t="n"/>
      <c r="AA637" s="45" t="n"/>
      <c r="AB637" s="45" t="n"/>
    </row>
    <row r="638">
      <c r="Z638" s="45" t="n"/>
      <c r="AA638" s="45" t="n"/>
      <c r="AB638" s="45" t="n"/>
    </row>
    <row r="639">
      <c r="Z639" s="45" t="n"/>
      <c r="AA639" s="45" t="n"/>
      <c r="AB639" s="45" t="n"/>
    </row>
    <row r="640">
      <c r="Z640" s="45" t="n"/>
      <c r="AA640" s="45" t="n"/>
      <c r="AB640" s="45" t="n"/>
    </row>
    <row r="641">
      <c r="Z641" s="45" t="n"/>
      <c r="AA641" s="45" t="n"/>
      <c r="AB641" s="45" t="n"/>
    </row>
    <row r="642">
      <c r="Z642" s="45" t="n"/>
      <c r="AA642" s="45" t="n"/>
      <c r="AB642" s="45" t="n"/>
    </row>
    <row r="643">
      <c r="Z643" s="45" t="n"/>
      <c r="AA643" s="45" t="n"/>
      <c r="AB643" s="45" t="n"/>
    </row>
    <row r="644">
      <c r="Z644" s="45" t="n"/>
      <c r="AA644" s="45" t="n"/>
      <c r="AB644" s="45" t="n"/>
    </row>
    <row r="645">
      <c r="Z645" s="45" t="n"/>
      <c r="AA645" s="45" t="n"/>
      <c r="AB645" s="45" t="n"/>
    </row>
    <row r="646">
      <c r="Z646" s="45" t="n"/>
      <c r="AA646" s="45" t="n"/>
      <c r="AB646" s="45" t="n"/>
    </row>
    <row r="647">
      <c r="Z647" s="45" t="n"/>
      <c r="AA647" s="45" t="n"/>
      <c r="AB647" s="45" t="n"/>
    </row>
    <row r="648">
      <c r="Z648" s="45" t="n"/>
      <c r="AA648" s="45" t="n"/>
      <c r="AB648" s="45" t="n"/>
    </row>
    <row r="649">
      <c r="Z649" s="45" t="n"/>
      <c r="AA649" s="45" t="n"/>
      <c r="AB649" s="45" t="n"/>
    </row>
    <row r="650">
      <c r="Z650" s="45" t="n"/>
      <c r="AA650" s="45" t="n"/>
      <c r="AB650" s="45" t="n"/>
    </row>
    <row r="651">
      <c r="Z651" s="45" t="n"/>
      <c r="AA651" s="45" t="n"/>
      <c r="AB651" s="45" t="n"/>
    </row>
    <row r="652">
      <c r="Z652" s="45" t="n"/>
      <c r="AA652" s="45" t="n"/>
      <c r="AB652" s="45" t="n"/>
    </row>
    <row r="653">
      <c r="Z653" s="45" t="n"/>
      <c r="AA653" s="45" t="n"/>
      <c r="AB653" s="45" t="n"/>
    </row>
    <row r="654">
      <c r="Z654" s="45" t="n"/>
      <c r="AA654" s="45" t="n"/>
      <c r="AB654" s="45" t="n"/>
    </row>
    <row r="655">
      <c r="Z655" s="45" t="n"/>
      <c r="AA655" s="45" t="n"/>
      <c r="AB655" s="45" t="n"/>
    </row>
    <row r="656">
      <c r="Z656" s="45" t="n"/>
      <c r="AA656" s="45" t="n"/>
      <c r="AB656" s="45" t="n"/>
    </row>
    <row r="657">
      <c r="Z657" s="45" t="n"/>
      <c r="AA657" s="45" t="n"/>
      <c r="AB657" s="45" t="n"/>
    </row>
    <row r="658">
      <c r="Z658" s="45" t="n"/>
      <c r="AA658" s="45" t="n"/>
      <c r="AB658" s="45" t="n"/>
    </row>
    <row r="659">
      <c r="Z659" s="45" t="n"/>
      <c r="AA659" s="45" t="n"/>
      <c r="AB659" s="45" t="n"/>
    </row>
    <row r="660">
      <c r="Z660" s="45" t="n"/>
      <c r="AA660" s="45" t="n"/>
      <c r="AB660" s="45" t="n"/>
    </row>
    <row r="661">
      <c r="Z661" s="45" t="n"/>
      <c r="AA661" s="45" t="n"/>
      <c r="AB661" s="45" t="n"/>
    </row>
    <row r="662">
      <c r="Z662" s="45" t="n"/>
      <c r="AA662" s="45" t="n"/>
      <c r="AB662" s="45" t="n"/>
    </row>
    <row r="663">
      <c r="Z663" s="45" t="n"/>
      <c r="AA663" s="45" t="n"/>
      <c r="AB663" s="45" t="n"/>
    </row>
    <row r="664">
      <c r="Z664" s="45" t="n"/>
      <c r="AA664" s="45" t="n"/>
      <c r="AB664" s="45" t="n"/>
    </row>
    <row r="665">
      <c r="Z665" s="45" t="n"/>
      <c r="AA665" s="45" t="n"/>
      <c r="AB665" s="45" t="n"/>
    </row>
    <row r="666">
      <c r="Z666" s="45" t="n"/>
      <c r="AA666" s="45" t="n"/>
      <c r="AB666" s="45" t="n"/>
    </row>
    <row r="667">
      <c r="Z667" s="45" t="n"/>
      <c r="AA667" s="45" t="n"/>
      <c r="AB667" s="45" t="n"/>
    </row>
    <row r="668">
      <c r="Z668" s="45" t="n"/>
      <c r="AA668" s="45" t="n"/>
      <c r="AB668" s="45" t="n"/>
    </row>
    <row r="669">
      <c r="Z669" s="45" t="n"/>
      <c r="AA669" s="45" t="n"/>
      <c r="AB669" s="45" t="n"/>
    </row>
    <row r="670">
      <c r="Z670" s="45" t="n"/>
      <c r="AA670" s="45" t="n"/>
      <c r="AB670" s="45" t="n"/>
    </row>
    <row r="671">
      <c r="Z671" s="45" t="n"/>
      <c r="AA671" s="45" t="n"/>
      <c r="AB671" s="45" t="n"/>
    </row>
    <row r="672">
      <c r="Z672" s="45" t="n"/>
      <c r="AA672" s="45" t="n"/>
      <c r="AB672" s="45" t="n"/>
    </row>
    <row r="673">
      <c r="Z673" s="45" t="n"/>
      <c r="AA673" s="45" t="n"/>
      <c r="AB673" s="45" t="n"/>
    </row>
    <row r="674">
      <c r="Z674" s="45" t="n"/>
      <c r="AA674" s="45" t="n"/>
      <c r="AB674" s="45" t="n"/>
    </row>
    <row r="675">
      <c r="Z675" s="45" t="n"/>
      <c r="AA675" s="45" t="n"/>
      <c r="AB675" s="45" t="n"/>
    </row>
    <row r="676">
      <c r="Z676" s="45" t="n"/>
      <c r="AA676" s="45" t="n"/>
      <c r="AB676" s="45" t="n"/>
    </row>
    <row r="677">
      <c r="Z677" s="45" t="n"/>
      <c r="AA677" s="45" t="n"/>
      <c r="AB677" s="45" t="n"/>
    </row>
    <row r="678">
      <c r="Z678" s="45" t="n"/>
      <c r="AA678" s="45" t="n"/>
      <c r="AB678" s="45" t="n"/>
    </row>
    <row r="679">
      <c r="Z679" s="45" t="n"/>
      <c r="AA679" s="45" t="n"/>
      <c r="AB679" s="45" t="n"/>
    </row>
    <row r="680">
      <c r="Z680" s="45" t="n"/>
      <c r="AA680" s="45" t="n"/>
      <c r="AB680" s="45" t="n"/>
    </row>
    <row r="681">
      <c r="Z681" s="45" t="n"/>
      <c r="AA681" s="45" t="n"/>
      <c r="AB681" s="45" t="n"/>
    </row>
    <row r="682">
      <c r="Z682" s="45" t="n"/>
      <c r="AA682" s="45" t="n"/>
      <c r="AB682" s="45" t="n"/>
    </row>
    <row r="683">
      <c r="Z683" s="45" t="n"/>
      <c r="AA683" s="45" t="n"/>
      <c r="AB683" s="45" t="n"/>
    </row>
    <row r="684">
      <c r="Z684" s="45" t="n"/>
      <c r="AA684" s="45" t="n"/>
      <c r="AB684" s="45" t="n"/>
    </row>
    <row r="685">
      <c r="Z685" s="45" t="n"/>
      <c r="AA685" s="45" t="n"/>
      <c r="AB685" s="45" t="n"/>
    </row>
    <row r="686">
      <c r="Z686" s="45" t="n"/>
      <c r="AA686" s="45" t="n"/>
      <c r="AB686" s="45" t="n"/>
    </row>
    <row r="687">
      <c r="Z687" s="45" t="n"/>
      <c r="AA687" s="45" t="n"/>
      <c r="AB687" s="45" t="n"/>
    </row>
    <row r="688">
      <c r="Z688" s="45" t="n"/>
      <c r="AA688" s="45" t="n"/>
      <c r="AB688" s="45" t="n"/>
    </row>
    <row r="689">
      <c r="Z689" s="45" t="n"/>
      <c r="AA689" s="45" t="n"/>
      <c r="AB689" s="45" t="n"/>
    </row>
    <row r="690">
      <c r="Z690" s="45" t="n"/>
      <c r="AA690" s="45" t="n"/>
      <c r="AB690" s="45" t="n"/>
    </row>
    <row r="691">
      <c r="Z691" s="45" t="n"/>
      <c r="AA691" s="45" t="n"/>
      <c r="AB691" s="45" t="n"/>
    </row>
    <row r="692">
      <c r="Z692" s="45" t="n"/>
      <c r="AA692" s="45" t="n"/>
      <c r="AB692" s="45" t="n"/>
    </row>
    <row r="693">
      <c r="Z693" s="45" t="n"/>
      <c r="AA693" s="45" t="n"/>
      <c r="AB693" s="45" t="n"/>
    </row>
    <row r="694">
      <c r="Z694" s="45" t="n"/>
      <c r="AA694" s="45" t="n"/>
      <c r="AB694" s="45" t="n"/>
    </row>
    <row r="695">
      <c r="Z695" s="45" t="n"/>
      <c r="AA695" s="45" t="n"/>
      <c r="AB695" s="45" t="n"/>
    </row>
    <row r="696">
      <c r="Z696" s="45" t="n"/>
      <c r="AA696" s="45" t="n"/>
      <c r="AB696" s="45" t="n"/>
    </row>
    <row r="697">
      <c r="Z697" s="45" t="n"/>
      <c r="AA697" s="45" t="n"/>
      <c r="AB697" s="45" t="n"/>
    </row>
    <row r="698">
      <c r="Z698" s="45" t="n"/>
      <c r="AA698" s="45" t="n"/>
      <c r="AB698" s="45" t="n"/>
    </row>
    <row r="699">
      <c r="Z699" s="45" t="n"/>
      <c r="AA699" s="45" t="n"/>
      <c r="AB699" s="45" t="n"/>
    </row>
    <row r="700">
      <c r="Z700" s="45" t="n"/>
      <c r="AA700" s="45" t="n"/>
      <c r="AB700" s="45" t="n"/>
    </row>
    <row r="701">
      <c r="Z701" s="45" t="n"/>
      <c r="AA701" s="45" t="n"/>
      <c r="AB701" s="45" t="n"/>
    </row>
    <row r="702">
      <c r="Z702" s="45" t="n"/>
      <c r="AA702" s="45" t="n"/>
      <c r="AB702" s="45" t="n"/>
    </row>
    <row r="703">
      <c r="Z703" s="45" t="n"/>
      <c r="AA703" s="45" t="n"/>
      <c r="AB703" s="45" t="n"/>
    </row>
    <row r="704">
      <c r="Z704" s="45" t="n"/>
      <c r="AA704" s="45" t="n"/>
      <c r="AB704" s="45" t="n"/>
    </row>
    <row r="705">
      <c r="Z705" s="45" t="n"/>
      <c r="AA705" s="45" t="n"/>
      <c r="AB705" s="45" t="n"/>
    </row>
    <row r="706">
      <c r="Z706" s="45" t="n"/>
      <c r="AA706" s="45" t="n"/>
      <c r="AB706" s="45" t="n"/>
    </row>
    <row r="707">
      <c r="Z707" s="45" t="n"/>
      <c r="AA707" s="45" t="n"/>
      <c r="AB707" s="45" t="n"/>
    </row>
    <row r="708">
      <c r="Z708" s="45" t="n"/>
      <c r="AA708" s="45" t="n"/>
      <c r="AB708" s="45" t="n"/>
    </row>
    <row r="709">
      <c r="Z709" s="45" t="n"/>
      <c r="AA709" s="45" t="n"/>
      <c r="AB709" s="45" t="n"/>
    </row>
    <row r="710">
      <c r="Z710" s="45" t="n"/>
      <c r="AA710" s="45" t="n"/>
      <c r="AB710" s="45" t="n"/>
    </row>
    <row r="711">
      <c r="Z711" s="45" t="n"/>
      <c r="AA711" s="45" t="n"/>
      <c r="AB711" s="45" t="n"/>
    </row>
    <row r="712">
      <c r="Z712" s="45" t="n"/>
      <c r="AA712" s="45" t="n"/>
      <c r="AB712" s="45" t="n"/>
    </row>
    <row r="713">
      <c r="Z713" s="45" t="n"/>
      <c r="AA713" s="45" t="n"/>
      <c r="AB713" s="45" t="n"/>
    </row>
    <row r="714">
      <c r="Z714" s="45" t="n"/>
      <c r="AA714" s="45" t="n"/>
      <c r="AB714" s="45" t="n"/>
    </row>
    <row r="715">
      <c r="Z715" s="45" t="n"/>
      <c r="AA715" s="45" t="n"/>
      <c r="AB715" s="45" t="n"/>
    </row>
    <row r="716">
      <c r="Z716" s="45" t="n"/>
      <c r="AA716" s="45" t="n"/>
      <c r="AB716" s="45" t="n"/>
    </row>
    <row r="717">
      <c r="Z717" s="45" t="n"/>
      <c r="AA717" s="45" t="n"/>
      <c r="AB717" s="45" t="n"/>
    </row>
    <row r="718">
      <c r="Z718" s="45" t="n"/>
      <c r="AA718" s="45" t="n"/>
      <c r="AB718" s="45" t="n"/>
    </row>
    <row r="719">
      <c r="Z719" s="45" t="n"/>
      <c r="AA719" s="45" t="n"/>
      <c r="AB719" s="45" t="n"/>
    </row>
    <row r="720">
      <c r="Z720" s="45" t="n"/>
      <c r="AA720" s="45" t="n"/>
      <c r="AB720" s="45" t="n"/>
    </row>
    <row r="721">
      <c r="Z721" s="45" t="n"/>
      <c r="AA721" s="45" t="n"/>
      <c r="AB721" s="45" t="n"/>
    </row>
    <row r="722">
      <c r="Z722" s="45" t="n"/>
      <c r="AA722" s="45" t="n"/>
      <c r="AB722" s="45" t="n"/>
    </row>
    <row r="723">
      <c r="Z723" s="45" t="n"/>
      <c r="AA723" s="45" t="n"/>
      <c r="AB723" s="45" t="n"/>
    </row>
    <row r="724">
      <c r="Z724" s="45" t="n"/>
      <c r="AA724" s="45" t="n"/>
      <c r="AB724" s="45" t="n"/>
    </row>
    <row r="725">
      <c r="Z725" s="45" t="n"/>
      <c r="AA725" s="45" t="n"/>
      <c r="AB725" s="45" t="n"/>
    </row>
    <row r="726">
      <c r="Z726" s="45" t="n"/>
      <c r="AA726" s="45" t="n"/>
      <c r="AB726" s="45" t="n"/>
    </row>
    <row r="727">
      <c r="Z727" s="45" t="n"/>
      <c r="AA727" s="45" t="n"/>
      <c r="AB727" s="45" t="n"/>
    </row>
    <row r="728">
      <c r="Z728" s="45" t="n"/>
      <c r="AA728" s="45" t="n"/>
      <c r="AB728" s="45" t="n"/>
    </row>
    <row r="729">
      <c r="Z729" s="45" t="n"/>
      <c r="AA729" s="45" t="n"/>
      <c r="AB729" s="45" t="n"/>
    </row>
    <row r="730">
      <c r="Z730" s="45" t="n"/>
      <c r="AA730" s="45" t="n"/>
      <c r="AB730" s="45" t="n"/>
    </row>
    <row r="731">
      <c r="Z731" s="45" t="n"/>
      <c r="AA731" s="45" t="n"/>
      <c r="AB731" s="45" t="n"/>
    </row>
    <row r="732">
      <c r="Z732" s="45" t="n"/>
      <c r="AA732" s="45" t="n"/>
      <c r="AB732" s="45" t="n"/>
    </row>
    <row r="733">
      <c r="Z733" s="45" t="n"/>
      <c r="AA733" s="45" t="n"/>
      <c r="AB733" s="45" t="n"/>
    </row>
    <row r="734">
      <c r="Z734" s="45" t="n"/>
      <c r="AA734" s="45" t="n"/>
      <c r="AB734" s="45" t="n"/>
    </row>
    <row r="735">
      <c r="Z735" s="45" t="n"/>
      <c r="AA735" s="45" t="n"/>
      <c r="AB735" s="45" t="n"/>
    </row>
    <row r="736">
      <c r="Z736" s="45" t="n"/>
      <c r="AA736" s="45" t="n"/>
      <c r="AB736" s="45" t="n"/>
    </row>
    <row r="737">
      <c r="Z737" s="45" t="n"/>
      <c r="AA737" s="45" t="n"/>
      <c r="AB737" s="45" t="n"/>
    </row>
    <row r="738">
      <c r="Z738" s="45" t="n"/>
      <c r="AA738" s="45" t="n"/>
      <c r="AB738" s="45" t="n"/>
    </row>
    <row r="739">
      <c r="Z739" s="45" t="n"/>
      <c r="AA739" s="45" t="n"/>
      <c r="AB739" s="45" t="n"/>
    </row>
    <row r="740">
      <c r="Z740" s="45" t="n"/>
      <c r="AA740" s="45" t="n"/>
      <c r="AB740" s="45" t="n"/>
    </row>
    <row r="741">
      <c r="Z741" s="45" t="n"/>
      <c r="AA741" s="45" t="n"/>
      <c r="AB741" s="45" t="n"/>
    </row>
    <row r="742">
      <c r="Z742" s="45" t="n"/>
      <c r="AA742" s="45" t="n"/>
      <c r="AB742" s="45" t="n"/>
    </row>
    <row r="743">
      <c r="Z743" s="45" t="n"/>
      <c r="AA743" s="45" t="n"/>
      <c r="AB743" s="45" t="n"/>
    </row>
    <row r="744">
      <c r="Z744" s="45" t="n"/>
      <c r="AA744" s="45" t="n"/>
      <c r="AB744" s="45" t="n"/>
    </row>
    <row r="745">
      <c r="Z745" s="45" t="n"/>
      <c r="AA745" s="45" t="n"/>
      <c r="AB745" s="45" t="n"/>
    </row>
    <row r="746">
      <c r="Z746" s="45" t="n"/>
      <c r="AA746" s="45" t="n"/>
      <c r="AB746" s="45" t="n"/>
    </row>
    <row r="747">
      <c r="Z747" s="45" t="n"/>
      <c r="AA747" s="45" t="n"/>
      <c r="AB747" s="45" t="n"/>
    </row>
    <row r="748">
      <c r="Z748" s="45" t="n"/>
      <c r="AA748" s="45" t="n"/>
      <c r="AB748" s="45" t="n"/>
    </row>
    <row r="749">
      <c r="Z749" s="45" t="n"/>
      <c r="AA749" s="45" t="n"/>
      <c r="AB749" s="45" t="n"/>
    </row>
    <row r="750">
      <c r="Z750" s="45" t="n"/>
      <c r="AA750" s="45" t="n"/>
      <c r="AB750" s="45" t="n"/>
    </row>
    <row r="751">
      <c r="Z751" s="45" t="n"/>
      <c r="AA751" s="45" t="n"/>
      <c r="AB751" s="45" t="n"/>
    </row>
    <row r="752">
      <c r="Z752" s="45" t="n"/>
      <c r="AA752" s="45" t="n"/>
      <c r="AB752" s="45" t="n"/>
    </row>
    <row r="753">
      <c r="Z753" s="45" t="n"/>
      <c r="AA753" s="45" t="n"/>
      <c r="AB753" s="45" t="n"/>
    </row>
    <row r="754">
      <c r="Z754" s="45" t="n"/>
      <c r="AA754" s="45" t="n"/>
      <c r="AB754" s="45" t="n"/>
    </row>
    <row r="755">
      <c r="Z755" s="45" t="n"/>
      <c r="AA755" s="45" t="n"/>
      <c r="AB755" s="45" t="n"/>
    </row>
    <row r="756">
      <c r="Z756" s="45" t="n"/>
      <c r="AA756" s="45" t="n"/>
      <c r="AB756" s="45" t="n"/>
    </row>
    <row r="757">
      <c r="Z757" s="45" t="n"/>
      <c r="AA757" s="45" t="n"/>
      <c r="AB757" s="45" t="n"/>
    </row>
    <row r="758">
      <c r="Z758" s="45" t="n"/>
      <c r="AA758" s="45" t="n"/>
      <c r="AB758" s="45" t="n"/>
    </row>
    <row r="759">
      <c r="Z759" s="45" t="n"/>
      <c r="AA759" s="45" t="n"/>
      <c r="AB759" s="45" t="n"/>
    </row>
    <row r="760">
      <c r="Z760" s="45" t="n"/>
      <c r="AA760" s="45" t="n"/>
      <c r="AB760" s="45" t="n"/>
    </row>
    <row r="761">
      <c r="Z761" s="45" t="n"/>
      <c r="AA761" s="45" t="n"/>
      <c r="AB761" s="45" t="n"/>
    </row>
    <row r="762">
      <c r="Z762" s="45" t="n"/>
      <c r="AA762" s="45" t="n"/>
      <c r="AB762" s="45" t="n"/>
    </row>
    <row r="763">
      <c r="Z763" s="45" t="n"/>
      <c r="AA763" s="45" t="n"/>
      <c r="AB763" s="45" t="n"/>
    </row>
    <row r="764">
      <c r="Z764" s="45" t="n"/>
      <c r="AA764" s="45" t="n"/>
      <c r="AB764" s="45" t="n"/>
    </row>
    <row r="765">
      <c r="Z765" s="45" t="n"/>
      <c r="AA765" s="45" t="n"/>
      <c r="AB765" s="45" t="n"/>
    </row>
    <row r="766">
      <c r="Z766" s="45" t="n"/>
      <c r="AA766" s="45" t="n"/>
      <c r="AB766" s="45" t="n"/>
    </row>
    <row r="767">
      <c r="Z767" s="45" t="n"/>
      <c r="AA767" s="45" t="n"/>
      <c r="AB767" s="45" t="n"/>
    </row>
    <row r="768">
      <c r="Z768" s="45" t="n"/>
      <c r="AA768" s="45" t="n"/>
      <c r="AB768" s="45" t="n"/>
    </row>
    <row r="769">
      <c r="Z769" s="45" t="n"/>
      <c r="AA769" s="45" t="n"/>
      <c r="AB769" s="45" t="n"/>
    </row>
    <row r="770">
      <c r="Z770" s="45" t="n"/>
      <c r="AA770" s="45" t="n"/>
      <c r="AB770" s="45" t="n"/>
    </row>
    <row r="771">
      <c r="Z771" s="45" t="n"/>
      <c r="AA771" s="45" t="n"/>
      <c r="AB771" s="45" t="n"/>
    </row>
    <row r="772">
      <c r="Z772" s="45" t="n"/>
      <c r="AA772" s="45" t="n"/>
      <c r="AB772" s="45" t="n"/>
    </row>
    <row r="773">
      <c r="Z773" s="45" t="n"/>
      <c r="AA773" s="45" t="n"/>
      <c r="AB773" s="45" t="n"/>
    </row>
    <row r="774">
      <c r="Z774" s="45" t="n"/>
      <c r="AA774" s="45" t="n"/>
      <c r="AB774" s="45" t="n"/>
    </row>
    <row r="775">
      <c r="Z775" s="45" t="n"/>
      <c r="AA775" s="45" t="n"/>
      <c r="AB775" s="45" t="n"/>
    </row>
    <row r="776">
      <c r="Z776" s="45" t="n"/>
      <c r="AA776" s="45" t="n"/>
      <c r="AB776" s="45" t="n"/>
    </row>
    <row r="777">
      <c r="Z777" s="45" t="n"/>
      <c r="AA777" s="45" t="n"/>
      <c r="AB777" s="45" t="n"/>
    </row>
    <row r="778">
      <c r="Z778" s="45" t="n"/>
      <c r="AA778" s="45" t="n"/>
      <c r="AB778" s="45" t="n"/>
    </row>
    <row r="779">
      <c r="Z779" s="45" t="n"/>
      <c r="AA779" s="45" t="n"/>
      <c r="AB779" s="45" t="n"/>
    </row>
    <row r="780">
      <c r="Z780" s="45" t="n"/>
      <c r="AA780" s="45" t="n"/>
      <c r="AB780" s="45" t="n"/>
    </row>
    <row r="781">
      <c r="Z781" s="45" t="n"/>
      <c r="AA781" s="45" t="n"/>
      <c r="AB781" s="45" t="n"/>
    </row>
    <row r="782">
      <c r="Z782" s="45" t="n"/>
      <c r="AA782" s="45" t="n"/>
      <c r="AB782" s="45" t="n"/>
    </row>
    <row r="783">
      <c r="Z783" s="45" t="n"/>
      <c r="AA783" s="45" t="n"/>
      <c r="AB783" s="45" t="n"/>
    </row>
    <row r="784">
      <c r="Z784" s="45" t="n"/>
      <c r="AA784" s="45" t="n"/>
      <c r="AB784" s="45" t="n"/>
    </row>
    <row r="785">
      <c r="Z785" s="45" t="n"/>
      <c r="AA785" s="45" t="n"/>
      <c r="AB785" s="45" t="n"/>
    </row>
    <row r="786">
      <c r="Z786" s="45" t="n"/>
      <c r="AA786" s="45" t="n"/>
      <c r="AB786" s="45" t="n"/>
    </row>
    <row r="787">
      <c r="Z787" s="45" t="n"/>
      <c r="AA787" s="45" t="n"/>
      <c r="AB787" s="45" t="n"/>
    </row>
    <row r="788">
      <c r="Z788" s="45" t="n"/>
      <c r="AA788" s="45" t="n"/>
      <c r="AB788" s="45" t="n"/>
    </row>
    <row r="789">
      <c r="Z789" s="45" t="n"/>
      <c r="AA789" s="45" t="n"/>
      <c r="AB789" s="45" t="n"/>
    </row>
    <row r="790">
      <c r="Z790" s="45" t="n"/>
      <c r="AA790" s="45" t="n"/>
      <c r="AB790" s="45" t="n"/>
    </row>
    <row r="791">
      <c r="Z791" s="45" t="n"/>
      <c r="AA791" s="45" t="n"/>
      <c r="AB791" s="45" t="n"/>
    </row>
    <row r="792">
      <c r="Z792" s="45" t="n"/>
      <c r="AA792" s="45" t="n"/>
      <c r="AB792" s="45" t="n"/>
    </row>
    <row r="793">
      <c r="Z793" s="45" t="n"/>
      <c r="AA793" s="45" t="n"/>
      <c r="AB793" s="45" t="n"/>
    </row>
    <row r="794">
      <c r="Z794" s="45" t="n"/>
      <c r="AA794" s="45" t="n"/>
      <c r="AB794" s="45" t="n"/>
    </row>
    <row r="795">
      <c r="Z795" s="45" t="n"/>
      <c r="AA795" s="45" t="n"/>
      <c r="AB795" s="45" t="n"/>
    </row>
    <row r="796">
      <c r="Z796" s="45" t="n"/>
      <c r="AA796" s="45" t="n"/>
      <c r="AB796" s="45" t="n"/>
    </row>
    <row r="797">
      <c r="Z797" s="45" t="n"/>
      <c r="AA797" s="45" t="n"/>
      <c r="AB797" s="45" t="n"/>
    </row>
    <row r="798">
      <c r="Z798" s="45" t="n"/>
      <c r="AA798" s="45" t="n"/>
      <c r="AB798" s="45" t="n"/>
    </row>
    <row r="799">
      <c r="Z799" s="45" t="n"/>
      <c r="AA799" s="45" t="n"/>
      <c r="AB799" s="45" t="n"/>
    </row>
    <row r="800">
      <c r="Z800" s="45" t="n"/>
      <c r="AA800" s="45" t="n"/>
      <c r="AB800" s="45" t="n"/>
    </row>
    <row r="801">
      <c r="Z801" s="45" t="n"/>
      <c r="AA801" s="45" t="n"/>
      <c r="AB801" s="45" t="n"/>
    </row>
    <row r="802">
      <c r="Z802" s="45" t="n"/>
      <c r="AA802" s="45" t="n"/>
      <c r="AB802" s="45" t="n"/>
    </row>
    <row r="803">
      <c r="Z803" s="45" t="n"/>
      <c r="AA803" s="45" t="n"/>
      <c r="AB803" s="45" t="n"/>
    </row>
    <row r="804">
      <c r="Z804" s="45" t="n"/>
      <c r="AA804" s="45" t="n"/>
      <c r="AB804" s="45" t="n"/>
    </row>
    <row r="805">
      <c r="Z805" s="45" t="n"/>
      <c r="AA805" s="45" t="n"/>
      <c r="AB805" s="45" t="n"/>
    </row>
    <row r="806">
      <c r="Z806" s="45" t="n"/>
      <c r="AA806" s="45" t="n"/>
      <c r="AB806" s="45" t="n"/>
    </row>
    <row r="807">
      <c r="Z807" s="45" t="n"/>
      <c r="AA807" s="45" t="n"/>
      <c r="AB807" s="45" t="n"/>
    </row>
    <row r="808">
      <c r="Z808" s="45" t="n"/>
      <c r="AA808" s="45" t="n"/>
      <c r="AB808" s="45" t="n"/>
    </row>
    <row r="809">
      <c r="Z809" s="45" t="n"/>
      <c r="AA809" s="45" t="n"/>
      <c r="AB809" s="45" t="n"/>
    </row>
    <row r="810">
      <c r="Z810" s="45" t="n"/>
      <c r="AA810" s="45" t="n"/>
      <c r="AB810" s="45" t="n"/>
    </row>
    <row r="811">
      <c r="Z811" s="45" t="n"/>
      <c r="AA811" s="45" t="n"/>
      <c r="AB811" s="45" t="n"/>
    </row>
    <row r="812">
      <c r="Z812" s="45" t="n"/>
      <c r="AA812" s="45" t="n"/>
      <c r="AB812" s="45" t="n"/>
    </row>
    <row r="813">
      <c r="Z813" s="45" t="n"/>
      <c r="AA813" s="45" t="n"/>
      <c r="AB813" s="45" t="n"/>
    </row>
    <row r="814">
      <c r="Z814" s="45" t="n"/>
      <c r="AA814" s="45" t="n"/>
      <c r="AB814" s="45" t="n"/>
    </row>
    <row r="815">
      <c r="Z815" s="45" t="n"/>
      <c r="AA815" s="45" t="n"/>
      <c r="AB815" s="45" t="n"/>
    </row>
    <row r="816">
      <c r="Z816" s="45" t="n"/>
      <c r="AA816" s="45" t="n"/>
      <c r="AB816" s="45" t="n"/>
    </row>
    <row r="817">
      <c r="Z817" s="45" t="n"/>
      <c r="AA817" s="45" t="n"/>
      <c r="AB817" s="45" t="n"/>
    </row>
    <row r="818">
      <c r="Z818" s="45" t="n"/>
      <c r="AA818" s="45" t="n"/>
      <c r="AB818" s="45" t="n"/>
    </row>
    <row r="819">
      <c r="Z819" s="45" t="n"/>
      <c r="AA819" s="45" t="n"/>
      <c r="AB819" s="45" t="n"/>
    </row>
    <row r="820">
      <c r="Z820" s="45" t="n"/>
      <c r="AA820" s="45" t="n"/>
      <c r="AB820" s="45" t="n"/>
    </row>
    <row r="821">
      <c r="Z821" s="45" t="n"/>
      <c r="AA821" s="45" t="n"/>
      <c r="AB821" s="45" t="n"/>
    </row>
    <row r="822">
      <c r="Z822" s="45" t="n"/>
      <c r="AA822" s="45" t="n"/>
      <c r="AB822" s="45" t="n"/>
    </row>
    <row r="823">
      <c r="Z823" s="45" t="n"/>
      <c r="AA823" s="45" t="n"/>
      <c r="AB823" s="45" t="n"/>
    </row>
    <row r="824">
      <c r="Z824" s="45" t="n"/>
      <c r="AA824" s="45" t="n"/>
      <c r="AB824" s="45" t="n"/>
    </row>
    <row r="825">
      <c r="Z825" s="45" t="n"/>
      <c r="AA825" s="45" t="n"/>
      <c r="AB825" s="45" t="n"/>
    </row>
    <row r="826">
      <c r="Z826" s="45" t="n"/>
      <c r="AA826" s="45" t="n"/>
      <c r="AB826" s="45" t="n"/>
    </row>
    <row r="827">
      <c r="Z827" s="45" t="n"/>
      <c r="AA827" s="45" t="n"/>
      <c r="AB827" s="45" t="n"/>
    </row>
    <row r="828">
      <c r="Z828" s="45" t="n"/>
      <c r="AA828" s="45" t="n"/>
      <c r="AB828" s="45" t="n"/>
    </row>
    <row r="829">
      <c r="Z829" s="45" t="n"/>
      <c r="AA829" s="45" t="n"/>
      <c r="AB829" s="45" t="n"/>
    </row>
    <row r="830">
      <c r="Z830" s="45" t="n"/>
      <c r="AA830" s="45" t="n"/>
      <c r="AB830" s="45" t="n"/>
    </row>
    <row r="831">
      <c r="Z831" s="45" t="n"/>
      <c r="AA831" s="45" t="n"/>
      <c r="AB831" s="45" t="n"/>
    </row>
    <row r="832">
      <c r="Z832" s="45" t="n"/>
      <c r="AA832" s="45" t="n"/>
      <c r="AB832" s="45" t="n"/>
    </row>
    <row r="833">
      <c r="Z833" s="45" t="n"/>
      <c r="AA833" s="45" t="n"/>
      <c r="AB833" s="45" t="n"/>
    </row>
    <row r="834">
      <c r="Z834" s="45" t="n"/>
      <c r="AA834" s="45" t="n"/>
      <c r="AB834" s="45" t="n"/>
    </row>
    <row r="835">
      <c r="Z835" s="45" t="n"/>
      <c r="AA835" s="45" t="n"/>
      <c r="AB835" s="45" t="n"/>
    </row>
    <row r="836">
      <c r="Z836" s="45" t="n"/>
      <c r="AA836" s="45" t="n"/>
      <c r="AB836" s="45" t="n"/>
    </row>
    <row r="837">
      <c r="Z837" s="45" t="n"/>
      <c r="AA837" s="45" t="n"/>
      <c r="AB837" s="45" t="n"/>
    </row>
    <row r="838">
      <c r="Z838" s="45" t="n"/>
      <c r="AA838" s="45" t="n"/>
      <c r="AB838" s="45" t="n"/>
    </row>
    <row r="839">
      <c r="Z839" s="45" t="n"/>
      <c r="AA839" s="45" t="n"/>
      <c r="AB839" s="45" t="n"/>
    </row>
    <row r="840">
      <c r="Z840" s="45" t="n"/>
      <c r="AA840" s="45" t="n"/>
      <c r="AB840" s="45" t="n"/>
    </row>
    <row r="841">
      <c r="Z841" s="45" t="n"/>
      <c r="AA841" s="45" t="n"/>
      <c r="AB841" s="45" t="n"/>
    </row>
    <row r="842">
      <c r="Z842" s="45" t="n"/>
      <c r="AA842" s="45" t="n"/>
      <c r="AB842" s="45" t="n"/>
    </row>
    <row r="843">
      <c r="Z843" s="45" t="n"/>
      <c r="AA843" s="45" t="n"/>
      <c r="AB843" s="45" t="n"/>
    </row>
    <row r="844">
      <c r="Z844" s="45" t="n"/>
      <c r="AA844" s="45" t="n"/>
      <c r="AB844" s="45" t="n"/>
    </row>
    <row r="845">
      <c r="Z845" s="45" t="n"/>
      <c r="AA845" s="45" t="n"/>
      <c r="AB845" s="45" t="n"/>
    </row>
    <row r="846">
      <c r="Z846" s="45" t="n"/>
      <c r="AA846" s="45" t="n"/>
      <c r="AB846" s="45" t="n"/>
    </row>
    <row r="847">
      <c r="Z847" s="45" t="n"/>
      <c r="AA847" s="45" t="n"/>
      <c r="AB847" s="45" t="n"/>
    </row>
    <row r="848">
      <c r="Z848" s="45" t="n"/>
      <c r="AA848" s="45" t="n"/>
      <c r="AB848" s="45" t="n"/>
    </row>
    <row r="849">
      <c r="Z849" s="45" t="n"/>
      <c r="AA849" s="45" t="n"/>
      <c r="AB849" s="45" t="n"/>
    </row>
    <row r="850">
      <c r="Z850" s="45" t="n"/>
      <c r="AA850" s="45" t="n"/>
      <c r="AB850" s="45" t="n"/>
    </row>
    <row r="851">
      <c r="Z851" s="45" t="n"/>
      <c r="AA851" s="45" t="n"/>
      <c r="AB851" s="45" t="n"/>
    </row>
    <row r="852">
      <c r="Z852" s="45" t="n"/>
      <c r="AA852" s="45" t="n"/>
      <c r="AB852" s="45" t="n"/>
    </row>
    <row r="853">
      <c r="Z853" s="45" t="n"/>
      <c r="AA853" s="45" t="n"/>
      <c r="AB853" s="45" t="n"/>
    </row>
    <row r="854">
      <c r="Z854" s="45" t="n"/>
      <c r="AA854" s="45" t="n"/>
      <c r="AB854" s="45" t="n"/>
    </row>
    <row r="855">
      <c r="Z855" s="45" t="n"/>
      <c r="AA855" s="45" t="n"/>
      <c r="AB855" s="45" t="n"/>
    </row>
    <row r="856">
      <c r="Z856" s="45" t="n"/>
      <c r="AA856" s="45" t="n"/>
      <c r="AB856" s="45" t="n"/>
    </row>
    <row r="857">
      <c r="Z857" s="45" t="n"/>
      <c r="AA857" s="45" t="n"/>
      <c r="AB857" s="45" t="n"/>
    </row>
    <row r="858">
      <c r="Z858" s="45" t="n"/>
      <c r="AA858" s="45" t="n"/>
      <c r="AB858" s="45" t="n"/>
    </row>
    <row r="859">
      <c r="Z859" s="45" t="n"/>
      <c r="AA859" s="45" t="n"/>
      <c r="AB859" s="45" t="n"/>
    </row>
    <row r="860">
      <c r="Z860" s="45" t="n"/>
      <c r="AA860" s="45" t="n"/>
      <c r="AB860" s="45" t="n"/>
    </row>
    <row r="861">
      <c r="Z861" s="45" t="n"/>
      <c r="AA861" s="45" t="n"/>
      <c r="AB861" s="45" t="n"/>
    </row>
    <row r="862">
      <c r="Z862" s="45" t="n"/>
      <c r="AA862" s="45" t="n"/>
      <c r="AB862" s="45" t="n"/>
    </row>
    <row r="863">
      <c r="Z863" s="45" t="n"/>
      <c r="AA863" s="45" t="n"/>
      <c r="AB863" s="45" t="n"/>
    </row>
    <row r="864">
      <c r="Z864" s="45" t="n"/>
      <c r="AA864" s="45" t="n"/>
      <c r="AB864" s="45" t="n"/>
    </row>
    <row r="865">
      <c r="Z865" s="45" t="n"/>
      <c r="AA865" s="45" t="n"/>
      <c r="AB865" s="45" t="n"/>
    </row>
    <row r="866">
      <c r="Z866" s="45" t="n"/>
      <c r="AA866" s="45" t="n"/>
      <c r="AB866" s="45" t="n"/>
    </row>
    <row r="867">
      <c r="Z867" s="45" t="n"/>
      <c r="AA867" s="45" t="n"/>
      <c r="AB867" s="45" t="n"/>
    </row>
    <row r="868">
      <c r="Z868" s="45" t="n"/>
      <c r="AA868" s="45" t="n"/>
      <c r="AB868" s="45" t="n"/>
    </row>
    <row r="869">
      <c r="Z869" s="45" t="n"/>
      <c r="AA869" s="45" t="n"/>
      <c r="AB869" s="45" t="n"/>
    </row>
    <row r="870">
      <c r="Z870" s="45" t="n"/>
      <c r="AA870" s="45" t="n"/>
      <c r="AB870" s="45" t="n"/>
    </row>
    <row r="871">
      <c r="Z871" s="45" t="n"/>
      <c r="AA871" s="45" t="n"/>
      <c r="AB871" s="45" t="n"/>
    </row>
    <row r="872">
      <c r="Z872" s="45" t="n"/>
      <c r="AA872" s="45" t="n"/>
      <c r="AB872" s="45" t="n"/>
    </row>
    <row r="873">
      <c r="Z873" s="45" t="n"/>
      <c r="AA873" s="45" t="n"/>
      <c r="AB873" s="45" t="n"/>
    </row>
    <row r="874">
      <c r="Z874" s="45" t="n"/>
      <c r="AA874" s="45" t="n"/>
      <c r="AB874" s="45" t="n"/>
    </row>
    <row r="875">
      <c r="Z875" s="45" t="n"/>
      <c r="AA875" s="45" t="n"/>
      <c r="AB875" s="45" t="n"/>
    </row>
    <row r="876">
      <c r="Z876" s="45" t="n"/>
      <c r="AA876" s="45" t="n"/>
      <c r="AB876" s="45" t="n"/>
    </row>
    <row r="877">
      <c r="Z877" s="45" t="n"/>
      <c r="AA877" s="45" t="n"/>
      <c r="AB877" s="45" t="n"/>
    </row>
    <row r="878">
      <c r="Z878" s="45" t="n"/>
      <c r="AA878" s="45" t="n"/>
      <c r="AB878" s="45" t="n"/>
    </row>
    <row r="879">
      <c r="Z879" s="45" t="n"/>
      <c r="AA879" s="45" t="n"/>
      <c r="AB879" s="45" t="n"/>
    </row>
    <row r="880">
      <c r="Z880" s="45" t="n"/>
      <c r="AA880" s="45" t="n"/>
      <c r="AB880" s="45" t="n"/>
    </row>
    <row r="881">
      <c r="Z881" s="45" t="n"/>
      <c r="AA881" s="45" t="n"/>
      <c r="AB881" s="45" t="n"/>
    </row>
    <row r="882">
      <c r="Z882" s="45" t="n"/>
      <c r="AA882" s="45" t="n"/>
      <c r="AB882" s="45" t="n"/>
    </row>
    <row r="883">
      <c r="Z883" s="45" t="n"/>
      <c r="AA883" s="45" t="n"/>
      <c r="AB883" s="45" t="n"/>
    </row>
    <row r="884">
      <c r="Z884" s="45" t="n"/>
      <c r="AA884" s="45" t="n"/>
      <c r="AB884" s="45" t="n"/>
    </row>
    <row r="885">
      <c r="Z885" s="45" t="n"/>
      <c r="AA885" s="45" t="n"/>
      <c r="AB885" s="45" t="n"/>
    </row>
    <row r="886">
      <c r="Z886" s="45" t="n"/>
      <c r="AA886" s="45" t="n"/>
      <c r="AB886" s="45" t="n"/>
    </row>
    <row r="887">
      <c r="Z887" s="45" t="n"/>
      <c r="AA887" s="45" t="n"/>
      <c r="AB887" s="45" t="n"/>
    </row>
    <row r="888">
      <c r="Z888" s="45" t="n"/>
      <c r="AA888" s="45" t="n"/>
      <c r="AB888" s="45" t="n"/>
    </row>
    <row r="889">
      <c r="Z889" s="45" t="n"/>
      <c r="AA889" s="45" t="n"/>
      <c r="AB889" s="45" t="n"/>
    </row>
    <row r="890">
      <c r="Z890" s="45" t="n"/>
      <c r="AA890" s="45" t="n"/>
      <c r="AB890" s="45" t="n"/>
    </row>
    <row r="891">
      <c r="Z891" s="45" t="n"/>
      <c r="AA891" s="45" t="n"/>
      <c r="AB891" s="45" t="n"/>
    </row>
    <row r="892">
      <c r="Z892" s="45" t="n"/>
      <c r="AA892" s="45" t="n"/>
      <c r="AB892" s="45" t="n"/>
    </row>
    <row r="893">
      <c r="Z893" s="45" t="n"/>
      <c r="AA893" s="45" t="n"/>
      <c r="AB893" s="45" t="n"/>
    </row>
    <row r="894">
      <c r="Z894" s="45" t="n"/>
      <c r="AA894" s="45" t="n"/>
      <c r="AB894" s="45" t="n"/>
    </row>
    <row r="895">
      <c r="Z895" s="45" t="n"/>
      <c r="AA895" s="45" t="n"/>
      <c r="AB895" s="45" t="n"/>
    </row>
    <row r="896">
      <c r="Z896" s="45" t="n"/>
      <c r="AA896" s="45" t="n"/>
      <c r="AB896" s="45" t="n"/>
    </row>
    <row r="897">
      <c r="Z897" s="45" t="n"/>
      <c r="AA897" s="45" t="n"/>
      <c r="AB897" s="45" t="n"/>
    </row>
    <row r="898">
      <c r="Z898" s="45" t="n"/>
      <c r="AA898" s="45" t="n"/>
      <c r="AB898" s="45" t="n"/>
    </row>
    <row r="899">
      <c r="Z899" s="45" t="n"/>
      <c r="AA899" s="45" t="n"/>
      <c r="AB899" s="45" t="n"/>
    </row>
    <row r="900">
      <c r="Z900" s="45" t="n"/>
      <c r="AA900" s="45" t="n"/>
      <c r="AB900" s="45" t="n"/>
    </row>
    <row r="901">
      <c r="Z901" s="45" t="n"/>
      <c r="AA901" s="45" t="n"/>
      <c r="AB901" s="45" t="n"/>
    </row>
    <row r="902">
      <c r="Z902" s="45" t="n"/>
      <c r="AA902" s="45" t="n"/>
      <c r="AB902" s="45" t="n"/>
    </row>
    <row r="903">
      <c r="Z903" s="45" t="n"/>
      <c r="AA903" s="45" t="n"/>
      <c r="AB903" s="45" t="n"/>
    </row>
    <row r="904">
      <c r="Z904" s="45" t="n"/>
      <c r="AA904" s="45" t="n"/>
      <c r="AB904" s="45" t="n"/>
    </row>
    <row r="905">
      <c r="Z905" s="45" t="n"/>
      <c r="AA905" s="45" t="n"/>
      <c r="AB905" s="45" t="n"/>
    </row>
    <row r="906">
      <c r="Z906" s="45" t="n"/>
      <c r="AA906" s="45" t="n"/>
      <c r="AB906" s="45" t="n"/>
    </row>
    <row r="907">
      <c r="Z907" s="45" t="n"/>
      <c r="AA907" s="45" t="n"/>
      <c r="AB907" s="45" t="n"/>
    </row>
    <row r="908">
      <c r="Z908" s="45" t="n"/>
      <c r="AA908" s="45" t="n"/>
      <c r="AB908" s="45" t="n"/>
    </row>
    <row r="909">
      <c r="Z909" s="45" t="n"/>
      <c r="AA909" s="45" t="n"/>
      <c r="AB909" s="45" t="n"/>
    </row>
    <row r="910">
      <c r="Z910" s="45" t="n"/>
      <c r="AA910" s="45" t="n"/>
      <c r="AB910" s="45" t="n"/>
    </row>
    <row r="911">
      <c r="Z911" s="45" t="n"/>
      <c r="AA911" s="45" t="n"/>
      <c r="AB911" s="45" t="n"/>
    </row>
    <row r="912">
      <c r="Z912" s="45" t="n"/>
      <c r="AA912" s="45" t="n"/>
      <c r="AB912" s="45" t="n"/>
    </row>
    <row r="913">
      <c r="Z913" s="45" t="n"/>
      <c r="AA913" s="45" t="n"/>
      <c r="AB913" s="45" t="n"/>
    </row>
    <row r="914">
      <c r="Z914" s="45" t="n"/>
      <c r="AA914" s="45" t="n"/>
      <c r="AB914" s="45" t="n"/>
    </row>
    <row r="915">
      <c r="Z915" s="45" t="n"/>
      <c r="AA915" s="45" t="n"/>
      <c r="AB915" s="45" t="n"/>
    </row>
    <row r="916">
      <c r="Z916" s="45" t="n"/>
      <c r="AA916" s="45" t="n"/>
      <c r="AB916" s="45" t="n"/>
    </row>
    <row r="917">
      <c r="Z917" s="45" t="n"/>
      <c r="AA917" s="45" t="n"/>
      <c r="AB917" s="45" t="n"/>
    </row>
    <row r="918">
      <c r="Z918" s="45" t="n"/>
      <c r="AA918" s="45" t="n"/>
      <c r="AB918" s="45" t="n"/>
    </row>
    <row r="919">
      <c r="Z919" s="45" t="n"/>
      <c r="AA919" s="45" t="n"/>
      <c r="AB919" s="45" t="n"/>
    </row>
    <row r="920">
      <c r="Z920" s="45" t="n"/>
      <c r="AA920" s="45" t="n"/>
      <c r="AB920" s="45" t="n"/>
    </row>
    <row r="921">
      <c r="Z921" s="45" t="n"/>
      <c r="AA921" s="45" t="n"/>
      <c r="AB921" s="45" t="n"/>
    </row>
    <row r="922">
      <c r="Z922" s="45" t="n"/>
      <c r="AA922" s="45" t="n"/>
      <c r="AB922" s="45" t="n"/>
    </row>
    <row r="923">
      <c r="Z923" s="45" t="n"/>
      <c r="AA923" s="45" t="n"/>
      <c r="AB923" s="45" t="n"/>
    </row>
    <row r="924">
      <c r="Z924" s="45" t="n"/>
      <c r="AA924" s="45" t="n"/>
      <c r="AB924" s="45" t="n"/>
    </row>
    <row r="925">
      <c r="Z925" s="45" t="n"/>
      <c r="AA925" s="45" t="n"/>
      <c r="AB925" s="45" t="n"/>
    </row>
    <row r="926">
      <c r="Z926" s="45" t="n"/>
      <c r="AA926" s="45" t="n"/>
      <c r="AB926" s="45" t="n"/>
    </row>
    <row r="927">
      <c r="Z927" s="45" t="n"/>
      <c r="AA927" s="45" t="n"/>
      <c r="AB927" s="45" t="n"/>
    </row>
    <row r="928">
      <c r="Z928" s="45" t="n"/>
      <c r="AA928" s="45" t="n"/>
      <c r="AB928" s="45" t="n"/>
    </row>
    <row r="929">
      <c r="Z929" s="45" t="n"/>
      <c r="AA929" s="45" t="n"/>
      <c r="AB929" s="45" t="n"/>
    </row>
    <row r="930">
      <c r="Z930" s="45" t="n"/>
      <c r="AA930" s="45" t="n"/>
      <c r="AB930" s="45" t="n"/>
    </row>
    <row r="931">
      <c r="Z931" s="45" t="n"/>
      <c r="AA931" s="45" t="n"/>
      <c r="AB931" s="45" t="n"/>
    </row>
    <row r="932">
      <c r="Z932" s="45" t="n"/>
      <c r="AA932" s="45" t="n"/>
      <c r="AB932" s="45" t="n"/>
    </row>
    <row r="933">
      <c r="Z933" s="45" t="n"/>
      <c r="AA933" s="45" t="n"/>
      <c r="AB933" s="45" t="n"/>
    </row>
    <row r="934">
      <c r="Z934" s="45" t="n"/>
      <c r="AA934" s="45" t="n"/>
      <c r="AB934" s="45" t="n"/>
    </row>
    <row r="935">
      <c r="Z935" s="45" t="n"/>
      <c r="AA935" s="45" t="n"/>
      <c r="AB935" s="45" t="n"/>
    </row>
    <row r="936">
      <c r="Z936" s="45" t="n"/>
      <c r="AA936" s="45" t="n"/>
      <c r="AB936" s="45" t="n"/>
    </row>
    <row r="937">
      <c r="Z937" s="45" t="n"/>
      <c r="AA937" s="45" t="n"/>
      <c r="AB937" s="45" t="n"/>
    </row>
    <row r="938">
      <c r="Z938" s="45" t="n"/>
      <c r="AA938" s="45" t="n"/>
      <c r="AB938" s="45" t="n"/>
    </row>
    <row r="939">
      <c r="Z939" s="45" t="n"/>
      <c r="AA939" s="45" t="n"/>
      <c r="AB939" s="45" t="n"/>
    </row>
    <row r="940">
      <c r="Z940" s="45" t="n"/>
      <c r="AA940" s="45" t="n"/>
      <c r="AB940" s="45" t="n"/>
    </row>
    <row r="941">
      <c r="Z941" s="45" t="n"/>
      <c r="AA941" s="45" t="n"/>
      <c r="AB941" s="45" t="n"/>
    </row>
    <row r="942">
      <c r="Z942" s="45" t="n"/>
      <c r="AA942" s="45" t="n"/>
      <c r="AB942" s="45" t="n"/>
    </row>
    <row r="943">
      <c r="Z943" s="45" t="n"/>
      <c r="AA943" s="45" t="n"/>
      <c r="AB943" s="45" t="n"/>
    </row>
    <row r="944">
      <c r="Z944" s="45" t="n"/>
      <c r="AA944" s="45" t="n"/>
      <c r="AB944" s="45" t="n"/>
    </row>
    <row r="945">
      <c r="Z945" s="45" t="n"/>
      <c r="AA945" s="45" t="n"/>
      <c r="AB945" s="45" t="n"/>
    </row>
    <row r="946">
      <c r="Z946" s="45" t="n"/>
      <c r="AA946" s="45" t="n"/>
      <c r="AB946" s="45" t="n"/>
    </row>
    <row r="947">
      <c r="Z947" s="45" t="n"/>
      <c r="AA947" s="45" t="n"/>
      <c r="AB947" s="45" t="n"/>
    </row>
    <row r="948">
      <c r="Z948" s="45" t="n"/>
      <c r="AA948" s="45" t="n"/>
      <c r="AB948" s="45" t="n"/>
    </row>
    <row r="949">
      <c r="Z949" s="45" t="n"/>
      <c r="AA949" s="45" t="n"/>
      <c r="AB949" s="45" t="n"/>
    </row>
    <row r="950">
      <c r="Z950" s="45" t="n"/>
      <c r="AA950" s="45" t="n"/>
      <c r="AB950" s="45" t="n"/>
    </row>
    <row r="951">
      <c r="Z951" s="45" t="n"/>
      <c r="AA951" s="45" t="n"/>
      <c r="AB951" s="45" t="n"/>
    </row>
    <row r="952">
      <c r="Z952" s="45" t="n"/>
      <c r="AA952" s="45" t="n"/>
      <c r="AB952" s="45" t="n"/>
    </row>
    <row r="953">
      <c r="Z953" s="45" t="n"/>
      <c r="AA953" s="45" t="n"/>
      <c r="AB953" s="45" t="n"/>
    </row>
    <row r="954">
      <c r="Z954" s="45" t="n"/>
      <c r="AA954" s="45" t="n"/>
      <c r="AB954" s="45" t="n"/>
    </row>
    <row r="955">
      <c r="Z955" s="45" t="n"/>
      <c r="AA955" s="45" t="n"/>
      <c r="AB955" s="45" t="n"/>
    </row>
    <row r="956">
      <c r="Z956" s="45" t="n"/>
      <c r="AA956" s="45" t="n"/>
      <c r="AB956" s="45" t="n"/>
    </row>
    <row r="957">
      <c r="Z957" s="45" t="n"/>
      <c r="AA957" s="45" t="n"/>
      <c r="AB957" s="45" t="n"/>
    </row>
    <row r="958">
      <c r="Z958" s="45" t="n"/>
      <c r="AA958" s="45" t="n"/>
      <c r="AB958" s="45" t="n"/>
    </row>
    <row r="959">
      <c r="Z959" s="45" t="n"/>
      <c r="AA959" s="45" t="n"/>
      <c r="AB959" s="45" t="n"/>
    </row>
    <row r="960">
      <c r="Z960" s="45" t="n"/>
      <c r="AA960" s="45" t="n"/>
      <c r="AB960" s="45" t="n"/>
    </row>
    <row r="961">
      <c r="Z961" s="45" t="n"/>
      <c r="AA961" s="45" t="n"/>
      <c r="AB961" s="45" t="n"/>
    </row>
    <row r="962">
      <c r="Z962" s="45" t="n"/>
      <c r="AA962" s="45" t="n"/>
      <c r="AB962" s="45" t="n"/>
    </row>
    <row r="963">
      <c r="Z963" s="45" t="n"/>
      <c r="AA963" s="45" t="n"/>
      <c r="AB963" s="45" t="n"/>
    </row>
    <row r="964">
      <c r="Z964" s="45" t="n"/>
      <c r="AA964" s="45" t="n"/>
      <c r="AB964" s="45" t="n"/>
    </row>
    <row r="965">
      <c r="Z965" s="45" t="n"/>
      <c r="AA965" s="45" t="n"/>
      <c r="AB965" s="45" t="n"/>
    </row>
    <row r="966">
      <c r="Z966" s="45" t="n"/>
      <c r="AA966" s="45" t="n"/>
      <c r="AB966" s="45" t="n"/>
    </row>
    <row r="967">
      <c r="Z967" s="45" t="n"/>
      <c r="AA967" s="45" t="n"/>
      <c r="AB967" s="45" t="n"/>
    </row>
    <row r="968">
      <c r="Z968" s="45" t="n"/>
      <c r="AA968" s="45" t="n"/>
      <c r="AB968" s="45" t="n"/>
    </row>
    <row r="969">
      <c r="Z969" s="45" t="n"/>
      <c r="AA969" s="45" t="n"/>
      <c r="AB969" s="45" t="n"/>
    </row>
    <row r="970">
      <c r="Z970" s="45" t="n"/>
      <c r="AA970" s="45" t="n"/>
      <c r="AB970" s="45" t="n"/>
    </row>
    <row r="971">
      <c r="Z971" s="45" t="n"/>
      <c r="AA971" s="45" t="n"/>
      <c r="AB971" s="45" t="n"/>
    </row>
    <row r="972">
      <c r="Z972" s="45" t="n"/>
      <c r="AA972" s="45" t="n"/>
      <c r="AB972" s="45" t="n"/>
    </row>
    <row r="973">
      <c r="Z973" s="45" t="n"/>
      <c r="AA973" s="45" t="n"/>
      <c r="AB973" s="45" t="n"/>
    </row>
    <row r="974">
      <c r="Z974" s="45" t="n"/>
      <c r="AA974" s="45" t="n"/>
      <c r="AB974" s="45" t="n"/>
    </row>
    <row r="975">
      <c r="Z975" s="45" t="n"/>
      <c r="AA975" s="45" t="n"/>
      <c r="AB975" s="45" t="n"/>
    </row>
    <row r="976">
      <c r="Z976" s="45" t="n"/>
      <c r="AA976" s="45" t="n"/>
      <c r="AB976" s="45" t="n"/>
    </row>
    <row r="977">
      <c r="Z977" s="45" t="n"/>
      <c r="AA977" s="45" t="n"/>
      <c r="AB977" s="45" t="n"/>
    </row>
    <row r="978">
      <c r="Z978" s="45" t="n"/>
      <c r="AA978" s="45" t="n"/>
      <c r="AB978" s="45" t="n"/>
    </row>
    <row r="979">
      <c r="Z979" s="45" t="n"/>
      <c r="AA979" s="45" t="n"/>
      <c r="AB979" s="45" t="n"/>
    </row>
    <row r="980">
      <c r="Z980" s="45" t="n"/>
      <c r="AA980" s="45" t="n"/>
      <c r="AB980" s="45" t="n"/>
    </row>
    <row r="981">
      <c r="Z981" s="45" t="n"/>
      <c r="AA981" s="45" t="n"/>
      <c r="AB981" s="45" t="n"/>
    </row>
    <row r="982">
      <c r="Z982" s="45" t="n"/>
      <c r="AA982" s="45" t="n"/>
      <c r="AB982" s="45" t="n"/>
    </row>
    <row r="983">
      <c r="Z983" s="45" t="n"/>
      <c r="AA983" s="45" t="n"/>
      <c r="AB983" s="45" t="n"/>
    </row>
    <row r="984">
      <c r="Z984" s="45" t="n"/>
      <c r="AA984" s="45" t="n"/>
      <c r="AB984" s="45" t="n"/>
    </row>
    <row r="985">
      <c r="Z985" s="45" t="n"/>
      <c r="AA985" s="45" t="n"/>
      <c r="AB985" s="45" t="n"/>
    </row>
    <row r="986">
      <c r="Z986" s="45" t="n"/>
      <c r="AA986" s="45" t="n"/>
      <c r="AB986" s="45" t="n"/>
    </row>
    <row r="987">
      <c r="Z987" s="45" t="n"/>
      <c r="AA987" s="45" t="n"/>
      <c r="AB987" s="45" t="n"/>
    </row>
    <row r="988">
      <c r="Z988" s="45" t="n"/>
      <c r="AA988" s="45" t="n"/>
      <c r="AB988" s="45" t="n"/>
    </row>
    <row r="989">
      <c r="Z989" s="45" t="n"/>
      <c r="AA989" s="45" t="n"/>
      <c r="AB989" s="45" t="n"/>
    </row>
    <row r="990">
      <c r="Z990" s="45" t="n"/>
      <c r="AA990" s="45" t="n"/>
      <c r="AB990" s="45" t="n"/>
    </row>
    <row r="991">
      <c r="Z991" s="45" t="n"/>
      <c r="AA991" s="45" t="n"/>
      <c r="AB991" s="45" t="n"/>
    </row>
    <row r="992">
      <c r="Z992" s="45" t="n"/>
      <c r="AA992" s="45" t="n"/>
      <c r="AB992" s="45" t="n"/>
    </row>
    <row r="993">
      <c r="Z993" s="45" t="n"/>
      <c r="AA993" s="45" t="n"/>
      <c r="AB993" s="45" t="n"/>
    </row>
    <row r="994">
      <c r="Z994" s="45" t="n"/>
      <c r="AA994" s="45" t="n"/>
      <c r="AB994" s="45" t="n"/>
    </row>
    <row r="995">
      <c r="Z995" s="45" t="n"/>
      <c r="AA995" s="45" t="n"/>
      <c r="AB995" s="45" t="n"/>
    </row>
    <row r="996">
      <c r="Z996" s="45" t="n"/>
      <c r="AA996" s="45" t="n"/>
      <c r="AB996" s="45" t="n"/>
    </row>
    <row r="997">
      <c r="Z997" s="45" t="n"/>
      <c r="AA997" s="45" t="n"/>
      <c r="AB997" s="45" t="n"/>
    </row>
    <row r="998">
      <c r="Z998" s="45" t="n"/>
      <c r="AA998" s="45" t="n"/>
      <c r="AB998" s="45" t="n"/>
    </row>
    <row r="999">
      <c r="Z999" s="45" t="n"/>
      <c r="AA999" s="45" t="n"/>
      <c r="AB999" s="45" t="n"/>
    </row>
    <row r="1000">
      <c r="Z1000" s="45" t="n"/>
      <c r="AA1000" s="45" t="n"/>
      <c r="AB1000" s="45" t="n"/>
    </row>
    <row r="1001">
      <c r="Z1001" s="45" t="n"/>
      <c r="AA1001" s="45" t="n"/>
      <c r="AB1001" s="45" t="n"/>
    </row>
    <row r="1002">
      <c r="Z1002" s="45" t="n"/>
      <c r="AA1002" s="45" t="n"/>
      <c r="AB1002" s="45" t="n"/>
    </row>
    <row r="1003">
      <c r="Z1003" s="45" t="n"/>
      <c r="AA1003" s="45" t="n"/>
      <c r="AB1003" s="45" t="n"/>
    </row>
    <row r="1004">
      <c r="Z1004" s="45" t="n"/>
      <c r="AA1004" s="45" t="n"/>
      <c r="AB1004" s="45" t="n"/>
    </row>
    <row r="1005">
      <c r="Z1005" s="45" t="n"/>
      <c r="AA1005" s="45" t="n"/>
      <c r="AB1005" s="45" t="n"/>
    </row>
    <row r="1006">
      <c r="Z1006" s="45" t="n"/>
      <c r="AA1006" s="45" t="n"/>
      <c r="AB1006" s="45" t="n"/>
    </row>
    <row r="1007">
      <c r="Z1007" s="45" t="n"/>
      <c r="AA1007" s="45" t="n"/>
      <c r="AB1007" s="45" t="n"/>
    </row>
    <row r="1008">
      <c r="Z1008" s="45" t="n"/>
      <c r="AA1008" s="45" t="n"/>
      <c r="AB1008" s="45" t="n"/>
    </row>
    <row r="1009">
      <c r="Z1009" s="45" t="n"/>
      <c r="AA1009" s="45" t="n"/>
      <c r="AB1009" s="45" t="n"/>
    </row>
  </sheetData>
  <autoFilter ref="B1:AJ387"/>
  <mergeCells count="306">
    <mergeCell ref="AB224:AB230"/>
    <mergeCell ref="Z189:Z195"/>
    <mergeCell ref="Z322:Z328"/>
    <mergeCell ref="A331:A337"/>
    <mergeCell ref="A205:A211"/>
    <mergeCell ref="X268:X274"/>
    <mergeCell ref="A254:A260"/>
    <mergeCell ref="X170:X176"/>
    <mergeCell ref="X65:X71"/>
    <mergeCell ref="AA175:AA181"/>
    <mergeCell ref="AD137:AI137"/>
    <mergeCell ref="Z26:Z31"/>
    <mergeCell ref="Z161:Z167"/>
    <mergeCell ref="X310:X316"/>
    <mergeCell ref="AB217:AB223"/>
    <mergeCell ref="AB161:AB167"/>
    <mergeCell ref="A198:A204"/>
    <mergeCell ref="X142:X148"/>
    <mergeCell ref="AD65:AI65"/>
    <mergeCell ref="A247:A253"/>
    <mergeCell ref="X58:X64"/>
    <mergeCell ref="A72:A78"/>
    <mergeCell ref="AA168:AA174"/>
    <mergeCell ref="Z203:Z209"/>
    <mergeCell ref="AA44:AA49"/>
    <mergeCell ref="Z294:Z300"/>
    <mergeCell ref="AB210:AB216"/>
    <mergeCell ref="Z308:Z314"/>
    <mergeCell ref="X275:X281"/>
    <mergeCell ref="AB308:AB314"/>
    <mergeCell ref="A240:A246"/>
    <mergeCell ref="X156:X162"/>
    <mergeCell ref="X51:X57"/>
    <mergeCell ref="A184:A190"/>
    <mergeCell ref="AA336:AA342"/>
    <mergeCell ref="X9:X15"/>
    <mergeCell ref="AB147:AB153"/>
    <mergeCell ref="I379:I381"/>
    <mergeCell ref="Z50:Z55"/>
    <mergeCell ref="AA273:AA279"/>
    <mergeCell ref="X93:X99"/>
    <mergeCell ref="AB196:AB202"/>
    <mergeCell ref="AD91:AI91"/>
    <mergeCell ref="AB50:AB55"/>
    <mergeCell ref="AA322:AA328"/>
    <mergeCell ref="AB294:AB300"/>
    <mergeCell ref="A114:A120"/>
    <mergeCell ref="A170:A176"/>
    <mergeCell ref="Z105:Z111"/>
    <mergeCell ref="AD93:AI93"/>
    <mergeCell ref="Z77:Z83"/>
    <mergeCell ref="X135:X141"/>
    <mergeCell ref="AD277:AI281"/>
    <mergeCell ref="Z350:Z356"/>
    <mergeCell ref="Z126:Z132"/>
    <mergeCell ref="Z20:Z25"/>
    <mergeCell ref="A338:A344"/>
    <mergeCell ref="AB182:AB188"/>
    <mergeCell ref="AD170:AI170"/>
    <mergeCell ref="Z14:Z19"/>
    <mergeCell ref="X247:X253"/>
    <mergeCell ref="X303:X309"/>
    <mergeCell ref="AA308:AA314"/>
    <mergeCell ref="AD292:AI296"/>
    <mergeCell ref="AA357:AA363"/>
    <mergeCell ref="X352:X358"/>
    <mergeCell ref="AA105:AA111"/>
    <mergeCell ref="A275:A281"/>
    <mergeCell ref="Z91:Z97"/>
    <mergeCell ref="X240:X246"/>
    <mergeCell ref="AD343:AI343"/>
    <mergeCell ref="AD290:AI290"/>
    <mergeCell ref="Z336:Z342"/>
    <mergeCell ref="AA98:AA104"/>
    <mergeCell ref="AB336:AB342"/>
    <mergeCell ref="A268:A274"/>
    <mergeCell ref="L381:M381"/>
    <mergeCell ref="X233:X239"/>
    <mergeCell ref="AB84:AB90"/>
    <mergeCell ref="A317:A323"/>
    <mergeCell ref="A16:A22"/>
    <mergeCell ref="AB329:AB335"/>
    <mergeCell ref="AA84:AA90"/>
    <mergeCell ref="A135:A141"/>
    <mergeCell ref="J382:K382"/>
    <mergeCell ref="Z371:Z377"/>
    <mergeCell ref="Z32:Z37"/>
    <mergeCell ref="AA133:AA139"/>
    <mergeCell ref="AB371:AB377"/>
    <mergeCell ref="A303:A309"/>
    <mergeCell ref="Z210:Z216"/>
    <mergeCell ref="AB26:AB31"/>
    <mergeCell ref="AB32:AB37"/>
    <mergeCell ref="X212:X218"/>
    <mergeCell ref="Z259:Z265"/>
    <mergeCell ref="A100:A106"/>
    <mergeCell ref="AA378:AA384"/>
    <mergeCell ref="Z364:Z370"/>
    <mergeCell ref="AA301:AA307"/>
    <mergeCell ref="AD151:AI153"/>
    <mergeCell ref="AA350:AA356"/>
    <mergeCell ref="AD210:AI210"/>
    <mergeCell ref="AB98:AB104"/>
    <mergeCell ref="X261:X267"/>
    <mergeCell ref="AB112:AB118"/>
    <mergeCell ref="AA20:AA25"/>
    <mergeCell ref="A44:A50"/>
    <mergeCell ref="AA238:AA244"/>
    <mergeCell ref="AB357:AB363"/>
    <mergeCell ref="A142:A148"/>
    <mergeCell ref="A289:A295"/>
    <mergeCell ref="Z245:Z251"/>
    <mergeCell ref="AB245:AB251"/>
    <mergeCell ref="X198:X204"/>
    <mergeCell ref="Z8:Z13"/>
    <mergeCell ref="AA231:AA237"/>
    <mergeCell ref="Z2:Z7"/>
    <mergeCell ref="AB8:AB13"/>
    <mergeCell ref="A79:A85"/>
    <mergeCell ref="AB2:AB7"/>
    <mergeCell ref="X366:X372"/>
    <mergeCell ref="Z217:Z223"/>
    <mergeCell ref="A30:A36"/>
    <mergeCell ref="A128:A134"/>
    <mergeCell ref="AA224:AA230"/>
    <mergeCell ref="J385:K385"/>
    <mergeCell ref="Z154:Z160"/>
    <mergeCell ref="AD275:AI275"/>
    <mergeCell ref="AB231:AB237"/>
    <mergeCell ref="X317:X323"/>
    <mergeCell ref="A51:A57"/>
    <mergeCell ref="X16:X22"/>
    <mergeCell ref="AD63:AI63"/>
    <mergeCell ref="A65:A71"/>
    <mergeCell ref="AA161:AA167"/>
    <mergeCell ref="X107:X113"/>
    <mergeCell ref="AA266:AA272"/>
    <mergeCell ref="Z287:Z293"/>
    <mergeCell ref="AB203:AB209"/>
    <mergeCell ref="Z301:Z307"/>
    <mergeCell ref="Z168:Z174"/>
    <mergeCell ref="AB301:AB307"/>
    <mergeCell ref="I382:I384"/>
    <mergeCell ref="A233:A239"/>
    <mergeCell ref="X149:X155"/>
    <mergeCell ref="AA329:AA335"/>
    <mergeCell ref="AA343:AA349"/>
    <mergeCell ref="AB273:AB279"/>
    <mergeCell ref="AA210:AA216"/>
    <mergeCell ref="Z140:Z146"/>
    <mergeCell ref="Z44:Z49"/>
    <mergeCell ref="X289:X295"/>
    <mergeCell ref="AB140:AB146"/>
    <mergeCell ref="AA8:AA13"/>
    <mergeCell ref="Z63:Z76"/>
    <mergeCell ref="A86:A92"/>
    <mergeCell ref="AD172:AI176"/>
    <mergeCell ref="L387:M387"/>
    <mergeCell ref="AA147:AA153"/>
    <mergeCell ref="A2:A8"/>
    <mergeCell ref="AA252:AA258"/>
    <mergeCell ref="Z273:Z279"/>
    <mergeCell ref="AD149:AI149"/>
    <mergeCell ref="AA196:AA202"/>
    <mergeCell ref="AB189:AB195"/>
    <mergeCell ref="AB287:AB293"/>
    <mergeCell ref="Z182:Z188"/>
    <mergeCell ref="A219:A225"/>
    <mergeCell ref="AA315:AA321"/>
    <mergeCell ref="AA182:AA188"/>
    <mergeCell ref="A163:A169"/>
    <mergeCell ref="X163:X169"/>
    <mergeCell ref="Z147:Z153"/>
    <mergeCell ref="X30:X36"/>
    <mergeCell ref="AD212:AI216"/>
    <mergeCell ref="X79:X85"/>
    <mergeCell ref="AB44:AB49"/>
    <mergeCell ref="AA189:AA195"/>
    <mergeCell ref="Z119:Z125"/>
    <mergeCell ref="Z224:Z230"/>
    <mergeCell ref="J379:K379"/>
    <mergeCell ref="AB175:AB181"/>
    <mergeCell ref="A156:A162"/>
    <mergeCell ref="X205:X211"/>
    <mergeCell ref="X72:X78"/>
    <mergeCell ref="AA126:AA132"/>
    <mergeCell ref="X345:X351"/>
    <mergeCell ref="AB168:AB174"/>
    <mergeCell ref="A93:A99"/>
    <mergeCell ref="AB322:AB328"/>
    <mergeCell ref="AA294:AA300"/>
    <mergeCell ref="X114:X120"/>
    <mergeCell ref="Z329:Z335"/>
    <mergeCell ref="X226:X232"/>
    <mergeCell ref="X282:X288"/>
    <mergeCell ref="AB315:AB321"/>
    <mergeCell ref="AA287:AA293"/>
    <mergeCell ref="AB259:AB265"/>
    <mergeCell ref="AD253:AI257"/>
    <mergeCell ref="A191:A197"/>
    <mergeCell ref="X331:X337"/>
    <mergeCell ref="X2:X8"/>
    <mergeCell ref="Z378:Z384"/>
    <mergeCell ref="AA50:AA55"/>
    <mergeCell ref="AD345:AI349"/>
    <mergeCell ref="X219:X225"/>
    <mergeCell ref="A359:A365"/>
    <mergeCell ref="X184:X190"/>
    <mergeCell ref="AB91:AB97"/>
    <mergeCell ref="A296:A302"/>
    <mergeCell ref="Z112:Z118"/>
    <mergeCell ref="A177:A183"/>
    <mergeCell ref="X121:X127"/>
    <mergeCell ref="AA32:AA37"/>
    <mergeCell ref="AA14:AA19"/>
    <mergeCell ref="Z357:Z363"/>
    <mergeCell ref="L384:M384"/>
    <mergeCell ref="AA119:AA125"/>
    <mergeCell ref="A345:A351"/>
    <mergeCell ref="X338:X344"/>
    <mergeCell ref="X254:X260"/>
    <mergeCell ref="AB105:AB111"/>
    <mergeCell ref="AA364:AA370"/>
    <mergeCell ref="AD128:AI130"/>
    <mergeCell ref="AB77:AB83"/>
    <mergeCell ref="A37:A43"/>
    <mergeCell ref="AA38:AA43"/>
    <mergeCell ref="AA112:AA118"/>
    <mergeCell ref="AB350:AB356"/>
    <mergeCell ref="A282:A288"/>
    <mergeCell ref="AB126:AB132"/>
    <mergeCell ref="Z98:Z104"/>
    <mergeCell ref="AB20:AB25"/>
    <mergeCell ref="Z238:Z244"/>
    <mergeCell ref="AD325:AI325"/>
    <mergeCell ref="AB154:AB160"/>
    <mergeCell ref="AB238:AB244"/>
    <mergeCell ref="AB14:AB19"/>
    <mergeCell ref="AA280:AA286"/>
    <mergeCell ref="K380:L380"/>
    <mergeCell ref="X324:X330"/>
    <mergeCell ref="AA56:AA62"/>
    <mergeCell ref="AD251:AI251"/>
    <mergeCell ref="Z231:Z237"/>
    <mergeCell ref="AD139:AI141"/>
    <mergeCell ref="X44:X50"/>
    <mergeCell ref="K383:L383"/>
    <mergeCell ref="A324:A330"/>
    <mergeCell ref="Z84:Z90"/>
    <mergeCell ref="A23:A29"/>
    <mergeCell ref="Z280:Z286"/>
    <mergeCell ref="A121:A127"/>
    <mergeCell ref="AA217:AA223"/>
    <mergeCell ref="AD126:AI126"/>
    <mergeCell ref="AA91:AA97"/>
    <mergeCell ref="A261:A267"/>
    <mergeCell ref="X177:X183"/>
    <mergeCell ref="AA371:AA377"/>
    <mergeCell ref="X191:X197"/>
    <mergeCell ref="Z133:Z139"/>
    <mergeCell ref="AB133:AB139"/>
    <mergeCell ref="AA26:AA31"/>
    <mergeCell ref="A58:A64"/>
    <mergeCell ref="AA154:AA160"/>
    <mergeCell ref="X100:X106"/>
    <mergeCell ref="I385:I387"/>
    <mergeCell ref="A9:A15"/>
    <mergeCell ref="AA259:AA265"/>
    <mergeCell ref="Z196:Z202"/>
    <mergeCell ref="AB63:AB76"/>
    <mergeCell ref="AB378:AB384"/>
    <mergeCell ref="AA140:AA146"/>
    <mergeCell ref="A310:A316"/>
    <mergeCell ref="X359:X365"/>
    <mergeCell ref="A226:A232"/>
    <mergeCell ref="Z266:Z272"/>
    <mergeCell ref="A107:A113"/>
    <mergeCell ref="AB266:AB272"/>
    <mergeCell ref="AA203:AA209"/>
    <mergeCell ref="Z315:Z321"/>
    <mergeCell ref="AA77:AA83"/>
    <mergeCell ref="Z38:Z43"/>
    <mergeCell ref="AD327:AI331"/>
    <mergeCell ref="A352:A358"/>
    <mergeCell ref="X296:X302"/>
    <mergeCell ref="Z343:Z349"/>
    <mergeCell ref="AB343:AB349"/>
    <mergeCell ref="K386:L386"/>
    <mergeCell ref="X86:X92"/>
    <mergeCell ref="AB119:AB125"/>
    <mergeCell ref="AB38:AB43"/>
    <mergeCell ref="AA245:AA251"/>
    <mergeCell ref="AB364:AB370"/>
    <mergeCell ref="A149:A155"/>
    <mergeCell ref="AB280:AB286"/>
    <mergeCell ref="Z175:Z181"/>
    <mergeCell ref="A212:A218"/>
    <mergeCell ref="Z252:Z258"/>
    <mergeCell ref="AA2:AA7"/>
    <mergeCell ref="AB252:AB258"/>
    <mergeCell ref="Z56:Z62"/>
    <mergeCell ref="AB56:AB62"/>
    <mergeCell ref="X23:X29"/>
    <mergeCell ref="X37:X43"/>
    <mergeCell ref="X128:X134"/>
    <mergeCell ref="AA63:AA76"/>
  </mergeCells>
  <conditionalFormatting sqref="D2:D377">
    <cfRule type="cellIs" priority="41" operator="notEqual" dxfId="92">
      <formula>"n/a"</formula>
    </cfRule>
  </conditionalFormatting>
  <conditionalFormatting sqref="E2:E377">
    <cfRule type="cellIs" priority="4" operator="equal" stopIfTrue="1">
      <formula>0</formula>
    </cfRule>
    <cfRule type="cellIs" priority="5" operator="notEqual" dxfId="219">
      <formula>""""""</formula>
    </cfRule>
  </conditionalFormatting>
  <conditionalFormatting sqref="F2:F148">
    <cfRule type="cellIs" priority="35" operator="notEqual" dxfId="69" stopIfTrue="1">
      <formula>"not sure"</formula>
    </cfRule>
  </conditionalFormatting>
  <conditionalFormatting sqref="F150:F377">
    <cfRule type="cellIs" priority="89" operator="notEqual" dxfId="69" stopIfTrue="1">
      <formula>"not sure"</formula>
    </cfRule>
  </conditionalFormatting>
  <conditionalFormatting sqref="G2:G377">
    <cfRule type="cellIs" priority="2" operator="equal" stopIfTrue="1">
      <formula>0</formula>
    </cfRule>
    <cfRule type="cellIs" priority="3" operator="notEqual" dxfId="216">
      <formula>""""""</formula>
    </cfRule>
  </conditionalFormatting>
  <conditionalFormatting sqref="H2:I377">
    <cfRule type="cellIs" priority="8" operator="equal" stopIfTrue="1">
      <formula>""</formula>
    </cfRule>
    <cfRule type="cellIs" priority="9" operator="notEqual" dxfId="53">
      <formula>"not sure"</formula>
    </cfRule>
  </conditionalFormatting>
  <conditionalFormatting sqref="J2:J377">
    <cfRule type="cellIs" priority="37" operator="equal" dxfId="108" stopIfTrue="1">
      <formula>1</formula>
    </cfRule>
  </conditionalFormatting>
  <conditionalFormatting sqref="K2:K377">
    <cfRule type="cellIs" priority="36" operator="greaterThan" dxfId="213">
      <formula>0</formula>
    </cfRule>
  </conditionalFormatting>
  <conditionalFormatting sqref="L2:L377">
    <cfRule type="cellIs" priority="34" operator="greaterThan" dxfId="69">
      <formula>0</formula>
    </cfRule>
  </conditionalFormatting>
  <conditionalFormatting sqref="M2:M377">
    <cfRule type="cellIs" priority="33" operator="between" dxfId="187">
      <formula>0</formula>
      <formula>5</formula>
    </cfRule>
    <cfRule type="cellIs" priority="32" operator="equal" dxfId="182">
      <formula>0</formula>
    </cfRule>
    <cfRule type="cellIs" priority="31" operator="between" dxfId="145">
      <formula>5</formula>
      <formula>6</formula>
    </cfRule>
    <cfRule type="cellIs" priority="30" operator="between" dxfId="178">
      <formula>7</formula>
      <formula>8</formula>
    </cfRule>
    <cfRule type="cellIs" priority="29" operator="between" dxfId="207">
      <formula>8</formula>
      <formula>10</formula>
    </cfRule>
  </conditionalFormatting>
  <conditionalFormatting sqref="O2:O377">
    <cfRule type="cellIs" priority="40" operator="greaterThan" dxfId="60" stopIfTrue="1">
      <formula>1000</formula>
    </cfRule>
    <cfRule type="cellIs" priority="39" operator="between" dxfId="35">
      <formula>500</formula>
      <formula>1000</formula>
    </cfRule>
    <cfRule type="cellIs" priority="38" operator="between" dxfId="52">
      <formula>0</formula>
      <formula>500</formula>
    </cfRule>
  </conditionalFormatting>
  <conditionalFormatting sqref="P2:P377">
    <cfRule type="cellIs" priority="26" operator="between" dxfId="2" stopIfTrue="1">
      <formula>6.99</formula>
      <formula>7.7</formula>
    </cfRule>
    <cfRule type="cellIs" priority="24" operator="equal" dxfId="182">
      <formula>0</formula>
    </cfRule>
    <cfRule type="cellIs" priority="25" operator="lessThan" dxfId="145">
      <formula>7</formula>
    </cfRule>
    <cfRule type="cellIs" priority="27" operator="between" dxfId="186" stopIfTrue="1">
      <formula>7.7</formula>
      <formula>7.9</formula>
    </cfRule>
    <cfRule type="cellIs" priority="28" operator="greaterThan" dxfId="183">
      <formula>7.9</formula>
    </cfRule>
  </conditionalFormatting>
  <conditionalFormatting sqref="Q2:Q377">
    <cfRule type="cellIs" priority="13" operator="lessThan" dxfId="1" stopIfTrue="1">
      <formula>4.6</formula>
    </cfRule>
    <cfRule type="cellIs" priority="12" operator="equal" dxfId="182" stopIfTrue="1">
      <formula>0</formula>
    </cfRule>
  </conditionalFormatting>
  <conditionalFormatting sqref="Q2:R377">
    <cfRule type="cellIs" priority="45" operator="lessThan" dxfId="178">
      <formula>8</formula>
    </cfRule>
    <cfRule type="cellIs" priority="44" operator="lessThan" dxfId="145" stopIfTrue="1">
      <formula>6.5</formula>
    </cfRule>
    <cfRule type="cellIs" priority="43" operator="lessThan" dxfId="187" stopIfTrue="1">
      <formula>6</formula>
    </cfRule>
    <cfRule type="cellIs" priority="42" operator="lessThan" dxfId="51" stopIfTrue="1">
      <formula>5</formula>
    </cfRule>
  </conditionalFormatting>
  <conditionalFormatting sqref="R2:R377">
    <cfRule type="cellIs" priority="19" operator="equal" dxfId="182">
      <formula>0</formula>
    </cfRule>
  </conditionalFormatting>
  <conditionalFormatting sqref="S225 S226:T377">
    <cfRule type="cellIs" priority="57" operator="notEqual" dxfId="188" stopIfTrue="1">
      <formula>"not sure"</formula>
    </cfRule>
    <cfRule type="cellIs" priority="56" operator="equal" dxfId="54">
      <formula>0</formula>
    </cfRule>
  </conditionalFormatting>
  <conditionalFormatting sqref="S2:T224">
    <cfRule type="cellIs" priority="10" operator="equal" dxfId="54">
      <formula>0</formula>
    </cfRule>
    <cfRule type="cellIs" priority="11" operator="notEqual" dxfId="188" stopIfTrue="1">
      <formula>"not sure"</formula>
    </cfRule>
  </conditionalFormatting>
  <conditionalFormatting sqref="U2:U377">
    <cfRule type="cellIs" priority="6" operator="equal" stopIfTrue="1">
      <formula>0</formula>
    </cfRule>
    <cfRule type="cellIs" priority="7" operator="notEqual" dxfId="187">
      <formula>"not sure"</formula>
    </cfRule>
  </conditionalFormatting>
  <conditionalFormatting sqref="V2:V377">
    <cfRule type="cellIs" priority="22" operator="between" dxfId="186">
      <formula>7.7</formula>
      <formula>7.9</formula>
    </cfRule>
    <cfRule type="cellIs" priority="20" operator="lessThan" dxfId="145">
      <formula>6.99</formula>
    </cfRule>
    <cfRule type="cellIs" priority="21" operator="between" dxfId="2" stopIfTrue="1">
      <formula>6.99</formula>
      <formula>7.7</formula>
    </cfRule>
    <cfRule type="cellIs" priority="23" operator="greaterThan" dxfId="183">
      <formula>7.9</formula>
    </cfRule>
  </conditionalFormatting>
  <conditionalFormatting sqref="W2:W377">
    <cfRule type="cellIs" priority="14" operator="equal" dxfId="182" stopIfTrue="1">
      <formula>0</formula>
    </cfRule>
    <cfRule type="cellIs" priority="15" operator="lessThan" dxfId="51" stopIfTrue="1">
      <formula>5</formula>
    </cfRule>
    <cfRule type="cellIs" priority="16" operator="lessThan" dxfId="45" stopIfTrue="1">
      <formula>6</formula>
    </cfRule>
    <cfRule type="cellIs" priority="17" operator="lessThan" dxfId="145" stopIfTrue="1">
      <formula>6.5</formula>
    </cfRule>
    <cfRule type="cellIs" priority="18" operator="lessThan" dxfId="178">
      <formula>8</formula>
    </cfRule>
  </conditionalFormatting>
  <conditionalFormatting sqref="X2:X377">
    <cfRule type="cellIs" priority="46" operator="equal" dxfId="177" stopIfTrue="1">
      <formula>0</formula>
    </cfRule>
    <cfRule type="cellIs" priority="47" operator="notEqual" dxfId="176">
      <formula>""""""</formula>
    </cfRule>
  </conditionalFormatting>
  <conditionalFormatting sqref="Z2:Z384">
    <cfRule type="cellIs" priority="1" operator="greaterThan" dxfId="86">
      <formula>1</formula>
    </cfRule>
  </conditionalFormatting>
  <pageMargins left="0.75" right="0.75" top="1" bottom="1" header="0.5" footer="0.5"/>
  <pageSetup orientation="portrait" horizontalDpi="0" verticalDpi="0"/>
</worksheet>
</file>

<file path=xl/worksheets/sheet4.xml><?xml version="1.0" encoding="utf-8"?>
<worksheet xmlns="http://schemas.openxmlformats.org/spreadsheetml/2006/main">
  <sheetPr codeName="Sheet5">
    <tabColor rgb="FFF13DF5"/>
    <outlinePr summaryBelow="1" summaryRight="1"/>
    <pageSetUpPr/>
  </sheetPr>
  <dimension ref="A1:BZ396"/>
  <sheetViews>
    <sheetView topLeftCell="A7" workbookViewId="0">
      <selection activeCell="AO19" sqref="AO19"/>
    </sheetView>
  </sheetViews>
  <sheetFormatPr baseColWidth="8" defaultColWidth="10.97265625" defaultRowHeight="15"/>
  <cols>
    <col width="4.80859375" customWidth="1" style="37" min="1" max="1"/>
    <col width="5.79296875" customWidth="1" style="37" min="2" max="2"/>
    <col width="2.8359375" customWidth="1" style="37" min="3" max="3"/>
    <col hidden="1" width="5.0546875" customWidth="1" style="37" min="4" max="4"/>
    <col width="2.33984375" customWidth="1" style="37" min="5" max="5"/>
    <col width="2.21875" customWidth="1" style="37" min="6" max="6"/>
    <col width="2.33984375" customWidth="1" style="37" min="7" max="7"/>
    <col width="2.21875" customWidth="1" style="37" min="8" max="8"/>
    <col width="2.33984375" customWidth="1" style="37" min="9" max="9"/>
    <col width="3.44921875" customWidth="1" style="37" min="10" max="10"/>
    <col width="2.33984375" customWidth="1" style="37" min="11" max="11"/>
    <col width="3.9453125" customWidth="1" style="37" min="12" max="12"/>
    <col width="2.33984375" customWidth="1" style="37" min="13" max="13"/>
    <col width="2.46484375" customWidth="1" style="37" min="14" max="14"/>
    <col width="3.203125" customWidth="1" style="37" min="15" max="15"/>
    <col width="3.8203125" customWidth="1" style="473" min="16" max="16"/>
    <col width="3.9453125" customWidth="1" style="37" min="17" max="17"/>
    <col width="4.4375" customWidth="1" style="37" min="18" max="18"/>
    <col hidden="1" width="3.8203125" customWidth="1" style="37" min="19" max="19"/>
    <col width="3.8203125" customWidth="1" style="37" min="20" max="20"/>
    <col width="6.0390625" customWidth="1" style="37" min="21" max="21"/>
    <col width="5.30078125" customWidth="1" style="37" min="22" max="22"/>
    <col width="4.4375" customWidth="1" style="37" min="23" max="23"/>
    <col width="6.53515625" customWidth="1" style="37" min="24" max="24"/>
    <col width="5.546875" customWidth="1" style="37" min="25" max="25"/>
    <col width="2.95703125" customWidth="1" style="37" min="26" max="26"/>
    <col width="7.2734375" customWidth="1" style="37" min="27" max="27"/>
    <col width="6.0390625" customWidth="1" style="37" min="28" max="28"/>
    <col width="4.4375" customWidth="1" style="37" min="29" max="29"/>
    <col width="2.46484375" customWidth="1" style="37" min="30" max="30"/>
    <col width="3.203125" customWidth="1" style="37" min="31" max="31"/>
    <col width="5.0546875" customWidth="1" style="479" min="32" max="32"/>
    <col hidden="1" width="6.53515625" customWidth="1" style="37" min="33" max="33"/>
    <col width="2.7109375" customWidth="1" style="37" min="34" max="34"/>
    <col width="6.0390625" customWidth="1" style="45" min="35" max="35"/>
    <col width="3.203125" customWidth="1" style="37" min="36" max="36"/>
    <col width="2.46484375" customWidth="1" style="37" min="37" max="37"/>
    <col width="23.1796875" customWidth="1" style="37" min="38" max="38"/>
    <col width="3.8203125" customWidth="1" style="37" min="39" max="40"/>
    <col width="16.15234375" customWidth="1" style="37" min="41" max="41"/>
    <col width="4.68359375" customWidth="1" style="37" min="42" max="42"/>
    <col width="3.8203125" customWidth="1" style="37" min="43" max="43"/>
    <col width="9.4921875" customWidth="1" style="37" min="44" max="44"/>
    <col width="5.546875" customWidth="1" style="37" min="45" max="45"/>
    <col width="3.8203125" customWidth="1" style="37" min="46" max="46"/>
    <col width="17.5078125" customWidth="1" style="37" min="47" max="47"/>
    <col width="3.9453125" customWidth="1" style="37" min="48" max="49"/>
    <col width="10.48046875" customWidth="1" style="37" min="50" max="50"/>
    <col width="4.19140625" customWidth="1" style="37" min="51" max="51"/>
    <col width="3.9453125" customWidth="1" style="37" min="52" max="52"/>
    <col width="18.98828125" customWidth="1" style="37" min="53" max="53"/>
    <col width="4.80859375" customWidth="1" style="37" min="54" max="54"/>
    <col width="3.9453125" customWidth="1" style="37" min="55" max="55"/>
    <col width="19.48046875" customWidth="1" style="37" min="56" max="56"/>
    <col width="4.4375" customWidth="1" style="37" min="57" max="58"/>
    <col width="2.21875" customWidth="1" style="37" min="59" max="59"/>
    <col width="44.515625" customWidth="1" style="37" min="61" max="61"/>
    <col width="3.328125" customWidth="1" style="45" min="64" max="64"/>
    <col width="5.546875" customWidth="1" style="37" min="65" max="67"/>
    <col width="43.52734375" customWidth="1" style="37" min="68" max="68"/>
  </cols>
  <sheetData>
    <row r="1" ht="30" customHeight="1" s="37">
      <c r="A1" s="274" t="inlineStr">
        <is>
          <t>周</t>
        </is>
      </c>
      <c r="B1" s="299" t="inlineStr">
        <is>
          <t>Date</t>
        </is>
      </c>
      <c r="C1" s="62" t="inlineStr">
        <is>
          <t>d</t>
        </is>
      </c>
      <c r="D1" s="62" t="inlineStr">
        <is>
          <t>∑</t>
        </is>
      </c>
      <c r="E1" s="62" t="inlineStr">
        <is>
          <t>bn</t>
        </is>
      </c>
      <c r="F1" s="62" t="inlineStr">
        <is>
          <t>br</t>
        </is>
      </c>
      <c r="G1" s="62" t="inlineStr">
        <is>
          <t>fr</t>
        </is>
      </c>
      <c r="H1" s="62" t="inlineStr">
        <is>
          <t>cr</t>
        </is>
      </c>
      <c r="I1" s="62" t="inlineStr">
        <is>
          <t>gr</t>
        </is>
      </c>
      <c r="J1" s="62" t="inlineStr">
        <is>
          <t>vg</t>
        </is>
      </c>
      <c r="K1" s="62" t="inlineStr">
        <is>
          <t>fx</t>
        </is>
      </c>
      <c r="L1" s="62" t="inlineStr">
        <is>
          <t>g</t>
        </is>
      </c>
      <c r="M1" s="62" t="inlineStr">
        <is>
          <t>nt</t>
        </is>
      </c>
      <c r="N1" s="62" t="inlineStr">
        <is>
          <t>sp</t>
        </is>
      </c>
      <c r="O1" s="62" t="inlineStr">
        <is>
          <t>wtr</t>
        </is>
      </c>
      <c r="P1" s="269" t="inlineStr">
        <is>
          <t>protein</t>
        </is>
      </c>
      <c r="Q1" s="62" t="inlineStr">
        <is>
          <t>mg cfn</t>
        </is>
      </c>
      <c r="R1" s="62" t="inlineStr">
        <is>
          <t>g al</t>
        </is>
      </c>
      <c r="S1" s="63" t="n"/>
      <c r="T1" s="62" t="inlineStr">
        <is>
          <t>0₦</t>
        </is>
      </c>
      <c r="U1" s="62" t="inlineStr">
        <is>
          <t>cal</t>
        </is>
      </c>
      <c r="V1" s="63" t="n"/>
      <c r="W1" s="62" t="inlineStr">
        <is>
          <t>caf</t>
        </is>
      </c>
      <c r="X1" s="62" t="inlineStr">
        <is>
          <t xml:space="preserve">food </t>
        </is>
      </c>
      <c r="Y1" s="62" t="inlineStr">
        <is>
          <t>hcbp</t>
        </is>
      </c>
      <c r="Z1" s="62" t="n"/>
      <c r="AA1" s="62" t="inlineStr">
        <is>
          <t>∑c</t>
        </is>
      </c>
      <c r="AB1" s="62" t="inlineStr">
        <is>
          <t>hcbc</t>
        </is>
      </c>
      <c r="AC1" s="62" t="inlineStr">
        <is>
          <t>hcbp</t>
        </is>
      </c>
      <c r="AD1" s="62" t="inlineStr">
        <is>
          <t>社</t>
        </is>
      </c>
      <c r="AE1" s="62" t="inlineStr">
        <is>
          <t>ff</t>
        </is>
      </c>
      <c r="AF1" s="63" t="n"/>
      <c r="AG1" s="63" t="inlineStr">
        <is>
          <t>分享</t>
        </is>
      </c>
      <c r="AH1" s="63" t="n"/>
      <c r="AI1" s="63" t="n"/>
      <c r="AJ1" s="62" t="inlineStr">
        <is>
          <t xml:space="preserve">Worst Out </t>
        </is>
      </c>
      <c r="AK1" s="63" t="n"/>
      <c r="AL1" s="62" t="inlineStr">
        <is>
          <t>Early Morning</t>
        </is>
      </c>
      <c r="AM1" s="63" t="n"/>
      <c r="AN1" s="63" t="n"/>
      <c r="AO1" s="62" t="inlineStr">
        <is>
          <t>Breakfast</t>
        </is>
      </c>
      <c r="AP1" s="63" t="n"/>
      <c r="AQ1" s="63" t="n"/>
      <c r="AR1" s="270" t="inlineStr">
        <is>
          <t>Early Snack</t>
        </is>
      </c>
      <c r="AS1" s="63" t="n"/>
      <c r="AT1" s="63" t="n"/>
      <c r="AU1" s="62" t="inlineStr">
        <is>
          <t>Lunch</t>
        </is>
      </c>
      <c r="AV1" s="63" t="n"/>
      <c r="AW1" s="63" t="n"/>
      <c r="AX1" s="62" t="inlineStr">
        <is>
          <t>Afternoon Snack</t>
        </is>
      </c>
      <c r="AY1" s="63" t="n"/>
      <c r="AZ1" s="63" t="n"/>
      <c r="BA1" s="62" t="inlineStr">
        <is>
          <t>Dinner</t>
        </is>
      </c>
      <c r="BB1" s="63" t="n"/>
      <c r="BC1" s="63" t="n"/>
      <c r="BD1" s="62" t="inlineStr">
        <is>
          <t>Late Snack</t>
        </is>
      </c>
      <c r="BE1" s="63" t="n"/>
      <c r="BF1" s="63" t="n"/>
      <c r="BG1" s="120" t="n"/>
      <c r="BH1" s="63" t="inlineStr">
        <is>
          <t>Weight</t>
        </is>
      </c>
      <c r="BI1" s="63" t="inlineStr">
        <is>
          <t>Notes</t>
        </is>
      </c>
      <c r="BJ1" s="63" t="inlineStr">
        <is>
          <t>Pic</t>
        </is>
      </c>
      <c r="BK1" s="63" t="inlineStr">
        <is>
          <t>Goals (w/hci)</t>
        </is>
      </c>
      <c r="BM1" s="69" t="inlineStr">
        <is>
          <t>∑₹</t>
        </is>
      </c>
      <c r="BN1" s="69" t="inlineStr">
        <is>
          <t>洗澡</t>
        </is>
      </c>
      <c r="BO1" s="69" t="inlineStr">
        <is>
          <t>社</t>
        </is>
      </c>
      <c r="BP1" s="69" t="n"/>
    </row>
    <row r="2" customFormat="1" s="479">
      <c r="A2" s="336" t="n"/>
      <c r="B2" s="336" t="n"/>
      <c r="C2" s="336" t="n"/>
      <c r="D2" s="191" t="n"/>
      <c r="E2" s="192" t="n"/>
      <c r="F2" s="192" t="n"/>
      <c r="G2" s="192" t="n"/>
      <c r="H2" s="192" t="n"/>
      <c r="I2" s="192" t="n"/>
      <c r="J2" s="192" t="n"/>
      <c r="K2" s="192" t="n"/>
      <c r="L2" s="192" t="n"/>
      <c r="M2" s="192" t="n"/>
      <c r="N2" s="192" t="n"/>
      <c r="O2" s="191" t="n"/>
      <c r="P2" s="193" t="n"/>
      <c r="Q2" s="191" t="n"/>
      <c r="R2" s="191" t="n"/>
      <c r="S2" s="192" t="n"/>
      <c r="T2" s="191" t="n"/>
      <c r="U2" s="191" t="n"/>
      <c r="V2" s="192" t="n"/>
      <c r="W2" s="192" t="n"/>
      <c r="X2" s="192" t="n"/>
      <c r="Y2" s="191" t="n"/>
      <c r="Z2" s="191" t="n"/>
      <c r="AA2" s="192" t="n"/>
      <c r="AB2" s="264" t="n"/>
      <c r="AC2" s="192" t="n"/>
      <c r="AD2" s="191" t="n"/>
      <c r="AE2" s="191" t="n"/>
      <c r="AF2" s="191" t="n"/>
      <c r="AG2" s="191" t="n"/>
      <c r="AH2" s="191" t="n"/>
      <c r="AI2" s="191" t="n"/>
      <c r="AJ2" s="191" t="n"/>
      <c r="AK2" s="336" t="n"/>
      <c r="AL2" s="90" t="n"/>
      <c r="AM2" s="195" t="n"/>
      <c r="AN2" s="90" t="n"/>
      <c r="AO2" s="194" t="n"/>
      <c r="AP2" s="90" t="n"/>
      <c r="AQ2" s="90" t="n"/>
      <c r="AR2" s="194" t="n"/>
      <c r="AS2" s="195" t="n"/>
      <c r="AT2" s="90" t="n"/>
      <c r="AU2" s="194" t="n"/>
      <c r="AV2" s="195" t="n"/>
      <c r="AW2" s="90" t="n"/>
      <c r="AX2" s="90" t="n"/>
      <c r="AY2" s="90" t="n"/>
      <c r="AZ2" s="90" t="n"/>
      <c r="BA2" s="90" t="n"/>
      <c r="BB2" s="336" t="n"/>
      <c r="BC2" s="336" t="n"/>
      <c r="BD2" s="336" t="n"/>
      <c r="BE2" s="336" t="n"/>
      <c r="BF2" s="336" t="n"/>
      <c r="BG2" s="120" t="n"/>
      <c r="BH2" s="285" t="n"/>
      <c r="BI2" s="285" t="n"/>
      <c r="BJ2" s="285" t="n"/>
      <c r="BK2" s="285" t="n"/>
      <c r="BL2" s="280" t="n"/>
      <c r="BM2" s="283" t="n"/>
      <c r="BN2" s="283" t="n"/>
      <c r="BO2" s="283" t="n"/>
      <c r="BP2" s="283" t="n"/>
    </row>
    <row r="3" ht="17.1" customHeight="1" s="37">
      <c r="A3" s="518" t="n">
        <v>12.5</v>
      </c>
      <c r="B3" s="550">
        <f>B4-1</f>
        <v/>
      </c>
      <c r="C3" s="45" t="inlineStr">
        <is>
          <t>Th</t>
        </is>
      </c>
      <c r="D3" s="30">
        <f>SUM(T3,AA3)</f>
        <v/>
      </c>
      <c r="E3" s="450" t="n">
        <v>2</v>
      </c>
      <c r="F3" s="450" t="n">
        <v>1</v>
      </c>
      <c r="G3" s="450" t="n">
        <v>0</v>
      </c>
      <c r="H3" s="450" t="n">
        <v>0</v>
      </c>
      <c r="I3" s="450" t="n">
        <v>0</v>
      </c>
      <c r="J3" s="450" t="n">
        <v>1</v>
      </c>
      <c r="K3" s="450" t="n">
        <v>0</v>
      </c>
      <c r="L3" s="216" t="n">
        <v>3</v>
      </c>
      <c r="M3" s="450" t="n">
        <v>0</v>
      </c>
      <c r="N3" s="450" t="n">
        <v>2</v>
      </c>
      <c r="O3" s="450" t="n">
        <v>2</v>
      </c>
      <c r="P3" s="59">
        <f>SUM(AN3,AQ3,AT3,AW3,AZ3,BC3,BF3)</f>
        <v/>
      </c>
      <c r="R3" s="450" t="n">
        <v>0</v>
      </c>
      <c r="T3" s="450" t="n">
        <v>20</v>
      </c>
      <c r="U3" s="31" t="n">
        <v>2045</v>
      </c>
      <c r="V3" s="483">
        <f>AVERAGE(U3:U9)</f>
        <v/>
      </c>
      <c r="W3" s="30" t="n">
        <v>-35</v>
      </c>
      <c r="X3" s="30">
        <f>AA3-W3</f>
        <v/>
      </c>
      <c r="Y3" s="32" t="n">
        <v>2</v>
      </c>
      <c r="Z3" s="279" t="n"/>
      <c r="AA3" s="30">
        <f>SUM(E3:O3)/21*75 + IF(AM3, -(MAX((U3-1800)/10, -40)), 0)+T3 + S3 + (P3-100)*0.5+AI3 +W3</f>
        <v/>
      </c>
      <c r="AB3" s="477">
        <f>AVERAGE(AA3:AA9)</f>
        <v/>
      </c>
      <c r="AC3" s="498">
        <f>AVERAGE(Y3:Y9)</f>
        <v/>
      </c>
      <c r="AD3" s="32" t="n"/>
      <c r="AF3" s="478">
        <f>SUM(AE3:AE9)</f>
        <v/>
      </c>
      <c r="AG3" s="22" t="n"/>
      <c r="AH3" s="480" t="n"/>
      <c r="AI3" s="450" t="n">
        <v>10</v>
      </c>
      <c r="AJ3" s="450" t="n">
        <v>1</v>
      </c>
      <c r="AK3" s="45" t="n"/>
      <c r="AL3" s="450" t="inlineStr">
        <is>
          <t>mocha</t>
        </is>
      </c>
      <c r="AM3" s="450" t="n">
        <v>345</v>
      </c>
      <c r="AN3" s="450" t="n">
        <v>12</v>
      </c>
      <c r="AO3" s="450" t="inlineStr">
        <is>
          <t>tea x 2</t>
        </is>
      </c>
      <c r="AP3" s="450" t="n">
        <v>400</v>
      </c>
      <c r="AQ3" s="450" t="n">
        <v>6</v>
      </c>
      <c r="AR3" s="450" t="inlineStr">
        <is>
          <t>burrito</t>
        </is>
      </c>
      <c r="AS3" s="450" t="n">
        <v>700</v>
      </c>
      <c r="AT3" s="450" t="n">
        <v>52</v>
      </c>
      <c r="AU3" s="450" t="inlineStr">
        <is>
          <t>chicken + kimchee balls</t>
        </is>
      </c>
      <c r="AV3" s="450" t="n">
        <v>600</v>
      </c>
      <c r="BG3" s="120" t="n"/>
      <c r="BH3" s="445" t="n">
        <v>193.1</v>
      </c>
      <c r="BI3" s="473" t="inlineStr">
        <is>
          <t xml:space="preserve">• Tea has less caffeine than the coffee, and that's something I can consider for the future. 
• So important to have the right things in front of me
• definitely better to be home than to be travelling.
• The battle lines right now are around leafy greens.  </t>
        </is>
      </c>
      <c r="BJ3" s="445" t="e">
        <v>#VALUE!</v>
      </c>
      <c r="BK3" s="472" t="inlineStr">
        <is>
          <t xml:space="preserve">• 21 leafy greens 
• 4 HIIT workouts </t>
        </is>
      </c>
      <c r="BM3" s="284" t="n"/>
      <c r="BN3" s="284" t="n"/>
      <c r="BO3" s="284" t="n"/>
      <c r="BP3" s="284" t="n"/>
    </row>
    <row r="4" ht="17.1" customHeight="1" s="37">
      <c r="B4" s="550">
        <f>B5-1</f>
        <v/>
      </c>
      <c r="C4" s="45" t="inlineStr">
        <is>
          <t>F</t>
        </is>
      </c>
      <c r="D4" s="30">
        <f>SUM(T4,AA4)</f>
        <v/>
      </c>
      <c r="E4" s="450" t="n">
        <v>1</v>
      </c>
      <c r="F4" s="450" t="n">
        <v>1</v>
      </c>
      <c r="G4" s="450" t="n">
        <v>0</v>
      </c>
      <c r="H4" s="450" t="n">
        <v>3</v>
      </c>
      <c r="I4" s="450" t="n">
        <v>3</v>
      </c>
      <c r="J4" s="450" t="n">
        <v>2</v>
      </c>
      <c r="K4" s="450" t="n">
        <v>1</v>
      </c>
      <c r="L4" s="216" t="n">
        <v>3</v>
      </c>
      <c r="M4" s="450" t="n">
        <v>0</v>
      </c>
      <c r="N4" s="450" t="n">
        <v>1</v>
      </c>
      <c r="O4" s="450" t="n">
        <v>2</v>
      </c>
      <c r="P4" s="59">
        <f>SUM(AN4,AQ4,AT4,AW4,AZ4,BC4,BF4)</f>
        <v/>
      </c>
      <c r="R4" s="450" t="n">
        <v>0</v>
      </c>
      <c r="T4" s="450" t="n">
        <v>20</v>
      </c>
      <c r="U4" s="31" t="n">
        <v>1545</v>
      </c>
      <c r="W4" s="30" t="n">
        <v>-35</v>
      </c>
      <c r="X4" s="30">
        <f>AA4-W4</f>
        <v/>
      </c>
      <c r="Y4" s="32">
        <f>'0₦'!AE4*2  + 0</f>
        <v/>
      </c>
      <c r="Z4" s="279" t="n"/>
      <c r="AA4" s="30">
        <f>SUM(E4:O4)/21*75 + IF(AM4, -(MAX((U4-1800)/10, -40)), 0)+T4 + S4 + (P4-100)*0.5+AI4 +W4</f>
        <v/>
      </c>
      <c r="AD4" s="32" t="n"/>
      <c r="AI4" s="450" t="n">
        <v>10</v>
      </c>
      <c r="AJ4" s="450" t="n">
        <v>1</v>
      </c>
      <c r="AK4" s="45" t="n"/>
      <c r="AL4" s="450" t="inlineStr">
        <is>
          <t>mocha</t>
        </is>
      </c>
      <c r="AM4" s="450" t="n">
        <v>345</v>
      </c>
      <c r="AN4" s="450" t="n">
        <v>12</v>
      </c>
      <c r="AO4" s="450" t="inlineStr">
        <is>
          <t>chicken, yoghurt, chinese</t>
        </is>
      </c>
      <c r="AP4" s="450" t="n">
        <v>400</v>
      </c>
      <c r="AQ4" s="450" t="n">
        <v>52</v>
      </c>
      <c r="AR4" s="450" t="inlineStr">
        <is>
          <t>tea</t>
        </is>
      </c>
      <c r="AS4" s="450" t="n">
        <v>200</v>
      </c>
      <c r="AT4" s="450" t="n">
        <v>5</v>
      </c>
      <c r="AU4" s="450" t="inlineStr">
        <is>
          <t>chicken + fries</t>
        </is>
      </c>
      <c r="AV4" s="450" t="n">
        <v>600</v>
      </c>
      <c r="AW4" s="450" t="n">
        <v>40</v>
      </c>
      <c r="BG4" s="120" t="n"/>
      <c r="BM4" s="445">
        <f>SUM(BN4:BO10)</f>
        <v/>
      </c>
      <c r="BN4" s="445">
        <f>COUNTIF('0₦'!L3:L9,"&lt;&gt;")*23</f>
        <v/>
      </c>
      <c r="BO4" s="445">
        <f>41+340</f>
        <v/>
      </c>
      <c r="BP4" s="472" t="inlineStr">
        <is>
          <t xml:space="preserve">• The presentation was memorable. I could have given it one additional time in order to really nail it. 
• I should aim to give the talk more over time. 
• Overwore the sweater, need to get more GH Swag. 
• The second monitor was a statement. I didn't expect it to be but here we are. I don't care, I'm going to use it. 
</t>
        </is>
      </c>
      <c r="BQ4" s="445" t="n"/>
      <c r="BR4" s="445" t="n"/>
      <c r="BS4" s="445" t="n"/>
      <c r="BT4" s="445" t="n"/>
      <c r="BU4" s="445" t="n"/>
      <c r="BV4" s="445" t="n"/>
      <c r="BW4" s="445" t="n"/>
      <c r="BX4" s="445" t="n"/>
      <c r="BY4" s="445" t="n"/>
      <c r="BZ4" s="445" t="n"/>
    </row>
    <row r="5" ht="17.1" customHeight="1" s="37">
      <c r="A5" s="547" t="n"/>
      <c r="B5" s="550">
        <f>B6-1</f>
        <v/>
      </c>
      <c r="C5" s="45" t="inlineStr">
        <is>
          <t>S</t>
        </is>
      </c>
      <c r="D5" s="30">
        <f>SUM(T5,AA5)</f>
        <v/>
      </c>
      <c r="E5" s="450" t="n">
        <v>2</v>
      </c>
      <c r="F5" s="450" t="n">
        <v>1</v>
      </c>
      <c r="G5" s="450" t="n">
        <v>1</v>
      </c>
      <c r="H5" s="450" t="n">
        <v>1</v>
      </c>
      <c r="I5" s="450" t="n">
        <v>1</v>
      </c>
      <c r="J5" s="450" t="n">
        <v>1</v>
      </c>
      <c r="K5" s="450" t="n">
        <v>5</v>
      </c>
      <c r="L5" s="216" t="n">
        <v>0</v>
      </c>
      <c r="M5" s="450" t="n">
        <v>0</v>
      </c>
      <c r="N5" s="450" t="n">
        <v>1</v>
      </c>
      <c r="O5" s="450" t="n">
        <v>2</v>
      </c>
      <c r="P5" s="59">
        <f>SUM(AN5,AQ5,AT5,AW5,AZ5,BC5,BF5)</f>
        <v/>
      </c>
      <c r="R5" s="450" t="n">
        <v>0</v>
      </c>
      <c r="T5" s="450" t="n">
        <v>20</v>
      </c>
      <c r="U5" s="31" t="n">
        <v>1994</v>
      </c>
      <c r="W5" s="30" t="n">
        <v>-35</v>
      </c>
      <c r="X5" s="30">
        <f>AA5-W5</f>
        <v/>
      </c>
      <c r="Y5" s="32" t="n">
        <v>2</v>
      </c>
      <c r="Z5" s="279" t="n"/>
      <c r="AA5" s="30">
        <f>SUM(E5:O5)/21*75 + IF(AM5, -(MAX((U5-1800)/10, -40)), 0)+T5 + S5 + (P5-100)*0.5+AI5 +W5</f>
        <v/>
      </c>
      <c r="AD5" s="32" t="n"/>
      <c r="AI5" s="450" t="n">
        <v>10</v>
      </c>
      <c r="AJ5" s="450" t="n">
        <v>1</v>
      </c>
      <c r="AK5" s="45" t="n"/>
      <c r="AL5" s="450" t="inlineStr">
        <is>
          <t>mocha</t>
        </is>
      </c>
      <c r="AM5" s="450" t="n">
        <v>345</v>
      </c>
      <c r="AN5" s="450" t="n">
        <v>12</v>
      </c>
      <c r="AO5" s="450" t="inlineStr">
        <is>
          <t xml:space="preserve">flax x 5 </t>
        </is>
      </c>
      <c r="AP5" s="450" t="n">
        <v>150</v>
      </c>
      <c r="AQ5" s="450" t="n">
        <v>5</v>
      </c>
      <c r="AR5" s="450" t="inlineStr">
        <is>
          <t>1/4 beef sando, scone, tea, fruit</t>
        </is>
      </c>
      <c r="AS5" s="450">
        <f>400+75+50+74</f>
        <v/>
      </c>
      <c r="AT5" s="450" t="n">
        <v>12</v>
      </c>
      <c r="AU5" s="450" t="inlineStr">
        <is>
          <t>tea</t>
        </is>
      </c>
      <c r="AV5" s="450" t="n">
        <v>200</v>
      </c>
      <c r="AW5" s="450" t="n">
        <v>5</v>
      </c>
      <c r="AX5" s="450" t="inlineStr">
        <is>
          <t xml:space="preserve">2 bao，green beans </t>
        </is>
      </c>
      <c r="AY5" s="450" t="n">
        <v>700</v>
      </c>
      <c r="AZ5" s="450" t="n">
        <v>35</v>
      </c>
      <c r="BG5" s="120" t="n"/>
    </row>
    <row r="6" ht="17.1" customHeight="1" s="37">
      <c r="A6" s="462" t="n">
        <v>1.1</v>
      </c>
      <c r="B6" s="550" t="n">
        <v>46026</v>
      </c>
      <c r="C6" s="45" t="inlineStr">
        <is>
          <t>S</t>
        </is>
      </c>
      <c r="D6" s="30">
        <f>SUM(T6,AA6)</f>
        <v/>
      </c>
      <c r="E6" s="450" t="n">
        <v>2</v>
      </c>
      <c r="F6" s="450" t="n">
        <v>1</v>
      </c>
      <c r="G6" s="77" t="n">
        <v>0</v>
      </c>
      <c r="H6" s="77" t="n">
        <v>3</v>
      </c>
      <c r="I6" s="77" t="n">
        <v>2</v>
      </c>
      <c r="J6" s="450" t="n">
        <v>3</v>
      </c>
      <c r="K6" s="450" t="n">
        <v>2</v>
      </c>
      <c r="L6" s="216" t="n">
        <v>3</v>
      </c>
      <c r="M6" s="450" t="n">
        <v>4</v>
      </c>
      <c r="N6" s="77" t="n">
        <v>1</v>
      </c>
      <c r="O6" s="41" t="n">
        <v>2</v>
      </c>
      <c r="P6" s="59">
        <f>SUM(AN6,AQ6,AT6,AZ6,BC6,BF6,AW6)</f>
        <v/>
      </c>
      <c r="R6" s="450" t="n">
        <v>0</v>
      </c>
      <c r="T6" s="450" t="n">
        <v>20</v>
      </c>
      <c r="U6" s="476">
        <f>SUM(AM6,AP6,AS6,AV6,AY6,BE6,BB6)</f>
        <v/>
      </c>
      <c r="W6" s="30" t="n">
        <v>-35</v>
      </c>
      <c r="X6" s="30">
        <f>AA6-W6</f>
        <v/>
      </c>
      <c r="Y6" s="32">
        <f>'0₦'!AE5*2  + 10</f>
        <v/>
      </c>
      <c r="Z6" s="279" t="n"/>
      <c r="AA6" s="30">
        <f>SUM(E6:O6)/21*75 + IF(AM6, -(MAX((U6-1800)/10, -40)), 0)+T6 + S6 + (P6-100)*0.5+AI6 +W6</f>
        <v/>
      </c>
      <c r="AD6" s="32" t="n"/>
      <c r="AI6" s="450" t="n">
        <v>10</v>
      </c>
      <c r="AJ6" s="450" t="n">
        <v>1</v>
      </c>
      <c r="AK6" s="45" t="n"/>
      <c r="AL6" s="450" t="inlineStr">
        <is>
          <t>pistachios + milk</t>
        </is>
      </c>
      <c r="AM6" s="450" t="n">
        <v>150</v>
      </c>
      <c r="AN6" s="450" t="n">
        <v>6</v>
      </c>
      <c r="AO6" s="450" t="inlineStr">
        <is>
          <t>2 bao + cashew</t>
        </is>
      </c>
      <c r="AP6" s="450" t="n">
        <v>300</v>
      </c>
      <c r="AQ6" s="450" t="n">
        <v>15</v>
      </c>
      <c r="AR6" s="450" t="inlineStr">
        <is>
          <t>mocha340</t>
        </is>
      </c>
      <c r="AS6" s="450" t="n">
        <v>340</v>
      </c>
      <c r="AT6" s="450" t="n">
        <v>12</v>
      </c>
      <c r="AU6" s="450" t="inlineStr">
        <is>
          <t xml:space="preserve">double chicken TLC burrito </t>
        </is>
      </c>
      <c r="AV6" s="450" t="n">
        <v>700</v>
      </c>
      <c r="AW6" s="450" t="n">
        <v>70</v>
      </c>
      <c r="AX6" s="450" t="inlineStr">
        <is>
          <t>tea + flax</t>
        </is>
      </c>
      <c r="AY6" s="450">
        <f>150+30</f>
        <v/>
      </c>
      <c r="AZ6" s="450" t="n">
        <v>7</v>
      </c>
      <c r="BA6" s="450" t="inlineStr">
        <is>
          <t>pistachios + flax</t>
        </is>
      </c>
      <c r="BB6" s="450" t="n">
        <v>90</v>
      </c>
      <c r="BC6" s="450" t="n">
        <v>6</v>
      </c>
      <c r="BD6" s="450" t="inlineStr">
        <is>
          <t>bao + brocolli + 辣椒</t>
        </is>
      </c>
      <c r="BE6" s="450" t="n">
        <v>210</v>
      </c>
      <c r="BF6" s="450" t="n">
        <v>5</v>
      </c>
      <c r="BG6" s="120" t="n"/>
    </row>
    <row r="7" ht="17.1" customHeight="1" s="37">
      <c r="A7" s="551" t="n"/>
      <c r="B7" s="550">
        <f>B6+1</f>
        <v/>
      </c>
      <c r="C7" s="45" t="inlineStr">
        <is>
          <t>M</t>
        </is>
      </c>
      <c r="D7" s="30">
        <f>SUM(T7,AA7)</f>
        <v/>
      </c>
      <c r="E7" s="450" t="n">
        <v>2</v>
      </c>
      <c r="F7" s="450" t="n">
        <v>1</v>
      </c>
      <c r="G7" s="476" t="n">
        <v>2</v>
      </c>
      <c r="H7" s="476" t="n">
        <v>2</v>
      </c>
      <c r="I7" s="476" t="n">
        <v>2</v>
      </c>
      <c r="J7" s="450" t="n">
        <v>2</v>
      </c>
      <c r="K7" s="450" t="n">
        <v>3</v>
      </c>
      <c r="L7" s="216" t="n">
        <v>0</v>
      </c>
      <c r="M7" s="450" t="n">
        <v>1</v>
      </c>
      <c r="N7" s="476" t="n">
        <v>1</v>
      </c>
      <c r="O7" s="22" t="n">
        <v>2</v>
      </c>
      <c r="P7" s="59">
        <f>SUM(AN7,AQ7,AT7,AZ7,BC7,BF7,AW7)</f>
        <v/>
      </c>
      <c r="Q7" s="22" t="n"/>
      <c r="R7" s="22" t="n">
        <v>0</v>
      </c>
      <c r="S7" s="476" t="n"/>
      <c r="T7" s="476" t="n">
        <v>20</v>
      </c>
      <c r="U7" s="31">
        <f>SUM(AM7,AP7,AS7,AV7,AY7,BE7,BB7)</f>
        <v/>
      </c>
      <c r="W7" s="30" t="n">
        <v>-35</v>
      </c>
      <c r="X7" s="30">
        <f>AA7-W7</f>
        <v/>
      </c>
      <c r="Y7" s="32">
        <f>'0₦'!AE6*2  + 0</f>
        <v/>
      </c>
      <c r="Z7" s="279" t="n"/>
      <c r="AA7" s="30">
        <f>SUM(E7:O7)/21*75 + IF(AM7, -(MAX((U7-1800)/10, -40)), 0)+T7 + S7 + (P7-100)*0.5+AI7 +W7</f>
        <v/>
      </c>
      <c r="AD7" s="32" t="n"/>
      <c r="AI7" s="450" t="n">
        <v>10</v>
      </c>
      <c r="AJ7" s="450" t="n">
        <v>1</v>
      </c>
      <c r="AK7" s="45" t="n"/>
      <c r="AL7" s="24" t="inlineStr">
        <is>
          <t>mocha</t>
        </is>
      </c>
      <c r="AM7" s="34" t="n">
        <v>340</v>
      </c>
      <c r="AN7" s="25" t="n">
        <v>12</v>
      </c>
      <c r="AO7" s="24" t="inlineStr">
        <is>
          <t>berries + flax</t>
        </is>
      </c>
      <c r="AP7" s="25" t="n">
        <v>60</v>
      </c>
      <c r="AQ7" s="25" t="n">
        <v>2</v>
      </c>
      <c r="AR7" s="25" t="inlineStr">
        <is>
          <t xml:space="preserve">salad + berries </t>
        </is>
      </c>
      <c r="AS7" s="25" t="n">
        <v>380</v>
      </c>
      <c r="AT7" s="25" t="n">
        <v>32</v>
      </c>
      <c r="AU7" s="25" t="inlineStr">
        <is>
          <t>asha tea</t>
        </is>
      </c>
      <c r="AV7" s="25" t="n">
        <v>300</v>
      </c>
      <c r="AW7" s="25" t="n">
        <v>6</v>
      </c>
      <c r="AX7" s="25" t="inlineStr">
        <is>
          <t>nuts + flax + cheese</t>
        </is>
      </c>
      <c r="AY7" s="25" t="n">
        <v>130</v>
      </c>
      <c r="AZ7" s="25" t="n">
        <v>6</v>
      </c>
      <c r="BA7" s="25" t="inlineStr">
        <is>
          <t>1/2 tlc burrito bowl</t>
        </is>
      </c>
      <c r="BB7" s="25" t="n">
        <v>200</v>
      </c>
      <c r="BC7" s="450" t="n">
        <v>30</v>
      </c>
      <c r="BD7" s="450" t="inlineStr">
        <is>
          <t>2nd half tlc + chocolate</t>
        </is>
      </c>
      <c r="BE7" s="450" t="n">
        <v>450</v>
      </c>
      <c r="BF7" s="450" t="n">
        <v>36</v>
      </c>
      <c r="BG7" s="120" t="n"/>
    </row>
    <row r="8" ht="17.1" customHeight="1" s="37">
      <c r="A8" s="551" t="n"/>
      <c r="B8" s="550">
        <f>B7+1</f>
        <v/>
      </c>
      <c r="C8" s="45" t="inlineStr">
        <is>
          <t>T</t>
        </is>
      </c>
      <c r="D8" s="72">
        <f>SUM(T8,AA8)</f>
        <v/>
      </c>
      <c r="E8" s="476" t="n">
        <v>1</v>
      </c>
      <c r="F8" s="476" t="n">
        <v>1</v>
      </c>
      <c r="G8" s="476" t="n">
        <v>2</v>
      </c>
      <c r="H8" s="476" t="n">
        <v>2</v>
      </c>
      <c r="I8" s="476" t="n">
        <v>3</v>
      </c>
      <c r="J8" s="450" t="n">
        <v>1</v>
      </c>
      <c r="K8" s="450" t="n">
        <v>0</v>
      </c>
      <c r="L8" s="282" t="n">
        <v>1</v>
      </c>
      <c r="M8" s="476" t="n">
        <v>0</v>
      </c>
      <c r="N8" s="476" t="n">
        <v>1</v>
      </c>
      <c r="O8" s="22" t="n">
        <v>2</v>
      </c>
      <c r="P8" s="59">
        <f>SUM(AN8,AQ8,AT8,AZ8,BC8,BF8,AW8)</f>
        <v/>
      </c>
      <c r="Q8" s="22" t="n"/>
      <c r="R8" s="22" t="n">
        <v>0</v>
      </c>
      <c r="S8" s="476" t="n"/>
      <c r="T8" s="476" t="n">
        <v>20</v>
      </c>
      <c r="U8" s="31">
        <f>SUM(AM8,AP8,AS8,AV8,AY8,BE8,BB8)</f>
        <v/>
      </c>
      <c r="W8" s="30" t="n">
        <v>-70</v>
      </c>
      <c r="X8" s="30">
        <f>AA8-W8</f>
        <v/>
      </c>
      <c r="Y8" s="32">
        <f>'0₦'!AE7*2  + 0</f>
        <v/>
      </c>
      <c r="Z8" s="279" t="n"/>
      <c r="AA8" s="30">
        <f>SUM(E8:O8)/21*75 + IF(AM8, -(MAX((U8-1800)/10, -40)), 0)+T8 + S8 + (P8-100)*0.5+AI8 +W8</f>
        <v/>
      </c>
      <c r="AD8" s="32" t="n"/>
      <c r="AI8" s="450" t="n">
        <v>10</v>
      </c>
      <c r="AJ8" s="22" t="n">
        <v>1</v>
      </c>
      <c r="AK8" s="45" t="n"/>
      <c r="AL8" s="24" t="inlineStr">
        <is>
          <t>mocha</t>
        </is>
      </c>
      <c r="AM8" s="34" t="n">
        <v>390</v>
      </c>
      <c r="AN8" s="25" t="n">
        <v>9</v>
      </c>
      <c r="AO8" s="24" t="inlineStr">
        <is>
          <t xml:space="preserve">salad w/berries + blueberries + huevos rancheros </t>
        </is>
      </c>
      <c r="AP8" s="25">
        <f>250+200+50</f>
        <v/>
      </c>
      <c r="AQ8" s="25">
        <f>12+25</f>
        <v/>
      </c>
      <c r="AR8" s="25" t="inlineStr">
        <is>
          <t>coffee</t>
        </is>
      </c>
      <c r="AS8" s="25" t="n">
        <v>50</v>
      </c>
      <c r="AT8" s="25" t="n">
        <v>3</v>
      </c>
      <c r="AU8" s="25" t="inlineStr">
        <is>
          <t xml:space="preserve">meat + kale </t>
        </is>
      </c>
      <c r="AV8" s="25" t="n">
        <v>100</v>
      </c>
      <c r="AW8" s="25" t="n">
        <v>12</v>
      </c>
      <c r="AX8" s="25" t="inlineStr">
        <is>
          <t>mocha</t>
        </is>
      </c>
      <c r="AY8" s="25" t="n">
        <v>240</v>
      </c>
      <c r="AZ8" s="25" t="n">
        <v>6</v>
      </c>
      <c r="BA8" s="450" t="inlineStr">
        <is>
          <t>cafe juanita</t>
        </is>
      </c>
      <c r="BB8" s="450" t="n">
        <v>700</v>
      </c>
      <c r="BC8" s="450" t="n">
        <v>20</v>
      </c>
      <c r="BG8" s="120" t="n"/>
    </row>
    <row r="9" ht="17.1" customHeight="1" s="37">
      <c r="A9" s="551" t="n"/>
      <c r="B9" s="550">
        <f>B8+1</f>
        <v/>
      </c>
      <c r="C9" s="45" t="inlineStr">
        <is>
          <t>W</t>
        </is>
      </c>
      <c r="D9" s="72">
        <f>SUM(T9,AA9)</f>
        <v/>
      </c>
      <c r="E9" s="476" t="n">
        <v>3</v>
      </c>
      <c r="F9" s="476" t="n">
        <v>1</v>
      </c>
      <c r="G9" s="476" t="n">
        <v>2</v>
      </c>
      <c r="H9" s="476" t="n">
        <v>1</v>
      </c>
      <c r="I9" s="476" t="n">
        <v>2</v>
      </c>
      <c r="J9" s="476" t="n">
        <v>3</v>
      </c>
      <c r="K9" s="476" t="n">
        <v>0</v>
      </c>
      <c r="L9" s="282" t="n">
        <v>0</v>
      </c>
      <c r="M9" s="476" t="n">
        <v>3</v>
      </c>
      <c r="N9" s="476" t="n">
        <v>2</v>
      </c>
      <c r="O9" s="22" t="n">
        <v>2</v>
      </c>
      <c r="P9" s="59">
        <f>SUM(AN9,AQ9,AT9,AZ9,BC9,BF9,AW9)</f>
        <v/>
      </c>
      <c r="Q9" s="22" t="n"/>
      <c r="R9" s="22" t="n">
        <v>0</v>
      </c>
      <c r="S9" s="476" t="n"/>
      <c r="T9" s="476" t="n">
        <v>20</v>
      </c>
      <c r="U9" s="31">
        <f>SUM(AM9,AP9,AS9,AV9,AY9,BE9,BB9)</f>
        <v/>
      </c>
      <c r="W9" s="30" t="n">
        <v>-70</v>
      </c>
      <c r="X9" s="30">
        <f>AA9-W9</f>
        <v/>
      </c>
      <c r="Y9" s="32">
        <f>'0₦'!AE8*2  + 0</f>
        <v/>
      </c>
      <c r="Z9" s="279" t="n"/>
      <c r="AA9" s="30">
        <f>SUM(E9:O9)/21*75 + IF(AM9, -(MAX((U9-1800)/10, -40)), 0)+T9 + S9 + (P9-100)*0.5+AI9 +W9</f>
        <v/>
      </c>
      <c r="AD9" s="32" t="n"/>
      <c r="AI9" s="450" t="n">
        <v>10</v>
      </c>
      <c r="AJ9" s="22" t="n">
        <v>1</v>
      </c>
      <c r="AK9" s="45" t="n"/>
      <c r="AL9" s="24" t="inlineStr">
        <is>
          <t>mocha</t>
        </is>
      </c>
      <c r="AM9" s="34" t="n">
        <v>390</v>
      </c>
      <c r="AN9" s="25" t="n">
        <v>13</v>
      </c>
      <c r="AO9" s="24" t="inlineStr">
        <is>
          <t xml:space="preserve">berries, fruit sausage </t>
        </is>
      </c>
      <c r="AP9" s="25" t="n">
        <v>250</v>
      </c>
      <c r="AQ9" s="25" t="n">
        <v>15</v>
      </c>
      <c r="AR9" s="25" t="inlineStr">
        <is>
          <t xml:space="preserve">vegetables + 4 oz salmon </t>
        </is>
      </c>
      <c r="AS9" s="25" t="n">
        <v>25</v>
      </c>
      <c r="AT9" s="25" t="n">
        <v>24</v>
      </c>
      <c r="AU9" s="25" t="inlineStr">
        <is>
          <t>popcorn + vegetables</t>
        </is>
      </c>
      <c r="AV9" s="25" t="n">
        <v>250</v>
      </c>
      <c r="AW9" s="25" t="n">
        <v>5</v>
      </c>
      <c r="AX9" s="25" t="inlineStr">
        <is>
          <t>水煮牛，豆苗，啤酒</t>
        </is>
      </c>
      <c r="AY9" s="25" t="n">
        <v>700</v>
      </c>
      <c r="AZ9" s="25" t="n">
        <v>25</v>
      </c>
      <c r="BA9" s="25" t="inlineStr">
        <is>
          <t>nuts x 2</t>
        </is>
      </c>
      <c r="BB9" s="25" t="n">
        <v>160</v>
      </c>
      <c r="BC9" s="25" t="n">
        <v>8</v>
      </c>
      <c r="BG9" s="120" t="n"/>
    </row>
    <row r="10" ht="17.1" customHeight="1" s="37">
      <c r="A10" s="551" t="n"/>
      <c r="B10" s="550">
        <f>B9+1</f>
        <v/>
      </c>
      <c r="C10" s="45" t="inlineStr">
        <is>
          <t>Th</t>
        </is>
      </c>
      <c r="D10" s="72">
        <f>SUM(T10,AA10)</f>
        <v/>
      </c>
      <c r="E10" s="476" t="n">
        <v>0</v>
      </c>
      <c r="F10" s="476" t="n">
        <v>1</v>
      </c>
      <c r="G10" s="476" t="n">
        <v>2</v>
      </c>
      <c r="H10" s="476" t="n">
        <v>1</v>
      </c>
      <c r="I10" s="476" t="n">
        <v>1</v>
      </c>
      <c r="J10" s="450" t="n">
        <v>1</v>
      </c>
      <c r="K10" s="450" t="n">
        <v>1</v>
      </c>
      <c r="L10" s="282" t="n">
        <v>0</v>
      </c>
      <c r="M10" s="476" t="n">
        <v>1</v>
      </c>
      <c r="N10" s="476" t="n">
        <v>1</v>
      </c>
      <c r="O10" s="22" t="n">
        <v>2</v>
      </c>
      <c r="P10" s="59">
        <f>SUM(AN10,AQ10,AT10,AZ10,BC10,BF10,AW10)</f>
        <v/>
      </c>
      <c r="R10" s="450" t="n">
        <v>0</v>
      </c>
      <c r="T10" s="450" t="n">
        <v>20</v>
      </c>
      <c r="U10" s="31">
        <f>SUM(AM10,AP10,AS10,AV10,AY10,BE10,BB10)</f>
        <v/>
      </c>
      <c r="V10" s="483">
        <f>AVERAGE(U10:U16)</f>
        <v/>
      </c>
      <c r="W10" s="30" t="n">
        <v>105</v>
      </c>
      <c r="X10" s="30">
        <f>AA10-W10</f>
        <v/>
      </c>
      <c r="Y10" s="32">
        <f>'0₦'!AE9*2  + 0</f>
        <v/>
      </c>
      <c r="Z10" s="279" t="n"/>
      <c r="AA10" s="30">
        <f>SUM(E10:O10)/21*75 + IF(AM10, -(MAX((U10-1800)/10, -40)), 0)+T10 + S10 + (P10-100)*0.5+AI10 +W10</f>
        <v/>
      </c>
      <c r="AB10" s="477">
        <f>AVERAGE(AA10:AA16)</f>
        <v/>
      </c>
      <c r="AC10" s="498">
        <f>AVERAGE(Y10:Y16)</f>
        <v/>
      </c>
      <c r="AD10" s="32" t="n"/>
      <c r="AF10" s="478">
        <f>SUM(AE10:AE16)</f>
        <v/>
      </c>
      <c r="AG10" s="22" t="n"/>
      <c r="AH10" s="480" t="n"/>
      <c r="AI10" s="450" t="n">
        <v>10</v>
      </c>
      <c r="AJ10" s="22" t="n">
        <v>1</v>
      </c>
      <c r="AK10" s="45" t="n"/>
      <c r="AL10" s="24" t="inlineStr">
        <is>
          <t>mocha</t>
        </is>
      </c>
      <c r="AM10" s="34" t="n">
        <v>390</v>
      </c>
      <c r="AN10" s="25" t="n">
        <v>12</v>
      </c>
      <c r="AO10" s="24" t="inlineStr">
        <is>
          <t>breakfast sandwich</t>
        </is>
      </c>
      <c r="AP10" s="25" t="n">
        <v>350</v>
      </c>
      <c r="AQ10" s="25" t="n">
        <v>15</v>
      </c>
      <c r="AR10" s="25" t="inlineStr">
        <is>
          <t xml:space="preserve">poke bowl w/2 piece unagi + latte </t>
        </is>
      </c>
      <c r="AS10" s="25">
        <f>480</f>
        <v/>
      </c>
      <c r="AT10" s="25" t="n">
        <v>48</v>
      </c>
      <c r="AU10" s="25" t="inlineStr">
        <is>
          <t>2 things of decaf coffee</t>
        </is>
      </c>
      <c r="AV10" s="25" t="n">
        <v>100</v>
      </c>
      <c r="AW10" s="25" t="n">
        <v>4</v>
      </c>
      <c r="AX10" s="25" t="inlineStr">
        <is>
          <t>2 chicken, 1 slider, wine, apricot, apples</t>
        </is>
      </c>
      <c r="AY10" s="25">
        <f>100+150+70+200</f>
        <v/>
      </c>
      <c r="AZ10" s="25" t="n">
        <v>35</v>
      </c>
      <c r="BA10" s="25" t="n"/>
      <c r="BB10" s="25" t="n"/>
      <c r="BC10" s="25" t="n"/>
      <c r="BG10" s="120" t="n"/>
      <c r="BH10" s="445" t="n">
        <v>194.2</v>
      </c>
      <c r="BI10" s="473" t="inlineStr">
        <is>
          <t xml:space="preserve">• I did two HIIT workouts, and owe myself another one, but how? 
• Still struggling to eat the greens on the plane. Nuts are an easy + good thing to bring though. </t>
        </is>
      </c>
      <c r="BJ10" s="445" t="e">
        <v>#VALUE!</v>
      </c>
      <c r="BK10" s="472" t="inlineStr">
        <is>
          <t xml:space="preserve">• 21 leafy greens 
• 4 HIIT workouts </t>
        </is>
      </c>
    </row>
    <row r="11" ht="17.1" customHeight="1" s="37">
      <c r="A11" s="551" t="n"/>
      <c r="B11" s="550">
        <f>B10+1</f>
        <v/>
      </c>
      <c r="C11" s="45" t="inlineStr">
        <is>
          <t>F</t>
        </is>
      </c>
      <c r="D11" s="72">
        <f>SUM(T11,AA11)</f>
        <v/>
      </c>
      <c r="E11" s="476" t="n">
        <v>1</v>
      </c>
      <c r="F11" s="476" t="n">
        <v>1</v>
      </c>
      <c r="G11" s="476" t="n">
        <v>0</v>
      </c>
      <c r="H11" s="476" t="n">
        <v>2</v>
      </c>
      <c r="I11" s="476" t="n">
        <v>2</v>
      </c>
      <c r="J11" s="476" t="n">
        <v>1</v>
      </c>
      <c r="K11" s="476" t="n">
        <v>1</v>
      </c>
      <c r="L11" s="282" t="n">
        <v>1</v>
      </c>
      <c r="M11" s="476" t="n">
        <v>2</v>
      </c>
      <c r="N11" s="476" t="n">
        <v>1</v>
      </c>
      <c r="O11" s="22" t="n">
        <v>2</v>
      </c>
      <c r="P11" s="59">
        <f>SUM(AN11,AQ11,AT11,AZ11,BC11,BF11,AW11)</f>
        <v/>
      </c>
      <c r="Q11" s="22" t="n"/>
      <c r="R11" s="22" t="n">
        <v>0</v>
      </c>
      <c r="S11" s="476" t="n"/>
      <c r="T11" s="476" t="n">
        <v>20</v>
      </c>
      <c r="U11" s="31">
        <f>SUM(AM11,AP11,AS11,AV11,AY11,BE11,BB11)</f>
        <v/>
      </c>
      <c r="W11" s="30" t="n">
        <v>-70</v>
      </c>
      <c r="X11" s="30">
        <f>AA11-W11</f>
        <v/>
      </c>
      <c r="Y11" s="32">
        <f>'0₦'!AE10*2  + 0</f>
        <v/>
      </c>
      <c r="Z11" s="279" t="n"/>
      <c r="AA11" s="30">
        <f>SUM(E11:O11)/21*75 + IF(AM11, -(MAX((U11-1800)/10, -40)), 0)+T11 + S11 + (P11-100)*0.5+AI11 +W11</f>
        <v/>
      </c>
      <c r="AD11" s="32" t="n"/>
      <c r="AI11" s="450" t="n">
        <v>0</v>
      </c>
      <c r="AJ11" s="22" t="n">
        <v>3</v>
      </c>
      <c r="AK11" s="45" t="n"/>
      <c r="AL11" s="24" t="inlineStr">
        <is>
          <t>mocha</t>
        </is>
      </c>
      <c r="AM11" s="34" t="n">
        <v>390</v>
      </c>
      <c r="AN11" s="25" t="n">
        <v>12</v>
      </c>
      <c r="AO11" s="24" t="inlineStr">
        <is>
          <t>nuts + coffee</t>
        </is>
      </c>
      <c r="AP11" s="25" t="n">
        <v>110</v>
      </c>
      <c r="AQ11" s="25" t="n">
        <v>6</v>
      </c>
      <c r="AR11" s="25" t="inlineStr">
        <is>
          <t xml:space="preserve">medeterranian plate </t>
        </is>
      </c>
      <c r="AS11" s="25" t="n">
        <v>800</v>
      </c>
      <c r="AT11" s="25" t="n">
        <v>60</v>
      </c>
      <c r="AU11" s="25" t="inlineStr">
        <is>
          <t>mocha</t>
        </is>
      </c>
      <c r="AV11" s="25" t="n">
        <v>250</v>
      </c>
      <c r="AW11" s="25" t="n">
        <v>6</v>
      </c>
      <c r="AX11" s="450" t="inlineStr">
        <is>
          <t>nuts + berries</t>
        </is>
      </c>
      <c r="AY11" s="450" t="n">
        <v>150</v>
      </c>
      <c r="AZ11" s="450" t="n">
        <v>6</v>
      </c>
      <c r="BG11" s="120" t="n"/>
      <c r="BM11" s="445">
        <f>SUM(BN11:BO19)</f>
        <v/>
      </c>
      <c r="BN11" s="445">
        <f>COUNTIF('0₦'!L10:L16,"&lt;&gt;")*23 - 15</f>
        <v/>
      </c>
      <c r="BO11" s="445" t="n">
        <v>131</v>
      </c>
      <c r="BP11" s="472" t="inlineStr">
        <is>
          <t xml:space="preserve">•  I should view SLT as a little bit more of a show, and plan accordingly. That includes the way that I dress. 
•  Last week's post was pretty good, but what am I going to write for February? 
•  The offsite is also a chance to hone image. </t>
        </is>
      </c>
    </row>
    <row r="12" ht="17.1" customHeight="1" s="37">
      <c r="A12" s="552" t="n"/>
      <c r="B12" s="550">
        <f>B11+1</f>
        <v/>
      </c>
      <c r="C12" s="45" t="inlineStr">
        <is>
          <t>S</t>
        </is>
      </c>
      <c r="D12" s="72">
        <f>SUM(T12,AA12)</f>
        <v/>
      </c>
      <c r="E12" s="335" t="n">
        <v>3</v>
      </c>
      <c r="F12" s="450" t="n">
        <v>1</v>
      </c>
      <c r="G12" s="450" t="n">
        <v>1</v>
      </c>
      <c r="H12" s="476" t="n">
        <v>0</v>
      </c>
      <c r="I12" s="335" t="n">
        <v>4</v>
      </c>
      <c r="J12" s="335" t="n">
        <v>3</v>
      </c>
      <c r="K12" s="450" t="n">
        <v>3</v>
      </c>
      <c r="L12" s="215" t="n">
        <v>1</v>
      </c>
      <c r="M12" s="450" t="n">
        <v>1</v>
      </c>
      <c r="N12" s="335" t="n">
        <v>1</v>
      </c>
      <c r="O12" s="335" t="n">
        <v>2</v>
      </c>
      <c r="P12" s="59">
        <f>SUM(AN12,AQ12,AT12,AZ12,BC12,BF12,AW12)</f>
        <v/>
      </c>
      <c r="Q12" s="22" t="n"/>
      <c r="R12" s="22" t="n">
        <v>0</v>
      </c>
      <c r="S12" s="476" t="n"/>
      <c r="T12" s="476" t="n">
        <v>20</v>
      </c>
      <c r="U12" s="31">
        <f>SUM(AM12,AP12,AS12,AV12,AY12,BE12,BB12)</f>
        <v/>
      </c>
      <c r="W12" s="30" t="n">
        <v>70</v>
      </c>
      <c r="X12" s="30">
        <f>AA12-W12</f>
        <v/>
      </c>
      <c r="Y12" s="32">
        <f>'0₦'!AE11*2  + 35</f>
        <v/>
      </c>
      <c r="Z12" s="279" t="n"/>
      <c r="AA12" s="30">
        <f>SUM(E12:O12)/21*75 + IF(AM12, -(MAX((U12-1800)/10, -40)), 0)+T12 + S12 + (P12-100)*0.5+AI12 +W12</f>
        <v/>
      </c>
      <c r="AD12" s="32" t="n"/>
      <c r="AE12" s="450" t="n">
        <v>0.3</v>
      </c>
      <c r="AI12" s="450" t="n">
        <v>10</v>
      </c>
      <c r="AJ12" s="22" t="n">
        <v>1</v>
      </c>
      <c r="AK12" s="45" t="n"/>
      <c r="AL12" s="24" t="inlineStr">
        <is>
          <t>mocha</t>
        </is>
      </c>
      <c r="AM12" s="34" t="n">
        <v>390</v>
      </c>
      <c r="AN12" s="25" t="n">
        <v>12</v>
      </c>
      <c r="AO12" s="24" t="inlineStr">
        <is>
          <t>3 cheese almonds, breakd</t>
        </is>
      </c>
      <c r="AP12" s="34">
        <f>300</f>
        <v/>
      </c>
      <c r="AQ12" s="25" t="n">
        <v>11</v>
      </c>
      <c r="AR12" s="25" t="inlineStr">
        <is>
          <t>flax + apple + berries</t>
        </is>
      </c>
      <c r="AS12" s="25">
        <f>30+50+30</f>
        <v/>
      </c>
      <c r="AT12" s="25">
        <f>2+1</f>
        <v/>
      </c>
      <c r="AU12" s="25" t="inlineStr">
        <is>
          <t>spinach</t>
        </is>
      </c>
      <c r="AV12" s="25" t="n">
        <v>35</v>
      </c>
      <c r="AW12" s="25" t="n">
        <v>5</v>
      </c>
      <c r="AX12" s="25" t="inlineStr">
        <is>
          <t xml:space="preserve">beans + eggn + hummus + falafel + muhammarah + labneh + songbing + potato cake + cabbage </t>
        </is>
      </c>
      <c r="AY12" s="25">
        <f>50+600</f>
        <v/>
      </c>
      <c r="AZ12" s="25" t="n">
        <v>25</v>
      </c>
      <c r="BA12" s="25" t="inlineStr">
        <is>
          <t>tea</t>
        </is>
      </c>
      <c r="BB12" s="25" t="n">
        <v>200</v>
      </c>
      <c r="BC12" s="25" t="n">
        <v>6</v>
      </c>
      <c r="BD12" s="450" t="inlineStr">
        <is>
          <t>2 flax+ dumpling + tofu + peppers</t>
        </is>
      </c>
      <c r="BE12" s="450">
        <f>150+30+60</f>
        <v/>
      </c>
      <c r="BF12" s="450" t="n">
        <v>15</v>
      </c>
      <c r="BG12" s="120" t="n"/>
    </row>
    <row r="13" ht="17.1" customHeight="1" s="37">
      <c r="A13" s="462">
        <f>A6+0.1</f>
        <v/>
      </c>
      <c r="B13" s="550">
        <f>B12+1</f>
        <v/>
      </c>
      <c r="C13" s="45" t="inlineStr">
        <is>
          <t>S</t>
        </is>
      </c>
      <c r="D13" s="72">
        <f>SUM(T13,AA13)</f>
        <v/>
      </c>
      <c r="E13" s="450" t="n">
        <v>4</v>
      </c>
      <c r="F13" s="450" t="n">
        <v>1</v>
      </c>
      <c r="G13" s="450" t="n">
        <v>0</v>
      </c>
      <c r="H13" s="450" t="n">
        <v>0</v>
      </c>
      <c r="I13" s="450" t="n">
        <v>1</v>
      </c>
      <c r="J13" s="450" t="n">
        <v>3</v>
      </c>
      <c r="K13" s="450" t="n">
        <v>3</v>
      </c>
      <c r="L13" s="216" t="n">
        <v>3</v>
      </c>
      <c r="M13" s="450" t="n">
        <v>2</v>
      </c>
      <c r="N13" s="450" t="n">
        <v>1</v>
      </c>
      <c r="O13" s="450" t="n">
        <v>2</v>
      </c>
      <c r="P13" s="59">
        <f>SUM(AN13,AQ13,AT13,AZ13,BC13,BF13,AW13)</f>
        <v/>
      </c>
      <c r="R13" s="450" t="n">
        <v>0</v>
      </c>
      <c r="T13" s="450" t="n">
        <v>20</v>
      </c>
      <c r="U13" s="31">
        <f>SUM(AM13,AP13,AS13,AV13,AY13,BE13,BB13)</f>
        <v/>
      </c>
      <c r="W13" s="30" t="n">
        <v>70</v>
      </c>
      <c r="X13" s="30">
        <f>AA13-W13</f>
        <v/>
      </c>
      <c r="Y13" s="32">
        <f>'0₦'!AE12*2  + 53</f>
        <v/>
      </c>
      <c r="Z13" s="279" t="n"/>
      <c r="AA13" s="30">
        <f>SUM(E13:O13)/21*75 + IF(AM13, -(MAX((U13-1800)/10, -40)), 0)+T13 + S13 + (P13-100)*0.5+AI13 +W13</f>
        <v/>
      </c>
      <c r="AD13" s="32" t="n"/>
      <c r="AE13" s="450" t="n">
        <v>1</v>
      </c>
      <c r="AI13" s="450" t="n">
        <v>10</v>
      </c>
      <c r="AJ13" s="450" t="n">
        <v>1</v>
      </c>
      <c r="AK13" s="45" t="n"/>
      <c r="AL13" s="24" t="inlineStr">
        <is>
          <t>mocha</t>
        </is>
      </c>
      <c r="AM13" s="34" t="n">
        <v>340</v>
      </c>
      <c r="AN13" s="25" t="n">
        <v>12</v>
      </c>
      <c r="AO13" s="24" t="inlineStr">
        <is>
          <t>3 cheese, almonds + milk, 5 dumplings</t>
        </is>
      </c>
      <c r="AP13" s="34">
        <f>150+150+90</f>
        <v/>
      </c>
      <c r="AQ13" s="25">
        <f>10+6+5</f>
        <v/>
      </c>
      <c r="AR13" s="25" t="inlineStr">
        <is>
          <t>tuna sandwich</t>
        </is>
      </c>
      <c r="AS13" s="450" t="n">
        <v>480</v>
      </c>
      <c r="AT13" s="450" t="n">
        <v>35</v>
      </c>
      <c r="AU13" s="450" t="inlineStr">
        <is>
          <t>tea</t>
        </is>
      </c>
      <c r="AV13" s="450" t="n">
        <v>200</v>
      </c>
      <c r="AW13" s="450" t="n">
        <v>6</v>
      </c>
      <c r="AX13" s="450" t="inlineStr">
        <is>
          <t>3 bao, cucumbers, tofu, almonds + milk</t>
        </is>
      </c>
      <c r="AY13" s="450">
        <f>300+50+150</f>
        <v/>
      </c>
      <c r="AZ13" s="450" t="n">
        <v>18</v>
      </c>
      <c r="BA13" s="450" t="inlineStr">
        <is>
          <t xml:space="preserve">carrots + hummus </t>
        </is>
      </c>
      <c r="BB13" s="450" t="n">
        <v>130</v>
      </c>
      <c r="BC13" s="450" t="n">
        <v>8</v>
      </c>
      <c r="BG13" s="120" t="n"/>
    </row>
    <row r="14" ht="17.1" customHeight="1" s="37">
      <c r="A14" s="551" t="n"/>
      <c r="B14" s="550">
        <f>B13+1</f>
        <v/>
      </c>
      <c r="C14" s="45" t="inlineStr">
        <is>
          <t>M</t>
        </is>
      </c>
      <c r="D14" s="30">
        <f>SUM(T14,AA14)</f>
        <v/>
      </c>
      <c r="E14" s="450" t="n">
        <v>2</v>
      </c>
      <c r="F14" s="450" t="n">
        <v>1</v>
      </c>
      <c r="G14" s="450" t="n">
        <v>0</v>
      </c>
      <c r="H14" s="450" t="n">
        <v>0</v>
      </c>
      <c r="I14" s="450" t="n">
        <v>0</v>
      </c>
      <c r="J14" s="450" t="n">
        <v>2</v>
      </c>
      <c r="K14" s="450" t="n">
        <v>2</v>
      </c>
      <c r="L14" s="216" t="n">
        <v>3</v>
      </c>
      <c r="M14" s="450" t="n">
        <v>1</v>
      </c>
      <c r="N14" s="450" t="n">
        <v>2</v>
      </c>
      <c r="O14" s="450" t="n">
        <v>2</v>
      </c>
      <c r="P14" s="59">
        <f>SUM(AN14,AQ14,AT14,AZ14,BC14,BF14,AW14)</f>
        <v/>
      </c>
      <c r="R14" s="450" t="n">
        <v>0</v>
      </c>
      <c r="T14" s="450" t="n">
        <v>20</v>
      </c>
      <c r="U14" s="31">
        <f>SUM(AM14,AP14,AS14,AV14,AY14,BE14,BB14)</f>
        <v/>
      </c>
      <c r="W14" s="30" t="n">
        <v>15</v>
      </c>
      <c r="X14" s="30">
        <f>AA14-W14</f>
        <v/>
      </c>
      <c r="Y14" s="32">
        <f>'0₦'!AE13*2  + 53</f>
        <v/>
      </c>
      <c r="Z14" s="279" t="n"/>
      <c r="AA14" s="30">
        <f>SUM(E14:O14)/21*75 + IF(AM14, -(MAX((U14-1800)/10, -40)), 0)+T14 + S14 + (P14-100)*0.5+AI14 +W14</f>
        <v/>
      </c>
      <c r="AD14" s="32" t="n"/>
      <c r="AE14" s="450" t="n">
        <v>1</v>
      </c>
      <c r="AI14" s="450" t="n">
        <v>10</v>
      </c>
      <c r="AJ14" s="450" t="n">
        <v>1</v>
      </c>
      <c r="AK14" s="45" t="n"/>
      <c r="AL14" s="24" t="inlineStr">
        <is>
          <t>mocha</t>
        </is>
      </c>
      <c r="AM14" s="34" t="n">
        <v>340</v>
      </c>
      <c r="AN14" s="25" t="n">
        <v>12</v>
      </c>
      <c r="AO14" s="24" t="inlineStr">
        <is>
          <t>huevos rancheros</t>
        </is>
      </c>
      <c r="AP14" s="34" t="n">
        <v>1000</v>
      </c>
      <c r="AQ14" s="25" t="n">
        <v>50</v>
      </c>
      <c r="AR14" s="25" t="inlineStr">
        <is>
          <t>tea x 2</t>
        </is>
      </c>
      <c r="AS14" s="450" t="n">
        <v>400</v>
      </c>
      <c r="AT14" s="450" t="n">
        <v>11</v>
      </c>
      <c r="AU14" s="450" t="inlineStr">
        <is>
          <t>chicken + flax</t>
        </is>
      </c>
      <c r="AV14" s="450" t="n">
        <v>360</v>
      </c>
      <c r="AW14" s="450" t="n">
        <v>49</v>
      </c>
      <c r="AX14" s="450" t="inlineStr">
        <is>
          <t>chocolate</t>
        </is>
      </c>
      <c r="AY14" s="450" t="n">
        <v>100</v>
      </c>
      <c r="AZ14" s="450" t="n">
        <v>4</v>
      </c>
      <c r="BG14" s="120" t="n"/>
    </row>
    <row r="15" ht="17.1" customHeight="1" s="37">
      <c r="A15" s="551" t="n"/>
      <c r="B15" s="550">
        <f>B14+1</f>
        <v/>
      </c>
      <c r="C15" s="45" t="inlineStr">
        <is>
          <t>T</t>
        </is>
      </c>
      <c r="D15" s="30">
        <f>SUM(T15,AA15)</f>
        <v/>
      </c>
      <c r="E15" s="450" t="n">
        <v>3</v>
      </c>
      <c r="F15" s="450" t="n">
        <v>0</v>
      </c>
      <c r="G15" s="450" t="n">
        <v>0</v>
      </c>
      <c r="H15" s="450" t="n">
        <v>1</v>
      </c>
      <c r="I15" s="450" t="n">
        <v>1</v>
      </c>
      <c r="J15" s="450" t="n">
        <v>2</v>
      </c>
      <c r="K15" s="450" t="n">
        <v>2</v>
      </c>
      <c r="L15" s="216" t="n">
        <v>0</v>
      </c>
      <c r="M15" s="450" t="n">
        <v>0</v>
      </c>
      <c r="N15" s="450" t="n">
        <v>1</v>
      </c>
      <c r="O15" s="450" t="n">
        <v>2</v>
      </c>
      <c r="P15" s="59">
        <f>SUM(AN15,AQ15,AT15,AZ15,BC15,BF15,AW15)</f>
        <v/>
      </c>
      <c r="R15" s="450" t="n">
        <v>0</v>
      </c>
      <c r="T15" s="450" t="n">
        <v>20</v>
      </c>
      <c r="U15" s="31">
        <f>SUM(AM15,AP15,AS15,AV15,AY15,BE15,BB15)</f>
        <v/>
      </c>
      <c r="W15" s="30" t="n">
        <v>0</v>
      </c>
      <c r="X15" s="30">
        <f>AA15-W15</f>
        <v/>
      </c>
      <c r="Y15" s="32">
        <f>'0₦'!AE14*2  + 10</f>
        <v/>
      </c>
      <c r="Z15" s="279" t="n"/>
      <c r="AA15" s="30">
        <f>SUM(E15:O15)/21*75 + IF(AM15, -(MAX((U15-1800)/10, -40)), 0)+T15 + S15 + (P15-100)*0.5+AI15 +W15</f>
        <v/>
      </c>
      <c r="AD15" s="32" t="n"/>
      <c r="AI15" s="450" t="n">
        <v>10</v>
      </c>
      <c r="AJ15" s="450" t="n">
        <v>1</v>
      </c>
      <c r="AK15" s="45" t="n"/>
      <c r="AL15" s="450" t="inlineStr">
        <is>
          <t>mocha</t>
        </is>
      </c>
      <c r="AM15" s="450" t="n">
        <v>340</v>
      </c>
      <c r="AN15" s="450" t="n">
        <v>12</v>
      </c>
      <c r="AO15" s="450" t="inlineStr">
        <is>
          <t>chicken + yoghurt + falx</t>
        </is>
      </c>
      <c r="AP15" s="450" t="n">
        <v>300</v>
      </c>
      <c r="AQ15" s="450" t="n">
        <v>46</v>
      </c>
      <c r="AR15" s="25" t="inlineStr">
        <is>
          <t>5 dumplings, beans cucuumbers</t>
        </is>
      </c>
      <c r="AS15" s="450">
        <f>150+80+10</f>
        <v/>
      </c>
      <c r="AT15" s="450" t="n">
        <v>10</v>
      </c>
      <c r="AU15" s="450" t="inlineStr">
        <is>
          <t>tea</t>
        </is>
      </c>
      <c r="AV15" s="450" t="n">
        <v>300</v>
      </c>
      <c r="AW15" s="450" t="n">
        <v>6</v>
      </c>
      <c r="AX15" s="450" t="inlineStr">
        <is>
          <t>mocha</t>
        </is>
      </c>
      <c r="AY15" s="450" t="n">
        <v>290</v>
      </c>
      <c r="AZ15" s="450" t="n">
        <v>6</v>
      </c>
      <c r="BA15" s="450" t="inlineStr">
        <is>
          <t xml:space="preserve">4 饺子 tofu, beans cheese </t>
        </is>
      </c>
      <c r="BB15" s="450">
        <f>120+100+90</f>
        <v/>
      </c>
      <c r="BG15" s="120" t="n"/>
    </row>
    <row r="16" ht="17.1" customHeight="1" s="37">
      <c r="A16" s="551" t="n"/>
      <c r="B16" s="550">
        <f>B15+1</f>
        <v/>
      </c>
      <c r="C16" s="45" t="inlineStr">
        <is>
          <t>W</t>
        </is>
      </c>
      <c r="D16" s="30">
        <f>SUM(T16,AA16)</f>
        <v/>
      </c>
      <c r="E16" s="450" t="n">
        <v>0</v>
      </c>
      <c r="F16" s="450" t="n">
        <v>0</v>
      </c>
      <c r="G16" s="450" t="n">
        <v>0</v>
      </c>
      <c r="H16" s="450" t="n">
        <v>1</v>
      </c>
      <c r="I16" s="450" t="n">
        <v>2</v>
      </c>
      <c r="J16" s="450" t="n">
        <v>1</v>
      </c>
      <c r="K16" s="450" t="n">
        <v>1</v>
      </c>
      <c r="L16" s="216" t="n">
        <v>2</v>
      </c>
      <c r="M16" s="450" t="n">
        <v>2</v>
      </c>
      <c r="N16" s="450" t="n">
        <v>1</v>
      </c>
      <c r="O16" s="450" t="n">
        <v>2</v>
      </c>
      <c r="P16" s="59">
        <f>SUM(AN16,AQ16,AT16,AZ16,BC16,BF16,AW16)</f>
        <v/>
      </c>
      <c r="R16" s="450" t="n">
        <v>0</v>
      </c>
      <c r="T16" s="450" t="n">
        <v>20</v>
      </c>
      <c r="U16" s="31">
        <f>SUM(AM16,AP16,AS16,AV16,AY16,BE16,BB16)</f>
        <v/>
      </c>
      <c r="W16" s="30" t="n">
        <v>0</v>
      </c>
      <c r="X16" s="30">
        <f>AA16-W16</f>
        <v/>
      </c>
      <c r="Y16" s="32">
        <f>'0₦'!AE15*2  + 10</f>
        <v/>
      </c>
      <c r="Z16" s="279" t="n"/>
      <c r="AA16" s="30">
        <f>SUM(E16:O16)/21*75 + IF(AM16, -(MAX((U16-1800)/10, -40)), 0)+T16 + S16 + (P16-100)*0.5+AI16 +W16</f>
        <v/>
      </c>
      <c r="AD16" s="32" t="n"/>
      <c r="AI16" s="450" t="n">
        <v>10</v>
      </c>
      <c r="AJ16" s="450" t="n">
        <v>1</v>
      </c>
      <c r="AK16" s="45" t="n"/>
      <c r="AL16" s="450" t="inlineStr">
        <is>
          <t>mocha</t>
        </is>
      </c>
      <c r="AM16" s="450" t="n">
        <v>340</v>
      </c>
      <c r="AN16" s="450" t="n">
        <v>12</v>
      </c>
      <c r="AO16" s="450" t="inlineStr">
        <is>
          <t>6 cheese, almonds</t>
        </is>
      </c>
      <c r="AP16" s="450">
        <f>180+150</f>
        <v/>
      </c>
      <c r="AQ16" s="450">
        <f>12+12</f>
        <v/>
      </c>
      <c r="AR16" s="25" t="inlineStr">
        <is>
          <t>2 tacos + tea</t>
        </is>
      </c>
      <c r="AS16" s="450" t="n">
        <v>600</v>
      </c>
      <c r="AT16" s="450">
        <f>25+6</f>
        <v/>
      </c>
      <c r="AU16" s="450" t="inlineStr">
        <is>
          <t>mocha</t>
        </is>
      </c>
      <c r="AV16" s="450" t="n">
        <v>390</v>
      </c>
      <c r="AW16" s="450" t="n">
        <v>12</v>
      </c>
      <c r="AX16" s="450" t="inlineStr">
        <is>
          <t xml:space="preserve">3 handrolls, salmon, cookies </t>
        </is>
      </c>
      <c r="AY16" s="450" t="n">
        <v>700</v>
      </c>
      <c r="AZ16" s="450" t="n">
        <v>65</v>
      </c>
      <c r="BG16" s="120" t="n"/>
    </row>
    <row r="17" ht="17.1" customHeight="1" s="37">
      <c r="A17" s="551" t="n"/>
      <c r="B17" s="550">
        <f>B16+1</f>
        <v/>
      </c>
      <c r="C17" s="45" t="inlineStr">
        <is>
          <t>Th</t>
        </is>
      </c>
      <c r="D17" s="30">
        <f>SUM(T17,AA17)</f>
        <v/>
      </c>
      <c r="E17" s="450" t="n">
        <v>0</v>
      </c>
      <c r="F17" s="450" t="n">
        <v>4</v>
      </c>
      <c r="G17" s="450" t="n">
        <v>1</v>
      </c>
      <c r="H17" s="450" t="n">
        <v>0</v>
      </c>
      <c r="I17" s="450" t="n">
        <v>1</v>
      </c>
      <c r="J17" s="450" t="n">
        <v>2</v>
      </c>
      <c r="K17" s="450" t="n">
        <v>0</v>
      </c>
      <c r="L17" s="216" t="n">
        <v>0</v>
      </c>
      <c r="M17" s="450" t="n">
        <v>4</v>
      </c>
      <c r="N17" s="450" t="n">
        <v>1</v>
      </c>
      <c r="O17" s="450" t="n">
        <v>2</v>
      </c>
      <c r="P17" s="59">
        <f>SUM(AN17,AQ17,AT17,AZ17,BC17,BF17,AW17)</f>
        <v/>
      </c>
      <c r="R17" s="450" t="n">
        <v>0</v>
      </c>
      <c r="T17" s="450" t="n">
        <v>20</v>
      </c>
      <c r="U17" s="31">
        <f>SUM(AM17,AP17,AS17,AV17,AY17,BE17,BB17)</f>
        <v/>
      </c>
      <c r="V17" s="483">
        <f>AVERAGE(U17:U23)</f>
        <v/>
      </c>
      <c r="W17" s="30" t="n">
        <v>70</v>
      </c>
      <c r="X17" s="30">
        <f>AA17-W17</f>
        <v/>
      </c>
      <c r="Y17" s="32">
        <f>'0₦'!AE16*2  + 0</f>
        <v/>
      </c>
      <c r="Z17" s="279" t="n"/>
      <c r="AA17" s="30">
        <f>SUM(E17:O17)/21*75 + IF(AM17, -(MAX((U17-1800)/10, -40)), 0)+T17 + S17 + (P17-100)*0.5+AI17 +W17</f>
        <v/>
      </c>
      <c r="AB17" s="477">
        <f>AVERAGE(AA17:AA23)</f>
        <v/>
      </c>
      <c r="AC17" s="498">
        <f>AVERAGE(Y17:Y23)</f>
        <v/>
      </c>
      <c r="AD17" s="32" t="n"/>
      <c r="AF17" s="478">
        <f>SUM(AE17:AE23)</f>
        <v/>
      </c>
      <c r="AG17" s="22" t="n"/>
      <c r="AH17" s="480" t="n"/>
      <c r="AI17" s="450" t="n">
        <v>10</v>
      </c>
      <c r="AJ17" s="450" t="n">
        <v>1</v>
      </c>
      <c r="AK17" s="45" t="n"/>
      <c r="AL17" s="450" t="inlineStr">
        <is>
          <t>mocha</t>
        </is>
      </c>
      <c r="AM17" s="450" t="n">
        <v>290</v>
      </c>
      <c r="AN17" s="450" t="n">
        <v>6</v>
      </c>
      <c r="AO17" s="450" t="inlineStr">
        <is>
          <t>havarti sandwich</t>
        </is>
      </c>
      <c r="AP17" s="450" t="n">
        <v>400</v>
      </c>
      <c r="AQ17" s="450" t="n">
        <v>15</v>
      </c>
      <c r="AR17" s="25" t="inlineStr">
        <is>
          <t>mocha</t>
        </is>
      </c>
      <c r="AS17" s="450" t="n">
        <v>290</v>
      </c>
      <c r="AT17" s="450" t="n">
        <v>6</v>
      </c>
      <c r="AU17" s="450" t="inlineStr">
        <is>
          <t>maotai with eggs, beef, pork, mushrooms, cabbage, ou</t>
        </is>
      </c>
      <c r="AV17" s="450" t="n">
        <v>600</v>
      </c>
      <c r="AW17" s="450" t="n">
        <v>30</v>
      </c>
      <c r="AX17" s="450" t="inlineStr">
        <is>
          <t xml:space="preserve">noodles + pb Cups + blueberries + nuts </t>
        </is>
      </c>
      <c r="AY17" s="450">
        <f>100+250+200  + 200</f>
        <v/>
      </c>
      <c r="AZ17" s="450" t="n">
        <v>25</v>
      </c>
      <c r="BG17" s="120" t="n"/>
      <c r="BH17" s="445" t="n">
        <v>194</v>
      </c>
      <c r="BI17" s="473" t="inlineStr">
        <is>
          <t xml:space="preserve">•  Did HIIT in the hotel today, with plans for another which is good. 
• If I keep buying greens in tins and eating them as a snack, I'll be good to go. 
•  I think a good piece of fruit + Chai tea + milk is probably better than the mocha that I'm doing. But I've got to get to that level first. The next challenge is wvegetables. </t>
        </is>
      </c>
      <c r="BJ17" s="445" t="n"/>
      <c r="BK17" s="472" t="inlineStr">
        <is>
          <t xml:space="preserve">• Battleline at vegetables 
• 4 HIIT workouts 
 </t>
        </is>
      </c>
    </row>
    <row r="18" ht="17.1" customHeight="1" s="37">
      <c r="A18" s="551" t="n"/>
      <c r="B18" s="550">
        <f>B17+1</f>
        <v/>
      </c>
      <c r="C18" s="45" t="inlineStr">
        <is>
          <t>F</t>
        </is>
      </c>
      <c r="D18" s="30">
        <f>SUM(T18,AA18)</f>
        <v/>
      </c>
      <c r="E18" s="450" t="n">
        <v>2</v>
      </c>
      <c r="F18" s="450" t="n">
        <v>0</v>
      </c>
      <c r="G18" s="450" t="n">
        <v>0</v>
      </c>
      <c r="H18" s="450" t="n">
        <v>5</v>
      </c>
      <c r="I18" s="450" t="n">
        <v>5</v>
      </c>
      <c r="J18" s="450" t="n">
        <v>1</v>
      </c>
      <c r="K18" s="450" t="n">
        <v>0</v>
      </c>
      <c r="L18" s="216" t="n">
        <v>0</v>
      </c>
      <c r="M18" s="450" t="n">
        <v>1</v>
      </c>
      <c r="N18" s="450" t="n">
        <v>1</v>
      </c>
      <c r="O18" s="450" t="n">
        <v>2</v>
      </c>
      <c r="P18" s="59">
        <f>SUM(AN18,AQ18,AT18,AZ18,BC18,BF18,AW18)</f>
        <v/>
      </c>
      <c r="R18" s="450" t="n">
        <v>0</v>
      </c>
      <c r="T18" s="450" t="n">
        <v>20</v>
      </c>
      <c r="U18" s="31">
        <f>SUM(AM18,AP18,AS18,AV18,AY18,BE18,BB18)</f>
        <v/>
      </c>
      <c r="W18" s="30" t="n">
        <v>-70</v>
      </c>
      <c r="X18" s="30">
        <f>AA18-W18</f>
        <v/>
      </c>
      <c r="Y18" s="32">
        <f>'0₦'!AE17*2  + 0</f>
        <v/>
      </c>
      <c r="Z18" s="279" t="n"/>
      <c r="AA18" s="30">
        <f>SUM(E18:O18)/21*75 + IF(AM18, -(MAX((U18-1800)/10, -40)), 0)+T18 + S18 + (P18-100)*0.5+AI18 +W18</f>
        <v/>
      </c>
      <c r="AD18" s="32" t="n"/>
      <c r="AI18" s="450" t="n">
        <v>0</v>
      </c>
      <c r="AJ18" s="450" t="n">
        <v>3</v>
      </c>
      <c r="AK18" s="45" t="n"/>
      <c r="AL18" s="24" t="inlineStr">
        <is>
          <t>mocha</t>
        </is>
      </c>
      <c r="AM18" s="34" t="n">
        <v>390</v>
      </c>
      <c r="AN18" s="25" t="n">
        <v>12</v>
      </c>
      <c r="AO18" s="450" t="inlineStr">
        <is>
          <t xml:space="preserve">salad lamb, chicken, hummus etc. </t>
        </is>
      </c>
      <c r="AP18" s="450" t="n">
        <v>800</v>
      </c>
      <c r="AQ18" s="450" t="n">
        <v>50</v>
      </c>
      <c r="AR18" s="25" t="inlineStr">
        <is>
          <t>mocha</t>
        </is>
      </c>
      <c r="AS18" s="450" t="n">
        <v>290</v>
      </c>
      <c r="AT18" s="450" t="n">
        <v>9</v>
      </c>
      <c r="AU18" s="450" t="inlineStr">
        <is>
          <t>mocha</t>
        </is>
      </c>
      <c r="AV18" s="450" t="n">
        <v>290</v>
      </c>
      <c r="AW18" s="450" t="n">
        <v>6</v>
      </c>
      <c r="AX18" s="450" t="inlineStr">
        <is>
          <t>kale + pistachios</t>
        </is>
      </c>
      <c r="AY18" s="450" t="n">
        <v>85</v>
      </c>
      <c r="AZ18" s="450" t="n">
        <v>7</v>
      </c>
      <c r="BG18" s="120" t="n"/>
      <c r="BM18" s="445">
        <f>SUM(BN18:BO27)</f>
        <v/>
      </c>
      <c r="BN18" s="445">
        <f>COUNTIF('0₦'!L17:L23,"&lt;&gt;")*23</f>
        <v/>
      </c>
      <c r="BO18" s="445" t="n">
        <v>22</v>
      </c>
      <c r="BP18" s="472" t="inlineStr">
        <is>
          <t xml:space="preserve">• Got showers in this week, but I didn't enjoy them as much as I could have. 
• Forgetting floss was annoying. 
• Still lacking on pictures which is something that I should do, and I should pair that with the music. </t>
        </is>
      </c>
    </row>
    <row r="19" ht="17.1" customHeight="1" s="37">
      <c r="A19" s="552" t="n"/>
      <c r="B19" s="550">
        <f>B18+1</f>
        <v/>
      </c>
      <c r="C19" s="45" t="inlineStr">
        <is>
          <t>S</t>
        </is>
      </c>
      <c r="D19" s="30">
        <f>SUM(T19,AA19)</f>
        <v/>
      </c>
      <c r="E19" s="450" t="n">
        <v>0</v>
      </c>
      <c r="F19" s="450" t="n">
        <v>0</v>
      </c>
      <c r="G19" s="450" t="n">
        <v>0</v>
      </c>
      <c r="H19" s="450" t="n">
        <v>2</v>
      </c>
      <c r="I19" s="450" t="n">
        <v>4</v>
      </c>
      <c r="J19" s="450" t="n">
        <v>1</v>
      </c>
      <c r="K19" s="450" t="n">
        <v>1</v>
      </c>
      <c r="L19" s="216" t="n">
        <v>0</v>
      </c>
      <c r="M19" s="450" t="n">
        <v>2</v>
      </c>
      <c r="N19" s="450" t="n">
        <v>1</v>
      </c>
      <c r="O19" s="450" t="n">
        <v>2</v>
      </c>
      <c r="P19" s="59">
        <f>SUM(AN19,AQ19,AT19,AZ19,BC19,BF19,AW19)</f>
        <v/>
      </c>
      <c r="R19" s="450" t="n">
        <v>0</v>
      </c>
      <c r="T19" s="450" t="n">
        <v>20</v>
      </c>
      <c r="U19" s="31">
        <f>SUM(AM19,AP19,AS19,AV19,AY19,BE19,BB19)</f>
        <v/>
      </c>
      <c r="W19" s="30" t="n">
        <v>70</v>
      </c>
      <c r="X19" s="30">
        <f>AA19-W19</f>
        <v/>
      </c>
      <c r="Y19" s="32">
        <f>'0₦'!AE18*2  + 20</f>
        <v/>
      </c>
      <c r="Z19" s="279" t="n"/>
      <c r="AA19" s="30">
        <f>SUM(E19:O19)/21*75 + IF(AM19, -(MAX((U19-1800)/10, -40)), 0)+T19 + S19 + (P19-100)*0.5+AI19 +W19</f>
        <v/>
      </c>
      <c r="AD19" s="32" t="n"/>
      <c r="AE19" s="450" t="n">
        <v>1</v>
      </c>
      <c r="AI19" s="450" t="n">
        <v>10</v>
      </c>
      <c r="AJ19" s="450" t="n">
        <v>1</v>
      </c>
      <c r="AK19" s="45" t="n"/>
      <c r="AL19" s="450" t="inlineStr">
        <is>
          <t>mocha</t>
        </is>
      </c>
      <c r="AM19" s="450" t="n">
        <v>340</v>
      </c>
      <c r="AN19" s="450" t="n">
        <v>12</v>
      </c>
      <c r="AO19" s="450" t="inlineStr">
        <is>
          <t>cheese + almonds</t>
        </is>
      </c>
      <c r="AP19" s="450" t="n">
        <v>210</v>
      </c>
      <c r="AQ19" s="450" t="n">
        <v>15</v>
      </c>
      <c r="AR19" s="25" t="inlineStr">
        <is>
          <t>2 bao</t>
        </is>
      </c>
      <c r="AS19" s="450" t="n">
        <v>200</v>
      </c>
      <c r="AT19" s="450" t="n">
        <v>8</v>
      </c>
      <c r="AU19" s="450" t="inlineStr">
        <is>
          <t>noodles, shrimp x 2 + shrimp pcoket + greens</t>
        </is>
      </c>
      <c r="AV19" s="450">
        <f>200+200+50</f>
        <v/>
      </c>
      <c r="AW19" s="450" t="n">
        <v>25</v>
      </c>
      <c r="AX19" s="450" t="inlineStr">
        <is>
          <t>boba tea</t>
        </is>
      </c>
      <c r="AY19" s="450" t="n">
        <v>200</v>
      </c>
      <c r="AZ19" s="450" t="n">
        <v>6</v>
      </c>
      <c r="BA19" s="450" t="inlineStr">
        <is>
          <t>chicken + almonds + milk</t>
        </is>
      </c>
      <c r="BB19" s="450">
        <f>300+150</f>
        <v/>
      </c>
      <c r="BC19" s="450">
        <f>46+10</f>
        <v/>
      </c>
      <c r="BG19" s="120" t="n"/>
    </row>
    <row r="20" ht="17.1" customHeight="1" s="37">
      <c r="A20" s="462">
        <f>A13+0.1</f>
        <v/>
      </c>
      <c r="B20" s="550">
        <f>B19+1</f>
        <v/>
      </c>
      <c r="C20" s="45" t="inlineStr">
        <is>
          <t>S</t>
        </is>
      </c>
      <c r="D20" s="30">
        <f>SUM(T20,AA20)</f>
        <v/>
      </c>
      <c r="E20" s="450" t="n">
        <v>0</v>
      </c>
      <c r="F20" s="450" t="n">
        <v>0</v>
      </c>
      <c r="G20" s="450" t="n">
        <v>1</v>
      </c>
      <c r="H20" s="450" t="n">
        <v>0</v>
      </c>
      <c r="I20" s="450" t="n">
        <v>4</v>
      </c>
      <c r="J20" s="450" t="n">
        <v>2</v>
      </c>
      <c r="K20" s="450" t="n">
        <v>1</v>
      </c>
      <c r="L20" s="216" t="n">
        <v>3</v>
      </c>
      <c r="M20" s="450" t="n">
        <v>2</v>
      </c>
      <c r="N20" s="450" t="n">
        <v>1</v>
      </c>
      <c r="O20" s="450" t="n">
        <v>2</v>
      </c>
      <c r="P20" s="59" t="n">
        <v>2</v>
      </c>
      <c r="R20" s="450" t="n">
        <v>0</v>
      </c>
      <c r="T20" s="450" t="n">
        <v>20</v>
      </c>
      <c r="U20" s="31">
        <f>SUM(AM20,AP20,AS20,AV20,AY20,BE20,BB20)</f>
        <v/>
      </c>
      <c r="W20" s="30" t="n">
        <v>0</v>
      </c>
      <c r="X20" s="30">
        <f>AA20-W20</f>
        <v/>
      </c>
      <c r="Y20" s="32">
        <f>'0₦'!AE19*2  + 10</f>
        <v/>
      </c>
      <c r="Z20" s="279" t="n"/>
      <c r="AA20" s="30">
        <f>SUM(E20:O20)/21*75 + IF(AM20, -(MAX((U20-1800)/10, -40)), 0)+T20 + S20 + (P20-100)*0.5+AI20 +W20</f>
        <v/>
      </c>
      <c r="AD20" s="32" t="n"/>
      <c r="AI20" s="450" t="n">
        <v>10</v>
      </c>
      <c r="AJ20" s="450" t="n">
        <v>1</v>
      </c>
      <c r="AK20" s="45" t="n"/>
      <c r="AL20" s="450" t="inlineStr">
        <is>
          <t>mocha</t>
        </is>
      </c>
      <c r="AM20" s="450" t="n">
        <v>340</v>
      </c>
      <c r="AN20" s="450" t="n">
        <v>12</v>
      </c>
      <c r="AO20" s="450" t="inlineStr">
        <is>
          <t xml:space="preserve">2 bao, spinach + spinach + chicken + yoghurt + flax + almonds + pistachios </t>
        </is>
      </c>
      <c r="AP20" s="450">
        <f>300+15+35+50+50</f>
        <v/>
      </c>
      <c r="AQ20" s="450">
        <f>5+5+5+10</f>
        <v/>
      </c>
      <c r="AR20" s="25" t="inlineStr">
        <is>
          <t>tea</t>
        </is>
      </c>
      <c r="AS20" s="450" t="n">
        <v>200</v>
      </c>
      <c r="AT20" s="450" t="n">
        <v>6</v>
      </c>
      <c r="AU20" s="450" t="inlineStr">
        <is>
          <t xml:space="preserve">3 slice pizza carrots baba ganoush </t>
        </is>
      </c>
      <c r="AV20" s="450">
        <f>600+100</f>
        <v/>
      </c>
      <c r="AW20" s="450" t="n">
        <v>30</v>
      </c>
      <c r="AX20" s="450" t="inlineStr">
        <is>
          <t>tea</t>
        </is>
      </c>
      <c r="AY20" s="450" t="n">
        <v>100</v>
      </c>
      <c r="AZ20" s="450" t="n">
        <v>3</v>
      </c>
      <c r="BG20" s="120" t="n"/>
    </row>
    <row r="21" ht="17.1" customHeight="1" s="37">
      <c r="A21" s="551" t="n"/>
      <c r="B21" s="550">
        <f>B20+1</f>
        <v/>
      </c>
      <c r="C21" s="45" t="inlineStr">
        <is>
          <t>M</t>
        </is>
      </c>
      <c r="D21" s="30">
        <f>SUM(T21,AA21)</f>
        <v/>
      </c>
      <c r="E21" s="450" t="n">
        <v>0</v>
      </c>
      <c r="F21" s="450" t="n">
        <v>0</v>
      </c>
      <c r="G21" s="450" t="n">
        <v>1</v>
      </c>
      <c r="H21" s="450" t="n">
        <v>1</v>
      </c>
      <c r="I21" s="450" t="n">
        <v>1</v>
      </c>
      <c r="J21" s="450" t="n">
        <v>2</v>
      </c>
      <c r="K21" s="450" t="n">
        <v>1</v>
      </c>
      <c r="L21" s="216" t="n">
        <v>1</v>
      </c>
      <c r="M21" s="450" t="n">
        <v>0</v>
      </c>
      <c r="N21" s="450" t="n">
        <v>1</v>
      </c>
      <c r="O21" s="450" t="n">
        <v>2</v>
      </c>
      <c r="P21" s="59">
        <f>SUM(AN21,AQ21,AT21,AZ21,BC21,BF21,AW21)</f>
        <v/>
      </c>
      <c r="R21" s="450" t="n">
        <v>10</v>
      </c>
      <c r="T21" s="450" t="n">
        <v>20</v>
      </c>
      <c r="U21" s="31">
        <f>SUM(AM21,AP21,AS21,AV21,AY21,BE21,BB21)</f>
        <v/>
      </c>
      <c r="W21" s="30" t="n">
        <v>0</v>
      </c>
      <c r="X21" s="30">
        <f>AA21-W21</f>
        <v/>
      </c>
      <c r="Y21" s="32">
        <f>'0₦'!AE20*2  + 10 + 35 + 15</f>
        <v/>
      </c>
      <c r="Z21" s="279" t="n"/>
      <c r="AA21" s="30">
        <f>SUM(E21:O21)/21*75 + IF(AM21, -(MAX((U21-1800)/10, -40)), 0)+T21 + S21 + (P21-100)*0.5+AI21 +W21</f>
        <v/>
      </c>
      <c r="AD21" s="32" t="n"/>
      <c r="AI21" s="450" t="n">
        <v>10</v>
      </c>
      <c r="AJ21" s="450" t="n">
        <v>1</v>
      </c>
      <c r="AK21" s="45" t="n"/>
      <c r="AL21" s="450" t="inlineStr">
        <is>
          <t>mocha</t>
        </is>
      </c>
      <c r="AM21" s="450" t="n">
        <v>340</v>
      </c>
      <c r="AN21" s="450" t="n">
        <v>12</v>
      </c>
      <c r="AO21" s="450" t="inlineStr">
        <is>
          <t>1 slice pizza</t>
        </is>
      </c>
      <c r="AP21" s="450" t="n">
        <v>200</v>
      </c>
      <c r="AQ21" s="450" t="n">
        <v>10</v>
      </c>
      <c r="AR21" s="25" t="inlineStr">
        <is>
          <t>larb gai</t>
        </is>
      </c>
      <c r="AS21" s="450" t="n">
        <v>200</v>
      </c>
      <c r="AT21" s="450" t="n">
        <v>25</v>
      </c>
      <c r="AU21" s="450" t="inlineStr">
        <is>
          <t>asha tea</t>
        </is>
      </c>
      <c r="AV21" s="450" t="n">
        <v>300</v>
      </c>
      <c r="AW21" s="450" t="n">
        <v>15</v>
      </c>
      <c r="AX21" s="450" t="inlineStr">
        <is>
          <t>chicken + cheese + potatoes + wine + cake</t>
        </is>
      </c>
      <c r="AY21" s="450" t="n">
        <v>800</v>
      </c>
      <c r="AZ21" s="450" t="n">
        <v>20</v>
      </c>
      <c r="BG21" s="120" t="n"/>
    </row>
    <row r="22" ht="17.1" customHeight="1" s="37">
      <c r="A22" s="551" t="n"/>
      <c r="B22" s="550">
        <f>B21+1</f>
        <v/>
      </c>
      <c r="C22" s="45" t="inlineStr">
        <is>
          <t>T</t>
        </is>
      </c>
      <c r="D22" s="30">
        <f>SUM(T22,AA22)</f>
        <v/>
      </c>
      <c r="E22" s="450" t="n">
        <v>0</v>
      </c>
      <c r="F22" s="450" t="n">
        <v>5</v>
      </c>
      <c r="G22" s="450" t="n">
        <v>0</v>
      </c>
      <c r="H22" s="450" t="n">
        <v>1</v>
      </c>
      <c r="I22" s="450" t="n">
        <v>4</v>
      </c>
      <c r="J22" s="450" t="n">
        <v>4</v>
      </c>
      <c r="K22" s="450" t="n">
        <v>3</v>
      </c>
      <c r="L22" s="216" t="n">
        <v>0</v>
      </c>
      <c r="M22" s="450" t="n">
        <v>0</v>
      </c>
      <c r="N22" s="450" t="n">
        <v>1</v>
      </c>
      <c r="O22" s="450" t="n">
        <v>2</v>
      </c>
      <c r="P22" s="59">
        <f>SUM(AN22,AQ22,AT22,AZ22,BC22,BF22,AW22)</f>
        <v/>
      </c>
      <c r="R22" s="450" t="n">
        <v>0</v>
      </c>
      <c r="T22" s="450" t="n">
        <v>20</v>
      </c>
      <c r="U22" s="31">
        <f>SUM(AM22,AP22,AS22,AV22,AY22,BE22,BB22)</f>
        <v/>
      </c>
      <c r="W22" s="30" t="n">
        <v>-70</v>
      </c>
      <c r="X22" s="30">
        <f>AA22-W22</f>
        <v/>
      </c>
      <c r="Y22" s="32">
        <f>'0₦'!AE21*2  + 5 + 10</f>
        <v/>
      </c>
      <c r="Z22" s="279" t="n"/>
      <c r="AA22" s="30">
        <f>SUM(E22:O22)/21*75 + IF(AM22, -(MAX((U22-1800)/10, -40)), 0)+T22 + S22 + (P22-100)*0.5+AI22 +W22</f>
        <v/>
      </c>
      <c r="AD22" s="32" t="n"/>
      <c r="AI22" s="450" t="n">
        <v>10</v>
      </c>
      <c r="AJ22" s="450" t="n">
        <v>1</v>
      </c>
      <c r="AK22" s="45" t="n"/>
      <c r="AL22" s="450" t="inlineStr">
        <is>
          <t>mocha</t>
        </is>
      </c>
      <c r="AM22" s="450" t="n">
        <v>340</v>
      </c>
      <c r="AN22" s="450" t="n">
        <v>12</v>
      </c>
      <c r="AO22" s="450" t="inlineStr">
        <is>
          <t xml:space="preserve">flax + berries </t>
        </is>
      </c>
      <c r="AP22" s="450" t="n">
        <v>60</v>
      </c>
      <c r="AQ22" s="450" t="n">
        <v>2</v>
      </c>
      <c r="AR22" s="25" t="inlineStr">
        <is>
          <t xml:space="preserve">salad + flax + carrots + baba ganoush </t>
        </is>
      </c>
      <c r="AS22" s="450">
        <f>70+30+75+100</f>
        <v/>
      </c>
      <c r="AT22" s="450">
        <f>5</f>
        <v/>
      </c>
      <c r="AU22" s="450" t="inlineStr">
        <is>
          <t>tea</t>
        </is>
      </c>
      <c r="AV22" s="450" t="n">
        <v>200</v>
      </c>
      <c r="AW22" s="450" t="n">
        <v>5</v>
      </c>
      <c r="AX22" s="450" t="inlineStr">
        <is>
          <t>spinach</t>
        </is>
      </c>
      <c r="AY22" s="450" t="n">
        <v>35</v>
      </c>
      <c r="AZ22" s="450" t="n">
        <v>5</v>
      </c>
      <c r="BA22" s="450" t="inlineStr">
        <is>
          <t>chicken + yoghurt + flax</t>
        </is>
      </c>
      <c r="BB22" s="450">
        <f>330</f>
        <v/>
      </c>
      <c r="BC22" s="450">
        <f>15+30+2</f>
        <v/>
      </c>
      <c r="BD22" s="450" t="inlineStr">
        <is>
          <t>mocha + jerkey</t>
        </is>
      </c>
      <c r="BE22" s="450">
        <f>290+220</f>
        <v/>
      </c>
      <c r="BF22" s="450">
        <f>6+26</f>
        <v/>
      </c>
      <c r="BG22" s="120" t="n"/>
    </row>
    <row r="23" ht="17.1" customHeight="1" s="37">
      <c r="A23" s="551" t="n"/>
      <c r="B23" s="550">
        <f>B22+1</f>
        <v/>
      </c>
      <c r="C23" s="45" t="inlineStr">
        <is>
          <t>W</t>
        </is>
      </c>
      <c r="D23" s="30">
        <f>SUM(T23,AA23)</f>
        <v/>
      </c>
      <c r="E23" s="450" t="n">
        <v>1</v>
      </c>
      <c r="F23" s="450" t="n">
        <v>0</v>
      </c>
      <c r="G23" s="450" t="n">
        <v>2</v>
      </c>
      <c r="H23" s="58" t="n">
        <v>0</v>
      </c>
      <c r="I23" s="450" t="n">
        <v>1</v>
      </c>
      <c r="J23" s="450" t="n">
        <v>3</v>
      </c>
      <c r="K23" s="450" t="n">
        <v>0</v>
      </c>
      <c r="L23" s="216" t="n">
        <v>2</v>
      </c>
      <c r="M23" s="450" t="n">
        <v>0</v>
      </c>
      <c r="N23" s="450" t="n">
        <v>1</v>
      </c>
      <c r="O23" s="450" t="n">
        <v>2</v>
      </c>
      <c r="P23" s="59">
        <f>SUM(AN23,AQ23,AT23,AZ23,BC23,BF23,AW23)</f>
        <v/>
      </c>
      <c r="R23" s="450" t="n">
        <v>0</v>
      </c>
      <c r="T23" s="450" t="n">
        <v>20</v>
      </c>
      <c r="U23" s="31">
        <f>SUM(AM23,AP23,AS23,AV23,AY23,BE23,BB23)</f>
        <v/>
      </c>
      <c r="W23" s="30" t="n">
        <v>70</v>
      </c>
      <c r="X23" s="30">
        <f>AA23-W23</f>
        <v/>
      </c>
      <c r="Y23" s="32">
        <f>'0₦'!AE22*2  + 0</f>
        <v/>
      </c>
      <c r="Z23" s="279" t="n"/>
      <c r="AA23" s="30">
        <f>SUM(E23:O23)/21*75 + IF(AM23, -(MAX((U23-1800)/10, -40)), 0)+T23 + S23 + (P23-100)*0.5+AI23 +W23</f>
        <v/>
      </c>
      <c r="AD23" s="32" t="n"/>
      <c r="AI23" s="450" t="n">
        <v>10</v>
      </c>
      <c r="AJ23" s="450" t="n">
        <v>1</v>
      </c>
      <c r="AK23" s="45" t="n"/>
      <c r="AL23" s="450" t="inlineStr">
        <is>
          <t>mocha</t>
        </is>
      </c>
      <c r="AM23" s="450" t="n">
        <v>290</v>
      </c>
      <c r="AN23" s="450" t="n">
        <v>9</v>
      </c>
      <c r="AO23" s="450" t="inlineStr">
        <is>
          <t xml:space="preserve">spinach, potates, orange juice, bacon, sausage </t>
        </is>
      </c>
      <c r="AP23" s="450">
        <f>140+100+100+10+120+100</f>
        <v/>
      </c>
      <c r="AQ23" s="450">
        <f>5*2+3*4+2+1</f>
        <v/>
      </c>
      <c r="AR23" s="25" t="inlineStr">
        <is>
          <t>2 tacos + tots</t>
        </is>
      </c>
      <c r="AS23" s="450" t="n">
        <v>500</v>
      </c>
      <c r="AT23" s="450" t="n">
        <v>25</v>
      </c>
      <c r="AU23" s="450" t="inlineStr">
        <is>
          <t>pizza + beer</t>
        </is>
      </c>
      <c r="AV23" s="450" t="n">
        <v>800</v>
      </c>
      <c r="AW23" s="450" t="n">
        <v>30</v>
      </c>
      <c r="BG23" s="120" t="n"/>
    </row>
    <row r="24" ht="17.1" customHeight="1" s="37">
      <c r="A24" s="551" t="n"/>
      <c r="B24" s="550">
        <f>B23+1</f>
        <v/>
      </c>
      <c r="C24" s="272" t="inlineStr">
        <is>
          <t>Th</t>
        </is>
      </c>
      <c r="D24" s="30">
        <f>SUM(T24,AA24)</f>
        <v/>
      </c>
      <c r="E24" s="450" t="n">
        <v>2</v>
      </c>
      <c r="F24" s="450" t="n">
        <v>0</v>
      </c>
      <c r="G24" s="450" t="n">
        <v>0</v>
      </c>
      <c r="H24" s="450" t="n">
        <v>4</v>
      </c>
      <c r="I24" s="450" t="n">
        <v>4</v>
      </c>
      <c r="J24" s="450" t="n">
        <v>4</v>
      </c>
      <c r="K24" s="450" t="n">
        <v>0</v>
      </c>
      <c r="L24" s="216" t="n">
        <v>0</v>
      </c>
      <c r="M24" s="450" t="n">
        <v>1</v>
      </c>
      <c r="N24" s="450" t="n">
        <v>0</v>
      </c>
      <c r="O24" s="450" t="n">
        <v>2</v>
      </c>
      <c r="P24" s="59">
        <f>SUM(AN24,AQ24,AT24,AZ24,BC24,BF24,AW24)</f>
        <v/>
      </c>
      <c r="R24" s="450" t="n">
        <v>0</v>
      </c>
      <c r="T24" s="450" t="n">
        <v>20</v>
      </c>
      <c r="U24" s="31">
        <f>SUM(AM24,AP24,AS24,AV24,AY24,BE24,BB24)</f>
        <v/>
      </c>
      <c r="V24" s="483">
        <f>AVERAGE(U24:U30)</f>
        <v/>
      </c>
      <c r="W24" s="35" t="n">
        <v>35</v>
      </c>
      <c r="X24" s="30">
        <f>AA24-W24</f>
        <v/>
      </c>
      <c r="Y24" s="32">
        <f>'0₦'!AE23*2  + 0</f>
        <v/>
      </c>
      <c r="Z24" s="279" t="n"/>
      <c r="AA24" s="30">
        <f>SUM(E24:O24)/21*75 + IF(AM24, -(MAX((U24-1800)/10, -40)), 0)+T24 + S24 + (P24-100)*0.5+AI24 +W24</f>
        <v/>
      </c>
      <c r="AB24" s="477">
        <f>AVERAGE(AA24:AA30)</f>
        <v/>
      </c>
      <c r="AC24" s="498">
        <f>AVERAGE(Y24:Y30)</f>
        <v/>
      </c>
      <c r="AD24" s="36" t="n"/>
      <c r="AE24" s="450" t="n">
        <v>1</v>
      </c>
      <c r="AF24" s="499">
        <f>SUM(AE24:AE30)</f>
        <v/>
      </c>
      <c r="AG24" s="34" t="n"/>
      <c r="AH24" s="500" t="n"/>
      <c r="AI24" s="450" t="n">
        <v>10</v>
      </c>
      <c r="AJ24" s="450" t="n">
        <v>1</v>
      </c>
      <c r="AK24" s="45" t="n"/>
      <c r="AL24" s="450" t="inlineStr">
        <is>
          <t>mocha</t>
        </is>
      </c>
      <c r="AM24" s="450" t="n">
        <v>390</v>
      </c>
      <c r="AN24" s="450" t="n">
        <v>12</v>
      </c>
      <c r="AO24" s="450" t="inlineStr">
        <is>
          <t>mocha</t>
        </is>
      </c>
      <c r="AP24" s="450" t="n">
        <v>290</v>
      </c>
      <c r="AQ24" s="450" t="n">
        <v>9</v>
      </c>
      <c r="AR24" s="25" t="inlineStr">
        <is>
          <t>cheese things</t>
        </is>
      </c>
      <c r="AS24" s="450" t="n">
        <v>200</v>
      </c>
      <c r="AT24" s="450" t="n">
        <v>18</v>
      </c>
      <c r="AU24" s="450" t="inlineStr">
        <is>
          <t>mocha</t>
        </is>
      </c>
      <c r="AV24" s="450" t="n">
        <v>290</v>
      </c>
      <c r="AW24" s="450" t="n">
        <v>9</v>
      </c>
      <c r="AX24" s="450" t="inlineStr">
        <is>
          <t>salad</t>
        </is>
      </c>
      <c r="AY24" s="450" t="n">
        <v>500</v>
      </c>
      <c r="AZ24" s="450" t="n">
        <v>40</v>
      </c>
      <c r="BA24" s="450" t="inlineStr">
        <is>
          <t>vietnamese bef</t>
        </is>
      </c>
      <c r="BB24" s="450" t="n">
        <v>300</v>
      </c>
      <c r="BC24" s="450" t="n">
        <v>30</v>
      </c>
      <c r="BG24" s="121" t="n"/>
      <c r="BH24" s="445" t="n"/>
      <c r="BI24" s="473" t="n"/>
      <c r="BJ24" s="445" t="n"/>
      <c r="BK24" s="472" t="n"/>
    </row>
    <row r="25" ht="17.1" customHeight="1" s="37">
      <c r="A25" s="551" t="n"/>
      <c r="B25" s="550">
        <f>B24+1</f>
        <v/>
      </c>
      <c r="C25" s="45" t="inlineStr">
        <is>
          <t>F</t>
        </is>
      </c>
      <c r="D25" s="30">
        <f>SUM(T25,AA25)</f>
        <v/>
      </c>
      <c r="E25" s="450" t="n">
        <v>1</v>
      </c>
      <c r="F25" s="450" t="n">
        <v>2</v>
      </c>
      <c r="G25" s="450" t="n">
        <v>0</v>
      </c>
      <c r="H25" s="450" t="n">
        <v>2</v>
      </c>
      <c r="I25" s="450" t="n">
        <v>2</v>
      </c>
      <c r="J25" s="450" t="n">
        <v>2</v>
      </c>
      <c r="K25" s="450" t="n">
        <v>0</v>
      </c>
      <c r="L25" s="216" t="n">
        <v>0</v>
      </c>
      <c r="M25" s="450" t="n">
        <v>0</v>
      </c>
      <c r="N25" s="450" t="n">
        <v>1</v>
      </c>
      <c r="O25" s="450" t="n">
        <v>2</v>
      </c>
      <c r="P25" s="59">
        <f>SUM(AN25,AQ25,AT25,AZ25,BC25,BF25,AW25)</f>
        <v/>
      </c>
      <c r="R25" s="450" t="n">
        <v>0</v>
      </c>
      <c r="T25" s="450" t="n">
        <v>20</v>
      </c>
      <c r="U25" s="31">
        <f>SUM(AM25,AP25,AS25,AV25,AY25,BE25,BB25)</f>
        <v/>
      </c>
      <c r="W25" s="30" t="n">
        <v>-70</v>
      </c>
      <c r="X25" s="30">
        <f>AA25-W25</f>
        <v/>
      </c>
      <c r="Y25" s="32">
        <f>'0₦'!AE24*2  + 0</f>
        <v/>
      </c>
      <c r="Z25" s="279" t="n"/>
      <c r="AA25" s="30">
        <f>SUM(E25:O25)/21*75 + IF(AM25, -(MAX((U25-1800)/10, -40)), 0)+T25 + S25 + (P25-100)*0.5+AI25 +W25</f>
        <v/>
      </c>
      <c r="AD25" s="32" t="n"/>
      <c r="AI25" s="450" t="n">
        <v>10</v>
      </c>
      <c r="AJ25" s="450" t="n">
        <v>1</v>
      </c>
      <c r="AK25" s="45" t="n"/>
      <c r="AL25" s="450" t="inlineStr">
        <is>
          <t>mocha</t>
        </is>
      </c>
      <c r="AM25" s="450" t="n">
        <v>390</v>
      </c>
      <c r="AN25" s="450" t="n">
        <v>12</v>
      </c>
      <c r="AO25" s="472" t="inlineStr">
        <is>
          <t xml:space="preserve">berries x 2 + fruit smoothie + potatoes + beans </t>
        </is>
      </c>
      <c r="AP25" s="450">
        <f>60+100+50+30</f>
        <v/>
      </c>
      <c r="AQ25" s="450" t="n">
        <v>8</v>
      </c>
      <c r="AR25" s="25" t="inlineStr">
        <is>
          <t xml:space="preserve">kebab + salad + tomateos + hummus </t>
        </is>
      </c>
      <c r="AS25" s="450">
        <f>300+100+30+80</f>
        <v/>
      </c>
      <c r="AT25" s="450" t="n">
        <v>35</v>
      </c>
      <c r="AU25" s="450" t="inlineStr">
        <is>
          <t>mocha</t>
        </is>
      </c>
      <c r="AV25" s="450" t="n">
        <v>290</v>
      </c>
      <c r="AW25" s="450" t="n">
        <v>9</v>
      </c>
      <c r="AX25" s="450" t="inlineStr">
        <is>
          <t>burgur + cheese</t>
        </is>
      </c>
      <c r="AY25" s="450" t="n">
        <v>700</v>
      </c>
      <c r="AZ25" s="450" t="n">
        <v>30</v>
      </c>
      <c r="BG25" s="120" t="n"/>
      <c r="BM25" s="445">
        <f>SUM(BN25:BO35)</f>
        <v/>
      </c>
      <c r="BN25" s="445">
        <f>COUNTIF('0₦'!L25:L31,"&lt;&gt;")*23</f>
        <v/>
      </c>
      <c r="BO25" s="445" t="n">
        <v>0</v>
      </c>
      <c r="BP25" s="472" t="n"/>
    </row>
    <row r="26" ht="17.1" customHeight="1" s="37">
      <c r="A26" s="552" t="n"/>
      <c r="B26" s="550">
        <f>B25+1</f>
        <v/>
      </c>
      <c r="C26" s="272" t="inlineStr">
        <is>
          <t>S</t>
        </is>
      </c>
      <c r="D26" s="30">
        <f>SUM(T26,AA26)</f>
        <v/>
      </c>
      <c r="L26" s="216" t="n">
        <v>0</v>
      </c>
      <c r="O26" s="38" t="n"/>
      <c r="P26" s="59">
        <f>SUM(AN26,AQ26,AT26,AZ26,BC26,BF26,AW26)</f>
        <v/>
      </c>
      <c r="Q26" s="38" t="n"/>
      <c r="R26" s="38" t="n"/>
      <c r="S26" s="38" t="n"/>
      <c r="T26" s="38" t="n"/>
      <c r="U26" s="31">
        <f>SUM(AM26,AP26,AS26,AV26,AY26,BE26,BB26)</f>
        <v/>
      </c>
      <c r="W26" s="35" t="n"/>
      <c r="X26" s="30">
        <f>AA26-W26</f>
        <v/>
      </c>
      <c r="Y26" s="32">
        <f>'0₦'!AE25*2  + 0</f>
        <v/>
      </c>
      <c r="Z26" s="279" t="n"/>
      <c r="AA26" s="30">
        <f>SUM(E26:O26)/21*75 + IF(AM26, -(MAX((U26-1800)/10, -40)), 0)+T26 + S26 + (P26-100)*0.5+AI26 +W26</f>
        <v/>
      </c>
      <c r="AD26" s="36" t="n"/>
      <c r="AI26" s="450" t="n"/>
      <c r="AK26" s="45" t="n"/>
      <c r="AL26" s="24" t="n"/>
      <c r="AM26" s="34" t="n"/>
      <c r="AN26" s="25" t="n"/>
      <c r="AO26" s="24" t="n"/>
      <c r="AP26" s="34" t="n"/>
      <c r="AQ26" s="25" t="n"/>
      <c r="AR26" s="25" t="n"/>
      <c r="BA26" s="114" t="n"/>
      <c r="BG26" s="121" t="n"/>
    </row>
    <row r="27" ht="17.1" customHeight="1" s="37">
      <c r="A27" s="462">
        <f>A20+0.1</f>
        <v/>
      </c>
      <c r="B27" s="550">
        <f>B26+1</f>
        <v/>
      </c>
      <c r="C27" s="45" t="inlineStr">
        <is>
          <t>S</t>
        </is>
      </c>
      <c r="D27" s="30">
        <f>SUM(T27,AA27)</f>
        <v/>
      </c>
      <c r="L27" s="216" t="n">
        <v>0</v>
      </c>
      <c r="O27" s="38" t="n"/>
      <c r="P27" s="59">
        <f>SUM(AN27,AQ27,AT27,AZ27,BC27,BF27,AW27)</f>
        <v/>
      </c>
      <c r="Q27" s="38" t="n"/>
      <c r="R27" s="38" t="n"/>
      <c r="S27" s="38" t="n"/>
      <c r="T27" s="38" t="n"/>
      <c r="U27" s="31">
        <f>SUM(AM27,AP27,AS27,AV27,AY27,BE27,BB27)</f>
        <v/>
      </c>
      <c r="W27" s="30" t="n"/>
      <c r="X27" s="30">
        <f>AA27-W27</f>
        <v/>
      </c>
      <c r="Y27" s="32">
        <f>'0₦'!AE26*2  + 0</f>
        <v/>
      </c>
      <c r="Z27" s="279" t="n"/>
      <c r="AA27" s="30">
        <f>SUM(E27:O27)/21*75 + IF(AM27, -(MAX((U27-1800)/10, -40)), 0)+T27 + S27 + (P27-100)*0.5+AI27 +W27</f>
        <v/>
      </c>
      <c r="AD27" s="32" t="n"/>
      <c r="AI27" s="450" t="n"/>
      <c r="AK27" s="45" t="n"/>
      <c r="AR27" s="25" t="n"/>
      <c r="AU27" s="25" t="n"/>
      <c r="BG27" s="120" t="n"/>
    </row>
    <row r="28" ht="17.1" customHeight="1" s="37">
      <c r="A28" s="551" t="n"/>
      <c r="B28" s="550">
        <f>B27+1</f>
        <v/>
      </c>
      <c r="C28" s="45" t="inlineStr">
        <is>
          <t>M</t>
        </is>
      </c>
      <c r="D28" s="30">
        <f>SUM(T28,AA28)</f>
        <v/>
      </c>
      <c r="L28" s="216" t="n">
        <v>0</v>
      </c>
      <c r="P28" s="59">
        <f>SUM(AN28,AQ28,AT28,AZ28,BC28,BF28,AW28)</f>
        <v/>
      </c>
      <c r="U28" s="31">
        <f>SUM(AM28,AP28,AS28,AV28,AY28,BE28,BB28)</f>
        <v/>
      </c>
      <c r="W28" s="30" t="n"/>
      <c r="X28" s="30">
        <f>AA28-W28</f>
        <v/>
      </c>
      <c r="Y28" s="32">
        <f>'0₦'!AE27*2  + 0</f>
        <v/>
      </c>
      <c r="Z28" s="279" t="n"/>
      <c r="AA28" s="30">
        <f>SUM(E28:O28)/21*75 + IF(AM28, -(MAX((U28-1800)/10, -40)), 0)+T28 + S28 + (P28-100)*0.5+AI28 +W28</f>
        <v/>
      </c>
      <c r="AD28" s="32" t="n"/>
      <c r="AI28" s="450" t="n"/>
      <c r="AK28" s="45" t="n"/>
      <c r="AR28" s="25" t="n"/>
      <c r="BG28" s="120" t="n"/>
    </row>
    <row r="29" ht="17.1" customHeight="1" s="37">
      <c r="A29" s="551" t="n"/>
      <c r="B29" s="550">
        <f>B28+1</f>
        <v/>
      </c>
      <c r="C29" s="45" t="inlineStr">
        <is>
          <t>T</t>
        </is>
      </c>
      <c r="D29" s="30">
        <f>SUM(T29,AA29)</f>
        <v/>
      </c>
      <c r="L29" s="216" t="n">
        <v>0</v>
      </c>
      <c r="P29" s="59">
        <f>SUM(AN29,AQ29,AT29,AZ29,BC29,BF29,AW29)</f>
        <v/>
      </c>
      <c r="U29" s="31">
        <f>SUM(AM29,AP29,AS29,AV29,AY29,BE29,BB29)</f>
        <v/>
      </c>
      <c r="W29" s="30" t="n"/>
      <c r="X29" s="30">
        <f>AA29-W29</f>
        <v/>
      </c>
      <c r="Y29" s="32">
        <f>'0₦'!AE28*2  + 0</f>
        <v/>
      </c>
      <c r="Z29" s="279" t="n"/>
      <c r="AA29" s="30">
        <f>SUM(E29:O29)/21*75 + IF(AM29, -(MAX((U29-1800)/10, -40)), 0)+T29 + S29 + (P29-100)*0.5+AI29 +W29</f>
        <v/>
      </c>
      <c r="AD29" s="32" t="n"/>
      <c r="AI29" s="450" t="n"/>
      <c r="AK29" s="45" t="n"/>
      <c r="AR29" s="25" t="n"/>
      <c r="BG29" s="120" t="n"/>
    </row>
    <row r="30" ht="17.1" customHeight="1" s="37">
      <c r="A30" s="551" t="n"/>
      <c r="B30" s="550">
        <f>B29+1</f>
        <v/>
      </c>
      <c r="C30" s="45" t="inlineStr">
        <is>
          <t>W</t>
        </is>
      </c>
      <c r="D30" s="30">
        <f>SUM(T30,AA30)</f>
        <v/>
      </c>
      <c r="L30" s="216" t="n">
        <v>0</v>
      </c>
      <c r="P30" s="59">
        <f>SUM(AN30,AQ30,AT30,AZ30,BC30,BF30,AW30)</f>
        <v/>
      </c>
      <c r="U30" s="31">
        <f>SUM(AM30,AP30,AS30,AV30,AY30,BE30,BB30)</f>
        <v/>
      </c>
      <c r="W30" s="30" t="n"/>
      <c r="X30" s="30">
        <f>AA30-W30</f>
        <v/>
      </c>
      <c r="Y30" s="32">
        <f>'0₦'!AE29*2  + 0</f>
        <v/>
      </c>
      <c r="Z30" s="279" t="n"/>
      <c r="AA30" s="30">
        <f>SUM(E30:O30)/21*75 + IF(AM30, -(MAX((U30-1800)/10, -40)), 0)+T30 + S30 + (P30-100)*0.5+AI30 +W30</f>
        <v/>
      </c>
      <c r="AD30" s="32" t="n"/>
      <c r="AI30" s="450" t="n"/>
      <c r="AK30" s="45" t="n"/>
      <c r="AR30" s="25" t="n"/>
      <c r="BG30" s="120" t="n"/>
    </row>
    <row r="31" ht="17.1" customHeight="1" s="37">
      <c r="A31" s="551" t="n"/>
      <c r="B31" s="550">
        <f>B30+1</f>
        <v/>
      </c>
      <c r="C31" s="45" t="inlineStr">
        <is>
          <t>Th</t>
        </is>
      </c>
      <c r="D31" s="30">
        <f>SUM(T31,AA31)</f>
        <v/>
      </c>
      <c r="L31" s="216" t="n">
        <v>0</v>
      </c>
      <c r="P31" s="59">
        <f>SUM(AN31,AQ31,AT31,AZ31,BC31,BF31,AW31)</f>
        <v/>
      </c>
      <c r="U31" s="31">
        <f>SUM(AM31,AP31,AS31,AV31,AY31,BE31,BB31)</f>
        <v/>
      </c>
      <c r="V31" s="483">
        <f>AVERAGE(U31:U37)</f>
        <v/>
      </c>
      <c r="W31" s="30" t="n"/>
      <c r="X31" s="30">
        <f>AA31-W31</f>
        <v/>
      </c>
      <c r="Y31" s="32">
        <f>'0₦'!AE30*2  + 0</f>
        <v/>
      </c>
      <c r="Z31" s="279" t="n"/>
      <c r="AA31" s="30">
        <f>SUM(E31:O31)/21*75 + IF(AM31, -(MAX((U31-1800)/10, -40)), 0)+T31 + S31 + (P31-100)*0.5+AI31 +W31</f>
        <v/>
      </c>
      <c r="AB31" s="477">
        <f>AVERAGE(AA31:AA37)</f>
        <v/>
      </c>
      <c r="AC31" s="498">
        <f>AVERAGE(Y31:Y37)</f>
        <v/>
      </c>
      <c r="AD31" s="32" t="n"/>
      <c r="AF31" s="478">
        <f>SUM(AE31:AE37)</f>
        <v/>
      </c>
      <c r="AG31" s="22" t="n"/>
      <c r="AH31" s="480" t="n"/>
      <c r="AI31" s="450" t="n"/>
      <c r="AK31" s="45" t="n"/>
      <c r="AR31" s="25" t="n"/>
      <c r="BG31" s="120" t="n"/>
      <c r="BH31" s="445" t="n"/>
      <c r="BI31" s="473" t="n"/>
      <c r="BJ31" s="445" t="n"/>
      <c r="BK31" s="472" t="n"/>
    </row>
    <row r="32" ht="17.1" customHeight="1" s="37">
      <c r="A32" s="551" t="n"/>
      <c r="B32" s="550">
        <f>B31+1</f>
        <v/>
      </c>
      <c r="C32" s="45" t="inlineStr">
        <is>
          <t>F</t>
        </is>
      </c>
      <c r="D32" s="30">
        <f>SUM(T32,AA32)</f>
        <v/>
      </c>
      <c r="L32" s="216" t="n">
        <v>0</v>
      </c>
      <c r="P32" s="59">
        <f>SUM(AN32,AQ32,AT32,AZ32,BC32,BF32,AW32)</f>
        <v/>
      </c>
      <c r="U32" s="31">
        <f>SUM(AM32,AP32,AS32,AV32,AY32,BE32,BB32)</f>
        <v/>
      </c>
      <c r="W32" s="30" t="n"/>
      <c r="X32" s="30">
        <f>AA32-W32</f>
        <v/>
      </c>
      <c r="Y32" s="32">
        <f>'0₦'!AE31*2  + 0</f>
        <v/>
      </c>
      <c r="Z32" s="279" t="n"/>
      <c r="AA32" s="30">
        <f>SUM(E32:O32)/21*75 + IF(AM32, -(MAX((U32-1800)/10, -40)), 0)+T32 + S32 + (P32-100)*0.5+AI32 +W32</f>
        <v/>
      </c>
      <c r="AD32" s="32" t="n"/>
      <c r="AI32" s="450" t="n"/>
      <c r="AK32" s="45" t="n"/>
      <c r="AR32" s="25" t="n"/>
      <c r="BG32" s="120" t="n"/>
      <c r="BM32" s="445">
        <f>SUM(BN32:BO42)</f>
        <v/>
      </c>
      <c r="BN32" s="445">
        <f>COUNTIF('0₦'!L32:L38,"&lt;&gt;")*23</f>
        <v/>
      </c>
      <c r="BO32" s="445" t="n">
        <v>0</v>
      </c>
      <c r="BP32" s="472" t="n"/>
    </row>
    <row r="33" ht="17.1" customHeight="1" s="37">
      <c r="A33" s="552" t="n"/>
      <c r="B33" s="550">
        <f>B32+1</f>
        <v/>
      </c>
      <c r="C33" s="45" t="inlineStr">
        <is>
          <t>S</t>
        </is>
      </c>
      <c r="D33" s="30">
        <f>SUM(T33,AA33)</f>
        <v/>
      </c>
      <c r="L33" s="216" t="n">
        <v>0</v>
      </c>
      <c r="P33" s="59">
        <f>SUM(AN33,AQ33,AT33,AZ33,BC33,BF33,AW33)</f>
        <v/>
      </c>
      <c r="U33" s="31">
        <f>SUM(AM33,AP33,AS33,AV33,AY33,BE33,BB33)</f>
        <v/>
      </c>
      <c r="W33" s="30" t="n"/>
      <c r="X33" s="30">
        <f>AA33-W33</f>
        <v/>
      </c>
      <c r="Y33" s="32">
        <f>'0₦'!AE32*2  + 0</f>
        <v/>
      </c>
      <c r="Z33" s="279" t="n"/>
      <c r="AA33" s="30">
        <f>SUM(E33:O33)/21*75 + IF(AM33, -(MAX((U33-1800)/10, -40)), 0)+T33 + S33 + (P33-100)*0.5+AI33 +W33</f>
        <v/>
      </c>
      <c r="AD33" s="32" t="n"/>
      <c r="AI33" s="450" t="n"/>
      <c r="AK33" s="45" t="n"/>
      <c r="AR33" s="25" t="n"/>
      <c r="BG33" s="120" t="n"/>
    </row>
    <row r="34" hidden="1" s="37">
      <c r="A34" s="462">
        <f>A6+1</f>
        <v/>
      </c>
      <c r="B34" s="550">
        <f>B33+1</f>
        <v/>
      </c>
      <c r="C34" s="45" t="inlineStr">
        <is>
          <t>S</t>
        </is>
      </c>
      <c r="D34" s="30">
        <f>SUM(T34,AA34)</f>
        <v/>
      </c>
      <c r="L34" s="216" t="n"/>
      <c r="P34" s="59" t="n"/>
      <c r="U34" s="31">
        <f>SUM(AM34,AP34,AS34,AV34,AY34,BE34,BB34)</f>
        <v/>
      </c>
      <c r="W34" s="30" t="n"/>
      <c r="X34" s="30">
        <f>AA34-W34</f>
        <v/>
      </c>
      <c r="Y34" s="32">
        <f>'0₦'!AE33*2  + 0</f>
        <v/>
      </c>
      <c r="Z34" s="279" t="n"/>
      <c r="AA34" s="30">
        <f>SUM(E34:O34)/21*75 + IF(AM34, -(MAX((U34-1800)/10, -40)), 0)+T34 + S34 + (P34-100)*0.5+AI34 +W34</f>
        <v/>
      </c>
      <c r="AD34" s="32" t="n"/>
      <c r="AI34" s="450" t="n"/>
      <c r="AK34" s="45" t="n"/>
      <c r="AR34" s="25" t="n"/>
      <c r="BG34" s="120" t="n"/>
    </row>
    <row r="35" hidden="1" s="37">
      <c r="A35" s="551" t="n"/>
      <c r="B35" s="550">
        <f>B34+1</f>
        <v/>
      </c>
      <c r="C35" s="45" t="inlineStr">
        <is>
          <t>M</t>
        </is>
      </c>
      <c r="D35" s="30">
        <f>SUM(T35,AA35)</f>
        <v/>
      </c>
      <c r="L35" s="216" t="n"/>
      <c r="P35" s="59" t="n"/>
      <c r="U35" s="31">
        <f>SUM(AM35,AP35,AS35,AV35,AY35,BE35,BB35)</f>
        <v/>
      </c>
      <c r="W35" s="30" t="n"/>
      <c r="X35" s="30">
        <f>AA35-W35</f>
        <v/>
      </c>
      <c r="Y35" s="32">
        <f>'0₦'!AE34*2  + 0</f>
        <v/>
      </c>
      <c r="Z35" s="279" t="n"/>
      <c r="AA35" s="30">
        <f>SUM(E35:O35)/21*75 + IF(AM35, -(MAX((U35-1800)/10, -40)), 0)+T35 + S35 + (P35-100)*0.5+AI35 +W35</f>
        <v/>
      </c>
      <c r="AD35" s="32" t="n"/>
      <c r="AI35" s="450" t="n"/>
      <c r="AK35" s="45" t="n"/>
      <c r="AR35" s="25" t="n"/>
      <c r="BG35" s="120" t="n"/>
    </row>
    <row r="36" hidden="1" s="37">
      <c r="A36" s="551" t="n"/>
      <c r="B36" s="550">
        <f>B35+1</f>
        <v/>
      </c>
      <c r="C36" s="45" t="inlineStr">
        <is>
          <t>T</t>
        </is>
      </c>
      <c r="D36" s="30">
        <f>SUM(T36,AA36)</f>
        <v/>
      </c>
      <c r="L36" s="216" t="n"/>
      <c r="P36" s="59" t="n"/>
      <c r="U36" s="31">
        <f>SUM(AM36,AP36,AS36,AV36,AY36,BE36,BB36)</f>
        <v/>
      </c>
      <c r="W36" s="30" t="n"/>
      <c r="X36" s="30">
        <f>AA36-W36</f>
        <v/>
      </c>
      <c r="Y36" s="32">
        <f>'0₦'!AE35*2  + 0</f>
        <v/>
      </c>
      <c r="Z36" s="279" t="n"/>
      <c r="AA36" s="30">
        <f>SUM(E36:O36)/21*75 + IF(AM36, -(MAX((U36-1800)/10, -40)), 0)+T36 + S36 + (P36-100)*0.5+AI36 +W36</f>
        <v/>
      </c>
      <c r="AD36" s="32" t="n"/>
      <c r="AI36" s="450" t="n"/>
      <c r="AK36" s="45" t="n"/>
      <c r="AR36" s="25" t="n"/>
      <c r="BG36" s="120" t="n"/>
    </row>
    <row r="37" hidden="1" s="37">
      <c r="A37" s="551" t="n"/>
      <c r="B37" s="550">
        <f>B36+1</f>
        <v/>
      </c>
      <c r="C37" s="45" t="inlineStr">
        <is>
          <t>W</t>
        </is>
      </c>
      <c r="D37" s="30">
        <f>SUM(T37,AA37)</f>
        <v/>
      </c>
      <c r="L37" s="216" t="n"/>
      <c r="P37" s="59" t="n"/>
      <c r="U37" s="31">
        <f>SUM(AM37,AP37,AS37,AV37,AY37,BE37,BB37)</f>
        <v/>
      </c>
      <c r="W37" s="30" t="n"/>
      <c r="X37" s="30">
        <f>AA37-W37</f>
        <v/>
      </c>
      <c r="Y37" s="32">
        <f>'0₦'!AE36*2  + 0</f>
        <v/>
      </c>
      <c r="Z37" s="279" t="n"/>
      <c r="AA37" s="30">
        <f>SUM(E37:O37)/21*75 + IF(AM37, -(MAX((U37-1800)/10, -40)), 0)+T37 + S37 + (P37-100)*0.5+AI37 +W37</f>
        <v/>
      </c>
      <c r="AD37" s="32" t="n"/>
      <c r="AI37" s="450" t="n"/>
      <c r="AK37" s="45" t="n"/>
      <c r="AR37" s="25" t="n"/>
      <c r="BG37" s="120" t="n"/>
    </row>
    <row r="38" hidden="1" s="37">
      <c r="A38" s="551" t="n"/>
      <c r="B38" s="550">
        <f>B37+1</f>
        <v/>
      </c>
      <c r="C38" s="45" t="inlineStr">
        <is>
          <t>Th</t>
        </is>
      </c>
      <c r="D38" s="30">
        <f>SUM(T38,AA38)</f>
        <v/>
      </c>
      <c r="L38" s="216" t="n"/>
      <c r="P38" s="59" t="n"/>
      <c r="U38" s="31">
        <f>SUM(AM38,AP38,AS38,AV38,AY38,BE38,BB38)</f>
        <v/>
      </c>
      <c r="V38" s="483">
        <f>AVERAGE(U38:U44)</f>
        <v/>
      </c>
      <c r="W38" s="30" t="n"/>
      <c r="X38" s="30">
        <f>AA38-W38</f>
        <v/>
      </c>
      <c r="Y38" s="32">
        <f>'0₦'!AE37*2  + 0</f>
        <v/>
      </c>
      <c r="Z38" s="279" t="n"/>
      <c r="AA38" s="30">
        <f>SUM(E38:O38)/21*75 + IF(AM38, -(MAX((U38-1800)/10, -40)), 0)+T38 + S38 + (P38-100)*0.5+AI38 +W38</f>
        <v/>
      </c>
      <c r="AB38" s="477">
        <f>AVERAGE(AA38:AA44)</f>
        <v/>
      </c>
      <c r="AC38" s="498">
        <f>AVERAGE(Y38:Y44)</f>
        <v/>
      </c>
      <c r="AD38" s="32" t="n"/>
      <c r="AF38" s="478">
        <f>SUM(AE38:AE44)</f>
        <v/>
      </c>
      <c r="AG38" s="22" t="n"/>
      <c r="AH38" s="480" t="n"/>
      <c r="AI38" s="450" t="n"/>
      <c r="AK38" s="45" t="n"/>
      <c r="AL38" s="24" t="n"/>
      <c r="AM38" s="34" t="n"/>
      <c r="AN38" s="25" t="n"/>
      <c r="AR38" s="25" t="n"/>
      <c r="BG38" s="120" t="n"/>
      <c r="BH38" s="445" t="n"/>
      <c r="BI38" s="473" t="n"/>
      <c r="BJ38" s="445" t="n"/>
      <c r="BK38" s="472" t="n"/>
    </row>
    <row r="39" hidden="1" s="37">
      <c r="A39" s="551" t="n"/>
      <c r="B39" s="550">
        <f>B38+1</f>
        <v/>
      </c>
      <c r="C39" s="45" t="inlineStr">
        <is>
          <t>F</t>
        </is>
      </c>
      <c r="D39" s="30">
        <f>SUM(T39,AA39)</f>
        <v/>
      </c>
      <c r="L39" s="216" t="n"/>
      <c r="P39" s="59" t="n"/>
      <c r="U39" s="31">
        <f>SUM(AM39,AP39,AS39,AV39,AY39,BE39,BB39)</f>
        <v/>
      </c>
      <c r="W39" s="30" t="n"/>
      <c r="X39" s="30">
        <f>AA39-W39</f>
        <v/>
      </c>
      <c r="Y39" s="32">
        <f>'0₦'!AE38*2  + 0</f>
        <v/>
      </c>
      <c r="Z39" s="279" t="n"/>
      <c r="AA39" s="30">
        <f>SUM(E39:O39)/21*75 + IF(AM39, -(MAX((U39-1800)/10, -40)), 0)+T39 + S39 + (P39-100)*0.5+AI39 +W39</f>
        <v/>
      </c>
      <c r="AD39" s="32" t="n"/>
      <c r="AI39" s="450" t="n"/>
      <c r="AK39" s="45" t="n"/>
      <c r="AL39" s="24" t="n"/>
      <c r="AM39" s="34" t="n"/>
      <c r="AN39" s="25" t="n"/>
      <c r="AR39" s="25" t="n"/>
      <c r="BG39" s="120" t="n"/>
      <c r="BM39" s="445">
        <f>SUM(BN39:BO45)</f>
        <v/>
      </c>
      <c r="BN39" s="445">
        <f>COUNTIF('0₦'!L39:L45,"&lt;&gt;")*23</f>
        <v/>
      </c>
      <c r="BO39" s="445" t="n">
        <v>0</v>
      </c>
      <c r="BP39" s="472" t="n"/>
    </row>
    <row r="40" hidden="1" s="37">
      <c r="A40" s="552" t="n"/>
      <c r="B40" s="550">
        <f>B39+1</f>
        <v/>
      </c>
      <c r="C40" s="45" t="inlineStr">
        <is>
          <t>S</t>
        </is>
      </c>
      <c r="D40" s="30">
        <f>SUM(T40,AA40)</f>
        <v/>
      </c>
      <c r="L40" s="216" t="n"/>
      <c r="P40" s="59" t="n"/>
      <c r="U40" s="31">
        <f>SUM(AM40,AP40,AS40,AV40,AY40,BE40,BB40)</f>
        <v/>
      </c>
      <c r="W40" s="30" t="n"/>
      <c r="X40" s="30">
        <f>AA40-W40</f>
        <v/>
      </c>
      <c r="Y40" s="32">
        <f>'0₦'!AE39*2  + 0</f>
        <v/>
      </c>
      <c r="Z40" s="279" t="n"/>
      <c r="AA40" s="30">
        <f>SUM(E40:O40)/21*75 + IF(AM40, -(MAX((U40-1800)/10, -40)), 0)+T40 + S40 + (P40-100)*0.5+AI40 +W40</f>
        <v/>
      </c>
      <c r="AD40" s="32" t="n"/>
      <c r="AI40" s="450" t="n"/>
      <c r="AK40" s="45" t="n"/>
      <c r="AL40" s="24" t="n"/>
      <c r="AM40" s="34" t="n"/>
      <c r="AN40" s="25" t="n"/>
      <c r="AR40" s="25" t="n"/>
      <c r="BG40" s="120" t="n"/>
    </row>
    <row r="41" hidden="1" s="37">
      <c r="A41" s="462">
        <f>A34+0.1</f>
        <v/>
      </c>
      <c r="B41" s="550">
        <f>B40+1</f>
        <v/>
      </c>
      <c r="C41" s="45" t="inlineStr">
        <is>
          <t>S</t>
        </is>
      </c>
      <c r="D41" s="30">
        <f>SUM(T41,AA41)</f>
        <v/>
      </c>
      <c r="L41" s="216" t="n"/>
      <c r="P41" s="59" t="n"/>
      <c r="U41" s="31">
        <f>SUM(AM41,AP41,AS41,AV41,AY41,BE41,BB41)</f>
        <v/>
      </c>
      <c r="W41" s="30" t="n"/>
      <c r="X41" s="30">
        <f>AA41-W41</f>
        <v/>
      </c>
      <c r="Y41" s="32">
        <f>'0₦'!AE40*2  + 0</f>
        <v/>
      </c>
      <c r="Z41" s="279" t="n"/>
      <c r="AA41" s="30">
        <f>SUM(E41:O41)/21*75 + IF(AM41, -(MAX((U41-1800)/10, -40)), 0)+T41 + S41 + (P41-100)*0.5+AI41 +W41</f>
        <v/>
      </c>
      <c r="AD41" s="32" t="n"/>
      <c r="AI41" s="450" t="n"/>
      <c r="AK41" s="45" t="n"/>
      <c r="AR41" s="25" t="n"/>
      <c r="BG41" s="120" t="n"/>
    </row>
    <row r="42" hidden="1" s="37">
      <c r="A42" s="551" t="n"/>
      <c r="B42" s="550">
        <f>B41+1</f>
        <v/>
      </c>
      <c r="C42" s="45" t="inlineStr">
        <is>
          <t>M</t>
        </is>
      </c>
      <c r="D42" s="30">
        <f>SUM(T42,AA42)</f>
        <v/>
      </c>
      <c r="L42" s="216" t="n"/>
      <c r="P42" s="59" t="n"/>
      <c r="U42" s="31">
        <f>SUM(AM42,AP42,AS42,AV42,AY42,BE42,BB42)</f>
        <v/>
      </c>
      <c r="W42" s="30" t="n"/>
      <c r="X42" s="30">
        <f>AA42-W42</f>
        <v/>
      </c>
      <c r="Y42" s="32">
        <f>'0₦'!AE41*2  + 0</f>
        <v/>
      </c>
      <c r="Z42" s="279" t="n"/>
      <c r="AA42" s="30">
        <f>SUM(E42:O42)/21*75 + IF(AM42, -(MAX((U42-1800)/10, -40)), 0)+T42 + S42 + (P42-100)*0.5+AI42 +W42</f>
        <v/>
      </c>
      <c r="AD42" s="32" t="n"/>
      <c r="AI42" s="450" t="n"/>
      <c r="AK42" s="45" t="n"/>
      <c r="AR42" s="25" t="n"/>
      <c r="BG42" s="120" t="n"/>
    </row>
    <row r="43" hidden="1" s="37">
      <c r="A43" s="551" t="n"/>
      <c r="B43" s="550">
        <f>B42+1</f>
        <v/>
      </c>
      <c r="C43" s="45" t="inlineStr">
        <is>
          <t>T</t>
        </is>
      </c>
      <c r="D43" s="30">
        <f>SUM(T43,AA43)</f>
        <v/>
      </c>
      <c r="L43" s="216" t="n"/>
      <c r="P43" s="59" t="n"/>
      <c r="U43" s="31">
        <f>SUM(AM43,AP43,AS43,AV43,AY43,BE43,BB43)</f>
        <v/>
      </c>
      <c r="W43" s="30" t="n"/>
      <c r="X43" s="30">
        <f>AA43-W43</f>
        <v/>
      </c>
      <c r="Y43" s="32">
        <f>'0₦'!AE42*2  + 0</f>
        <v/>
      </c>
      <c r="Z43" s="279" t="n"/>
      <c r="AA43" s="30">
        <f>SUM(E43:O43)/21*75 + IF(AM43, -(MAX((U43-1800)/10, -40)), 0)+T43 + S43 + (P43-100)*0.5+AI43 +W43</f>
        <v/>
      </c>
      <c r="AD43" s="32" t="n"/>
      <c r="AI43" s="450" t="n"/>
      <c r="AK43" s="45" t="n"/>
      <c r="AR43" s="25" t="n"/>
      <c r="BG43" s="120" t="n"/>
    </row>
    <row r="44" hidden="1" s="37">
      <c r="A44" s="551" t="n"/>
      <c r="B44" s="550">
        <f>B43+1</f>
        <v/>
      </c>
      <c r="C44" s="45" t="inlineStr">
        <is>
          <t>W</t>
        </is>
      </c>
      <c r="D44" s="30">
        <f>SUM(T44,AA44)</f>
        <v/>
      </c>
      <c r="L44" s="216" t="n"/>
      <c r="P44" s="59" t="n"/>
      <c r="U44" s="31">
        <f>SUM(AM44,AP44,AS44,AV44,AY44,BE44,BB44)</f>
        <v/>
      </c>
      <c r="W44" s="30" t="n"/>
      <c r="X44" s="30">
        <f>AA44-W44</f>
        <v/>
      </c>
      <c r="Y44" s="32">
        <f>'0₦'!AE43*2  + 0</f>
        <v/>
      </c>
      <c r="Z44" s="279" t="n"/>
      <c r="AA44" s="30">
        <f>SUM(E44:O44)/21*75 + IF(AM44, -(MAX((U44-1800)/10, -40)), 0)+T44 + S44 + (P44-100)*0.5+AI44 +W44</f>
        <v/>
      </c>
      <c r="AD44" s="32" t="n"/>
      <c r="AI44" s="450" t="n"/>
      <c r="AK44" s="45" t="n"/>
      <c r="AL44" s="24" t="n"/>
      <c r="AM44" s="34" t="n"/>
      <c r="AN44" s="25" t="n"/>
      <c r="AR44" s="25" t="n"/>
      <c r="BG44" s="120" t="n"/>
    </row>
    <row r="45" hidden="1" s="37">
      <c r="A45" s="551" t="n"/>
      <c r="B45" s="550">
        <f>B44+1</f>
        <v/>
      </c>
      <c r="C45" s="45" t="inlineStr">
        <is>
          <t>Th</t>
        </is>
      </c>
      <c r="D45" s="30">
        <f>SUM(T45,AA45)</f>
        <v/>
      </c>
      <c r="L45" s="216" t="n"/>
      <c r="O45" s="512" t="n"/>
      <c r="P45" s="59" t="n"/>
      <c r="U45" s="31">
        <f>SUM(AM45,AP45,AS45,AV45,AY45,BE45,BB45)</f>
        <v/>
      </c>
      <c r="V45" s="483">
        <f>AVERAGE(U45:U51)</f>
        <v/>
      </c>
      <c r="W45" s="30" t="n"/>
      <c r="X45" s="30">
        <f>AA45-W45</f>
        <v/>
      </c>
      <c r="Y45" s="32">
        <f>'0₦'!AE44*2  + 0</f>
        <v/>
      </c>
      <c r="Z45" s="279" t="n"/>
      <c r="AA45" s="30">
        <f>SUM(E45:O45)/21*75 + IF(AM45, -(MAX((U45-1800)/10, -40)), 0)+T45 + S45 + (P45-100)*0.5+AI45 +W45</f>
        <v/>
      </c>
      <c r="AB45" s="477">
        <f>AVERAGE(AA45:AA51)</f>
        <v/>
      </c>
      <c r="AC45" s="498">
        <f>AVERAGE(Y45:Y51)</f>
        <v/>
      </c>
      <c r="AD45" s="32" t="n"/>
      <c r="AF45" s="478">
        <f>SUM(AE45:AE51)</f>
        <v/>
      </c>
      <c r="AG45" s="22" t="n"/>
      <c r="AH45" s="480" t="n"/>
      <c r="AI45" s="450" t="n"/>
      <c r="AK45" s="45" t="n"/>
      <c r="AR45" s="25" t="n"/>
      <c r="BG45" s="120" t="n"/>
      <c r="BH45" s="445" t="n"/>
      <c r="BI45" s="473" t="n"/>
      <c r="BJ45" s="445" t="n"/>
      <c r="BK45" s="472" t="n"/>
    </row>
    <row r="46" hidden="1" s="37">
      <c r="A46" s="551" t="n"/>
      <c r="B46" s="550">
        <f>B45+1</f>
        <v/>
      </c>
      <c r="C46" s="45" t="inlineStr">
        <is>
          <t>F</t>
        </is>
      </c>
      <c r="D46" s="30">
        <f>SUM(T46,AA46)</f>
        <v/>
      </c>
      <c r="L46" s="216" t="n"/>
      <c r="P46" s="59" t="n"/>
      <c r="U46" s="31">
        <f>SUM(AM46,AP46,AS46,AV46,AY46,BE46,BB46)</f>
        <v/>
      </c>
      <c r="W46" s="30" t="n"/>
      <c r="X46" s="30">
        <f>AA46-W46</f>
        <v/>
      </c>
      <c r="Y46" s="32">
        <f>'0₦'!AE45*2  + 0</f>
        <v/>
      </c>
      <c r="Z46" s="279" t="n"/>
      <c r="AA46" s="30">
        <f>SUM(E46:O46)/21*75 + IF(AM46, -(MAX((U46-1800)/10, -40)), 0)+T46 + S46 + (P46-100)*0.5+AI46 +W46</f>
        <v/>
      </c>
      <c r="AD46" s="32" t="n"/>
      <c r="AI46" s="450" t="n"/>
      <c r="AK46" s="45" t="n"/>
      <c r="AR46" s="25" t="n"/>
      <c r="BG46" s="120" t="n"/>
      <c r="BM46" s="445">
        <f>SUM(BN46:BO52)</f>
        <v/>
      </c>
      <c r="BN46" s="445">
        <f>COUNTIF('0₦'!L46:L52,"&lt;&gt;")*23</f>
        <v/>
      </c>
      <c r="BO46" s="445" t="n">
        <v>0</v>
      </c>
      <c r="BP46" s="472" t="n"/>
    </row>
    <row r="47" hidden="1" s="37">
      <c r="A47" s="552" t="n"/>
      <c r="B47" s="550">
        <f>B46+1</f>
        <v/>
      </c>
      <c r="C47" s="45" t="inlineStr">
        <is>
          <t>S</t>
        </is>
      </c>
      <c r="D47" s="30">
        <f>SUM(T47,AA47)</f>
        <v/>
      </c>
      <c r="L47" s="216" t="n"/>
      <c r="P47" s="59" t="n"/>
      <c r="U47" s="31">
        <f>SUM(AM47,AP47,AS47,AV47,AY47,BE47,BB47)</f>
        <v/>
      </c>
      <c r="W47" s="30" t="n"/>
      <c r="X47" s="30">
        <f>AA47-W47</f>
        <v/>
      </c>
      <c r="Y47" s="32">
        <f>'0₦'!AE46*2  + 0</f>
        <v/>
      </c>
      <c r="Z47" s="279" t="n"/>
      <c r="AA47" s="30">
        <f>SUM(E47:O47)/21*75 + IF(AM47, -(MAX((U47-1800)/10, -40)), 0)+T47 + S47 + (P47-100)*0.5+AI47 +W47</f>
        <v/>
      </c>
      <c r="AD47" s="32" t="n"/>
      <c r="AI47" s="450" t="n"/>
      <c r="AK47" s="45" t="n"/>
      <c r="AR47" s="25" t="n"/>
      <c r="BG47" s="120" t="n"/>
    </row>
    <row r="48" hidden="1" s="37">
      <c r="A48" s="462">
        <f>A41+0.1</f>
        <v/>
      </c>
      <c r="B48" s="550">
        <f>B47+1</f>
        <v/>
      </c>
      <c r="C48" s="45" t="inlineStr">
        <is>
          <t>S</t>
        </is>
      </c>
      <c r="D48" s="30">
        <f>SUM(T48,AA48)</f>
        <v/>
      </c>
      <c r="L48" s="216" t="n"/>
      <c r="P48" s="59" t="n"/>
      <c r="U48" s="31">
        <f>SUM(AM48,AP48,AS48,AV48,AY48,BE48,BB48)</f>
        <v/>
      </c>
      <c r="W48" s="30" t="n"/>
      <c r="X48" s="30">
        <f>AA48-W48</f>
        <v/>
      </c>
      <c r="Y48" s="32">
        <f>'0₦'!AE47*2  + 0</f>
        <v/>
      </c>
      <c r="Z48" s="279" t="n"/>
      <c r="AA48" s="30">
        <f>SUM(E48:O48)/21*75 + IF(AM48, -(MAX((U48-1800)/10, -40)), 0)+T48 + S48 + (P48-100)*0.5+AI48 +W48</f>
        <v/>
      </c>
      <c r="AD48" s="32" t="n"/>
      <c r="AI48" s="450" t="n"/>
      <c r="AK48" s="45" t="n"/>
      <c r="AR48" s="25" t="n"/>
      <c r="BG48" s="120" t="n"/>
    </row>
    <row r="49" hidden="1" s="37">
      <c r="A49" s="551" t="n"/>
      <c r="B49" s="550">
        <f>B48+1</f>
        <v/>
      </c>
      <c r="C49" s="45" t="inlineStr">
        <is>
          <t>M</t>
        </is>
      </c>
      <c r="D49" s="30">
        <f>SUM(T49,AA49)</f>
        <v/>
      </c>
      <c r="L49" s="216" t="n"/>
      <c r="P49" s="59" t="n"/>
      <c r="U49" s="31">
        <f>SUM(AM49,AP49,AS49,AV49,AY49,BE49,BB49)</f>
        <v/>
      </c>
      <c r="W49" s="30" t="n"/>
      <c r="X49" s="30">
        <f>AA49-W49</f>
        <v/>
      </c>
      <c r="Y49" s="32">
        <f>'0₦'!AE48*2  + 0</f>
        <v/>
      </c>
      <c r="Z49" s="279" t="n"/>
      <c r="AA49" s="30">
        <f>SUM(E49:O49)/21*75 + IF(AM49, -(MAX((U49-1800)/10, -40)), 0)+T49 + S49 + (P49-100)*0.5+AI49 +W49</f>
        <v/>
      </c>
      <c r="AD49" s="32" t="n"/>
      <c r="AI49" s="450" t="n"/>
      <c r="AK49" s="45" t="n"/>
      <c r="AR49" s="25" t="n"/>
      <c r="BG49" s="120" t="n"/>
    </row>
    <row r="50" hidden="1" s="37">
      <c r="A50" s="551" t="n"/>
      <c r="B50" s="550">
        <f>B49+1</f>
        <v/>
      </c>
      <c r="C50" s="45" t="inlineStr">
        <is>
          <t>T</t>
        </is>
      </c>
      <c r="D50" s="30">
        <f>SUM(T50,AA50)</f>
        <v/>
      </c>
      <c r="L50" s="216" t="n"/>
      <c r="P50" s="59" t="n"/>
      <c r="U50" s="31">
        <f>SUM(AM50,AP50,AS50,AV50,AY50,BE50,BB50)</f>
        <v/>
      </c>
      <c r="W50" s="30" t="n"/>
      <c r="X50" s="30">
        <f>AA50-W50</f>
        <v/>
      </c>
      <c r="Y50" s="32">
        <f>'0₦'!AE49*2  + 0</f>
        <v/>
      </c>
      <c r="Z50" s="279" t="n"/>
      <c r="AA50" s="30">
        <f>SUM(E50:O50)/21*75 + IF(AM50, -(MAX((U50-1800)/10, -40)), 0)+T50 + S50 + (P50-100)*0.5+AI50 +W50</f>
        <v/>
      </c>
      <c r="AD50" s="32" t="n"/>
      <c r="AI50" s="450" t="n"/>
      <c r="AK50" s="45" t="n"/>
      <c r="AR50" s="25" t="n"/>
      <c r="BG50" s="120" t="n"/>
    </row>
    <row r="51" hidden="1" s="37">
      <c r="A51" s="551" t="n"/>
      <c r="B51" s="550">
        <f>B50+1</f>
        <v/>
      </c>
      <c r="C51" s="45" t="inlineStr">
        <is>
          <t>W</t>
        </is>
      </c>
      <c r="D51" s="30">
        <f>SUM(T51,AA51)</f>
        <v/>
      </c>
      <c r="L51" s="216" t="n"/>
      <c r="P51" s="59" t="n"/>
      <c r="U51" s="31">
        <f>SUM(AM51,AP51,AS51,AV51,AY51,BE51,BB51)</f>
        <v/>
      </c>
      <c r="W51" s="30" t="n"/>
      <c r="X51" s="30">
        <f>AA51-W51</f>
        <v/>
      </c>
      <c r="Y51" s="32">
        <f>'0₦'!AE50*2  + 0</f>
        <v/>
      </c>
      <c r="Z51" s="279" t="n"/>
      <c r="AA51" s="30">
        <f>SUM(E51:O51)/21*75 + IF(AM51, -(MAX((U51-1800)/10, -40)), 0)+T51 + S51 + (P51-100)*0.5+AI51 +W51</f>
        <v/>
      </c>
      <c r="AD51" s="32" t="n"/>
      <c r="AI51" s="450" t="n"/>
      <c r="AK51" s="45" t="n"/>
      <c r="AR51" s="25" t="n"/>
      <c r="BG51" s="120" t="n"/>
    </row>
    <row r="52" hidden="1" s="37">
      <c r="A52" s="551" t="n"/>
      <c r="B52" s="550">
        <f>B51+1</f>
        <v/>
      </c>
      <c r="C52" s="45" t="inlineStr">
        <is>
          <t>Th</t>
        </is>
      </c>
      <c r="D52" s="30">
        <f>SUM(T52,AA52)</f>
        <v/>
      </c>
      <c r="L52" s="216" t="n"/>
      <c r="P52" s="59" t="n"/>
      <c r="U52" s="31">
        <f>SUM(AM52,AP52,AS52,AV52,AY52,BE52,BB52)</f>
        <v/>
      </c>
      <c r="V52" s="483">
        <f>AVERAGE(U52:U58)</f>
        <v/>
      </c>
      <c r="W52" s="30" t="n"/>
      <c r="X52" s="30">
        <f>AA52-W52</f>
        <v/>
      </c>
      <c r="Y52" s="32">
        <f>'0₦'!AE51*2  + 0</f>
        <v/>
      </c>
      <c r="Z52" s="279" t="n"/>
      <c r="AA52" s="30">
        <f>SUM(E52:O52)/21*75 + IF(AM52, -(MAX((U52-1800)/10, -40)), 0)+T52 + S52 + (P52-100)*0.5+AI52 +W52</f>
        <v/>
      </c>
      <c r="AB52" s="477">
        <f>AVERAGE(AA52:AA58)</f>
        <v/>
      </c>
      <c r="AC52" s="498">
        <f>AVERAGE(Y52:Y58)</f>
        <v/>
      </c>
      <c r="AD52" s="32" t="n"/>
      <c r="AF52" s="478">
        <f>SUM(AE52:AE58)</f>
        <v/>
      </c>
      <c r="AG52" s="22" t="n"/>
      <c r="AH52" s="480" t="n"/>
      <c r="AI52" s="450" t="n"/>
      <c r="AK52" s="45" t="n"/>
      <c r="AR52" s="25" t="n"/>
      <c r="BG52" s="120" t="n"/>
      <c r="BH52" s="445" t="n"/>
      <c r="BI52" s="473" t="n"/>
      <c r="BJ52" s="445" t="n"/>
      <c r="BK52" s="472" t="n"/>
    </row>
    <row r="53" hidden="1" s="37">
      <c r="A53" s="551" t="n"/>
      <c r="B53" s="550">
        <f>B52+1</f>
        <v/>
      </c>
      <c r="C53" s="45" t="inlineStr">
        <is>
          <t>F</t>
        </is>
      </c>
      <c r="D53" s="30">
        <f>SUM(T53,AA53)</f>
        <v/>
      </c>
      <c r="L53" s="216" t="n"/>
      <c r="P53" s="59" t="n"/>
      <c r="U53" s="31">
        <f>SUM(AM53,AP53,AS53,AV53,AY53,BE53,BB53)</f>
        <v/>
      </c>
      <c r="W53" s="30" t="n"/>
      <c r="X53" s="30">
        <f>AA53-W53</f>
        <v/>
      </c>
      <c r="Y53" s="32">
        <f>'0₦'!AE52*2  + 0</f>
        <v/>
      </c>
      <c r="Z53" s="279" t="n"/>
      <c r="AA53" s="30">
        <f>SUM(E53:O53)/21*75 + IF(AM53, -(MAX((U53-1800)/10, -40)), 0)+T53 + S53 + (P53-100)*0.5+AI53 +W53</f>
        <v/>
      </c>
      <c r="AD53" s="32" t="n"/>
      <c r="AI53" s="450" t="n"/>
      <c r="AK53" s="45" t="n"/>
      <c r="AR53" s="25" t="n"/>
      <c r="BG53" s="120" t="n"/>
      <c r="BM53" s="445">
        <f>SUM(BN53:BO59)</f>
        <v/>
      </c>
      <c r="BN53" s="445">
        <f>COUNTIF('0₦'!L53:L59,"&lt;&gt;")*23</f>
        <v/>
      </c>
      <c r="BO53" s="445" t="n">
        <v>0</v>
      </c>
      <c r="BP53" s="472" t="n"/>
    </row>
    <row r="54" hidden="1" s="37">
      <c r="A54" s="552" t="n"/>
      <c r="B54" s="550">
        <f>B53+1</f>
        <v/>
      </c>
      <c r="C54" s="45" t="inlineStr">
        <is>
          <t>S</t>
        </is>
      </c>
      <c r="D54" s="30">
        <f>SUM(T54,AA54)</f>
        <v/>
      </c>
      <c r="L54" s="216" t="n"/>
      <c r="P54" s="59" t="n"/>
      <c r="U54" s="31">
        <f>SUM(AM54,AP54,AS54,AV54,AY54,BE54,BB54)</f>
        <v/>
      </c>
      <c r="W54" s="30" t="n"/>
      <c r="X54" s="30">
        <f>AA54-W54</f>
        <v/>
      </c>
      <c r="Y54" s="32">
        <f>'0₦'!AE53*2  + 0</f>
        <v/>
      </c>
      <c r="Z54" s="279" t="n"/>
      <c r="AA54" s="30">
        <f>SUM(E54:O54)/21*75 + IF(AM54, -(MAX((U54-1800)/10, -40)), 0)+T54 + S54 + (P54-100)*0.5+AI54 +W54</f>
        <v/>
      </c>
      <c r="AD54" s="32" t="n"/>
      <c r="AI54" s="450" t="n"/>
      <c r="AK54" s="45" t="n"/>
      <c r="AR54" s="25" t="n"/>
      <c r="BG54" s="120" t="n"/>
    </row>
    <row r="55" hidden="1" s="37">
      <c r="A55" s="462">
        <f>A48+0.1</f>
        <v/>
      </c>
      <c r="B55" s="550">
        <f>B54+1</f>
        <v/>
      </c>
      <c r="C55" s="45" t="inlineStr">
        <is>
          <t>S</t>
        </is>
      </c>
      <c r="D55" s="30">
        <f>SUM(T55,AA55)</f>
        <v/>
      </c>
      <c r="L55" s="216" t="n"/>
      <c r="P55" s="59" t="n"/>
      <c r="U55" s="31">
        <f>SUM(AM55,AP55,AS55,AV55,AY55,BE55,BB55)</f>
        <v/>
      </c>
      <c r="W55" s="30" t="n"/>
      <c r="X55" s="30">
        <f>AA55-W55</f>
        <v/>
      </c>
      <c r="Y55" s="32">
        <f>'0₦'!AE54*2  + 0</f>
        <v/>
      </c>
      <c r="Z55" s="279" t="n"/>
      <c r="AA55" s="30">
        <f>SUM(E55:O55)/21*75 + IF(AM55, -(MAX((U55-1800)/10, -40)), 0)+T55 + S55 + (P55-100)*0.5+AI55 +W55</f>
        <v/>
      </c>
      <c r="AD55" s="32" t="n"/>
      <c r="AI55" s="450" t="n"/>
      <c r="AK55" s="45" t="n"/>
      <c r="AR55" s="25" t="n"/>
      <c r="BG55" s="120" t="n"/>
    </row>
    <row r="56" hidden="1" s="37">
      <c r="A56" s="551" t="n"/>
      <c r="B56" s="550">
        <f>B55+1</f>
        <v/>
      </c>
      <c r="C56" s="45" t="inlineStr">
        <is>
          <t>M</t>
        </is>
      </c>
      <c r="D56" s="30">
        <f>SUM(T56,AA56)</f>
        <v/>
      </c>
      <c r="L56" s="216" t="n"/>
      <c r="P56" s="59" t="n"/>
      <c r="U56" s="31">
        <f>SUM(AM56,AP56,AS56,AV56,AY56,BE56,BB56)</f>
        <v/>
      </c>
      <c r="W56" s="30" t="n"/>
      <c r="X56" s="30">
        <f>AA56-W56</f>
        <v/>
      </c>
      <c r="Y56" s="32">
        <f>'0₦'!AE55*2  + 0</f>
        <v/>
      </c>
      <c r="Z56" s="279" t="n"/>
      <c r="AA56" s="30">
        <f>SUM(E56:O56)/21*75 + IF(AM56, -(MAX((U56-1800)/10, -40)), 0)+T56 + S56 + (P56-100)*0.5+AI56 +W56</f>
        <v/>
      </c>
      <c r="AD56" s="32" t="n"/>
      <c r="AI56" s="450" t="n"/>
      <c r="AK56" s="45" t="n"/>
      <c r="AR56" s="25" t="n"/>
      <c r="BG56" s="120" t="n"/>
    </row>
    <row r="57" hidden="1" s="37">
      <c r="A57" s="551" t="n"/>
      <c r="B57" s="550">
        <f>B56+1</f>
        <v/>
      </c>
      <c r="C57" s="45" t="inlineStr">
        <is>
          <t>T</t>
        </is>
      </c>
      <c r="D57" s="30">
        <f>SUM(T57,AA57)</f>
        <v/>
      </c>
      <c r="L57" s="216" t="n"/>
      <c r="P57" s="59" t="n"/>
      <c r="U57" s="31">
        <f>SUM(AM57,AP57,AS57,AV57,AY57,BE57,BB57)</f>
        <v/>
      </c>
      <c r="W57" s="30" t="n"/>
      <c r="X57" s="30">
        <f>AA57-W57</f>
        <v/>
      </c>
      <c r="Y57" s="32">
        <f>'0₦'!AE56*2  + 0</f>
        <v/>
      </c>
      <c r="Z57" s="279" t="n"/>
      <c r="AA57" s="30">
        <f>SUM(E57:O57)/21*75 + IF(AM57, -(MAX((U57-1800)/10, -40)), 0)+T57 + S57 + (P57-100)*0.5+AI57 +W57</f>
        <v/>
      </c>
      <c r="AD57" s="32" t="n"/>
      <c r="AI57" s="450" t="n"/>
      <c r="AK57" s="45" t="n"/>
      <c r="AR57" s="25" t="n"/>
      <c r="BG57" s="120" t="n"/>
    </row>
    <row r="58" hidden="1" s="37">
      <c r="A58" s="551" t="n"/>
      <c r="B58" s="550">
        <f>B57+1</f>
        <v/>
      </c>
      <c r="C58" s="45" t="inlineStr">
        <is>
          <t>W</t>
        </is>
      </c>
      <c r="D58" s="30">
        <f>SUM(T58,AA58)</f>
        <v/>
      </c>
      <c r="L58" s="216" t="n"/>
      <c r="P58" s="59" t="n"/>
      <c r="U58" s="31">
        <f>SUM(AM58,AP58,AS58,AV58,AY58,BE58,BB58)</f>
        <v/>
      </c>
      <c r="W58" s="30" t="n"/>
      <c r="X58" s="30">
        <f>AA58-W58</f>
        <v/>
      </c>
      <c r="Y58" s="32">
        <f>'0₦'!AE57*2  + 0</f>
        <v/>
      </c>
      <c r="Z58" s="279" t="n"/>
      <c r="AA58" s="30">
        <f>SUM(E58:O58)/21*75 + IF(AM58, -(MAX((U58-1800)/10, -40)), 0)+T58 + S58 + (P58-100)*0.5+AI58 +W58</f>
        <v/>
      </c>
      <c r="AD58" s="32" t="n"/>
      <c r="AI58" s="450" t="n"/>
      <c r="AK58" s="45" t="n"/>
      <c r="AR58" s="25" t="n"/>
      <c r="BG58" s="120" t="n"/>
    </row>
    <row r="59" hidden="1" s="37">
      <c r="A59" s="551" t="n"/>
      <c r="B59" s="550">
        <f>B58+1</f>
        <v/>
      </c>
      <c r="C59" s="45" t="inlineStr">
        <is>
          <t>Th</t>
        </is>
      </c>
      <c r="D59" s="30">
        <f>SUM(T59,AA59)</f>
        <v/>
      </c>
      <c r="L59" s="216" t="n"/>
      <c r="P59" s="59" t="n"/>
      <c r="U59" s="31">
        <f>SUM(AM59,AP59,AS59,AV59,AY59,BE59,BB59)</f>
        <v/>
      </c>
      <c r="V59" s="483">
        <f>AVERAGE(U59:U65)</f>
        <v/>
      </c>
      <c r="W59" s="30" t="n"/>
      <c r="X59" s="30">
        <f>AA59-W59</f>
        <v/>
      </c>
      <c r="Y59" s="32">
        <f>'0₦'!AE58*2  + 0</f>
        <v/>
      </c>
      <c r="Z59" s="279" t="n"/>
      <c r="AA59" s="30">
        <f>SUM(E59:O59)/21*75 + IF(AM59, -(MAX((U59-1800)/10, -40)), 0)+T59 + S59 + (P59-100)*0.5+AI59 +W59</f>
        <v/>
      </c>
      <c r="AB59" s="477">
        <f>AVERAGE(AA59:AA65)</f>
        <v/>
      </c>
      <c r="AC59" s="498">
        <f>AVERAGE(Y59:Y65)</f>
        <v/>
      </c>
      <c r="AD59" s="32" t="n"/>
      <c r="AF59" s="478">
        <f>SUM(AE59:AE65)</f>
        <v/>
      </c>
      <c r="AG59" s="22" t="n"/>
      <c r="AH59" s="480" t="n"/>
      <c r="AI59" s="450" t="n"/>
      <c r="AK59" s="45" t="n"/>
      <c r="AR59" s="25" t="n"/>
      <c r="BG59" s="120" t="n"/>
      <c r="BH59" s="445" t="n"/>
      <c r="BI59" s="473" t="n"/>
      <c r="BJ59" s="445" t="n"/>
      <c r="BK59" s="472" t="n"/>
    </row>
    <row r="60" hidden="1" s="37">
      <c r="A60" s="551" t="n"/>
      <c r="B60" s="550">
        <f>B59+1</f>
        <v/>
      </c>
      <c r="C60" s="45" t="inlineStr">
        <is>
          <t>F</t>
        </is>
      </c>
      <c r="D60" s="30">
        <f>SUM(T60,AA60)</f>
        <v/>
      </c>
      <c r="L60" s="216" t="n"/>
      <c r="P60" s="59" t="n"/>
      <c r="U60" s="31">
        <f>SUM(AM60,AP60,AS60,AV60,AY60,BE60,BB60)</f>
        <v/>
      </c>
      <c r="W60" s="30" t="n"/>
      <c r="X60" s="30">
        <f>AA60-W60</f>
        <v/>
      </c>
      <c r="Y60" s="32">
        <f>'0₦'!AE59*2  + 0</f>
        <v/>
      </c>
      <c r="Z60" s="279" t="n"/>
      <c r="AA60" s="30">
        <f>SUM(E60:O60)/21*75 + IF(AM60, -(MAX((U60-1800)/10, -40)), 0)+T60 + S60 + (P60-100)*0.5+AI60 +W60</f>
        <v/>
      </c>
      <c r="AD60" s="32" t="n"/>
      <c r="AI60" s="450" t="n"/>
      <c r="AK60" s="45" t="n"/>
      <c r="AR60" s="25" t="n"/>
      <c r="BG60" s="120" t="n"/>
      <c r="BM60" s="445">
        <f>SUM(BN60:BO66)</f>
        <v/>
      </c>
      <c r="BN60" s="445">
        <f>COUNTIF('0₦'!L60:L66,"&lt;&gt;")*23</f>
        <v/>
      </c>
      <c r="BO60" s="445" t="n">
        <v>0</v>
      </c>
      <c r="BP60" s="472" t="n"/>
    </row>
    <row r="61" hidden="1" s="37">
      <c r="A61" s="552" t="n"/>
      <c r="B61" s="550">
        <f>B60+1</f>
        <v/>
      </c>
      <c r="C61" s="45" t="inlineStr">
        <is>
          <t>S</t>
        </is>
      </c>
      <c r="D61" s="30">
        <f>SUM(T61,AA61)</f>
        <v/>
      </c>
      <c r="L61" s="216" t="n"/>
      <c r="P61" s="59" t="n"/>
      <c r="U61" s="31">
        <f>SUM(AM61,AP61,AS61,AV61,AY61,BE61,BB61)</f>
        <v/>
      </c>
      <c r="W61" s="30" t="n"/>
      <c r="X61" s="30">
        <f>AA61-W61</f>
        <v/>
      </c>
      <c r="Y61" s="32">
        <f>'0₦'!AE60*2  + 0</f>
        <v/>
      </c>
      <c r="Z61" s="279" t="n"/>
      <c r="AA61" s="30">
        <f>SUM(E61:O61)/21*75 + IF(AM61, -(MAX((U61-1800)/10, -40)), 0)+T61 + S61 + (P61-100)*0.5+AI61 +W61</f>
        <v/>
      </c>
      <c r="AD61" s="32" t="n"/>
      <c r="AI61" s="450" t="n"/>
      <c r="AK61" s="45" t="n"/>
      <c r="AR61" s="25" t="n"/>
      <c r="BG61" s="120" t="n"/>
    </row>
    <row r="62" hidden="1" s="37">
      <c r="A62" s="462">
        <f>A34+1</f>
        <v/>
      </c>
      <c r="B62" s="550">
        <f>B61+1</f>
        <v/>
      </c>
      <c r="C62" s="45" t="inlineStr">
        <is>
          <t>S</t>
        </is>
      </c>
      <c r="D62" s="30">
        <f>SUM(T62,AA62)</f>
        <v/>
      </c>
      <c r="L62" s="216" t="n"/>
      <c r="P62" s="59" t="n"/>
      <c r="U62" s="31">
        <f>SUM(AM62,AP62,AS62,AV62,AY62,BE62,BB62)</f>
        <v/>
      </c>
      <c r="W62" s="30" t="n"/>
      <c r="X62" s="30">
        <f>AA62-W62</f>
        <v/>
      </c>
      <c r="Y62" s="32">
        <f>'0₦'!AE61*2  + 0</f>
        <v/>
      </c>
      <c r="Z62" s="279" t="n"/>
      <c r="AA62" s="30">
        <f>SUM(E62:O62)/21*75 + IF(AM62, -(MAX((U62-1800)/10, -40)), 0)+T62 + S62 + (P62-100)*0.5+AI62 +W62</f>
        <v/>
      </c>
      <c r="AD62" s="32" t="n"/>
      <c r="AI62" s="450" t="n"/>
      <c r="AK62" s="45" t="n"/>
      <c r="AR62" s="25" t="n"/>
      <c r="BG62" s="120" t="n"/>
    </row>
    <row r="63" hidden="1" s="37">
      <c r="A63" s="551" t="n"/>
      <c r="B63" s="550">
        <f>B62+1</f>
        <v/>
      </c>
      <c r="C63" s="45" t="inlineStr">
        <is>
          <t>M</t>
        </is>
      </c>
      <c r="D63" s="30">
        <f>SUM(T63,AA63)</f>
        <v/>
      </c>
      <c r="L63" s="216" t="n"/>
      <c r="P63" s="59" t="n"/>
      <c r="U63" s="31">
        <f>SUM(AM63,AP63,AS63,AV63,AY63,BE63,BB63)</f>
        <v/>
      </c>
      <c r="W63" s="30" t="n"/>
      <c r="X63" s="30">
        <f>AA63-W63</f>
        <v/>
      </c>
      <c r="Y63" s="32">
        <f>'0₦'!AE62*2  + 0</f>
        <v/>
      </c>
      <c r="Z63" s="279" t="n"/>
      <c r="AA63" s="30">
        <f>SUM(E63:O63)/21*75 + IF(AM63, -(MAX((U63-1800)/10, -40)), 0)+T63 + S63 + (P63-100)*0.5+AI63 +W63</f>
        <v/>
      </c>
      <c r="AD63" s="32" t="n"/>
      <c r="AI63" s="450" t="n"/>
      <c r="AK63" s="45" t="n"/>
      <c r="AR63" s="25" t="n"/>
      <c r="BG63" s="120" t="n"/>
    </row>
    <row r="64" hidden="1" s="37">
      <c r="A64" s="551" t="n"/>
      <c r="B64" s="550">
        <f>B63+1</f>
        <v/>
      </c>
      <c r="C64" s="45" t="inlineStr">
        <is>
          <t>T</t>
        </is>
      </c>
      <c r="D64" s="30">
        <f>SUM(T64,AA64)</f>
        <v/>
      </c>
      <c r="L64" s="216" t="n"/>
      <c r="P64" s="59" t="n"/>
      <c r="U64" s="31">
        <f>SUM(AM64,AP64,AS64,AV64,AY64,BE64,BB64)</f>
        <v/>
      </c>
      <c r="W64" s="30" t="n"/>
      <c r="X64" s="30">
        <f>AA64-W64</f>
        <v/>
      </c>
      <c r="Y64" s="32">
        <f>'0₦'!AE63*2  + 0</f>
        <v/>
      </c>
      <c r="Z64" s="279" t="n"/>
      <c r="AA64" s="30">
        <f>SUM(E64:O64)/21*75 + IF(AM64, -(MAX((U64-1800)/10, -40)), 0)+T64 + S64 + (P64-100)*0.5+AI64 +W64</f>
        <v/>
      </c>
      <c r="AD64" s="32" t="n"/>
      <c r="AI64" s="450" t="n"/>
      <c r="AK64" s="45" t="n"/>
      <c r="AR64" s="25" t="n"/>
      <c r="BG64" s="120" t="n"/>
    </row>
    <row r="65" hidden="1" s="37">
      <c r="A65" s="551" t="n"/>
      <c r="B65" s="550">
        <f>B64+1</f>
        <v/>
      </c>
      <c r="C65" s="45" t="inlineStr">
        <is>
          <t>W</t>
        </is>
      </c>
      <c r="D65" s="30">
        <f>SUM(T65,AA65)</f>
        <v/>
      </c>
      <c r="L65" s="216" t="n"/>
      <c r="P65" s="59" t="n"/>
      <c r="U65" s="31">
        <f>SUM(AM65,AP65,AS65,AV65,AY65,BE65,BB65)</f>
        <v/>
      </c>
      <c r="W65" s="30" t="n"/>
      <c r="X65" s="30">
        <f>AA65-W65</f>
        <v/>
      </c>
      <c r="Y65" s="32">
        <f>'0₦'!AE64*2  + 0</f>
        <v/>
      </c>
      <c r="Z65" s="279" t="n"/>
      <c r="AA65" s="30">
        <f>SUM(E65:O65)/21*75 + IF(AM65, -(MAX((U65-1800)/10, -40)), 0)+T65 + S65 + (P65-100)*0.5+AI65 +W65</f>
        <v/>
      </c>
      <c r="AD65" s="32" t="n"/>
      <c r="AI65" s="450" t="n"/>
      <c r="AK65" s="45" t="n"/>
      <c r="AR65" s="25" t="n"/>
      <c r="BG65" s="120" t="n"/>
    </row>
    <row r="66" hidden="1" s="37">
      <c r="A66" s="551" t="n"/>
      <c r="B66" s="550">
        <f>B65+1</f>
        <v/>
      </c>
      <c r="C66" s="45" t="inlineStr">
        <is>
          <t>Th</t>
        </is>
      </c>
      <c r="D66" s="30">
        <f>SUM(T66,AA66)</f>
        <v/>
      </c>
      <c r="L66" s="216" t="n"/>
      <c r="P66" s="59" t="n"/>
      <c r="U66" s="31">
        <f>SUM(AM66,AP66,AS66,AV66,AY66,BE66,BB66)</f>
        <v/>
      </c>
      <c r="V66" s="483">
        <f>AVERAGE(U66:U72)</f>
        <v/>
      </c>
      <c r="W66" s="30" t="n"/>
      <c r="X66" s="30">
        <f>AA66-W66</f>
        <v/>
      </c>
      <c r="Y66" s="32">
        <f>'0₦'!AE65*2  + 0</f>
        <v/>
      </c>
      <c r="Z66" s="279" t="n"/>
      <c r="AA66" s="30">
        <f>SUM(E66:O66)/21*75 + IF(AM66, -(MAX((U66-1800)/10, -40)), 0)+T66 + S66 + (P66-100)*0.5+AI66 +W66</f>
        <v/>
      </c>
      <c r="AB66" s="477">
        <f>AVERAGE(AA66:AA72)</f>
        <v/>
      </c>
      <c r="AC66" s="498">
        <f>AVERAGE(Y66:Y72)</f>
        <v/>
      </c>
      <c r="AD66" s="32" t="n"/>
      <c r="AF66" s="478">
        <f>SUM(AE66:AE72)</f>
        <v/>
      </c>
      <c r="AG66" s="22" t="n"/>
      <c r="AH66" s="480" t="n"/>
      <c r="AI66" s="450" t="n"/>
      <c r="AK66" s="45" t="n"/>
      <c r="AR66" s="25" t="n"/>
      <c r="BG66" s="120" t="n"/>
      <c r="BH66" s="445" t="n"/>
      <c r="BI66" s="473" t="n"/>
      <c r="BJ66" s="445" t="n"/>
      <c r="BK66" s="472" t="n"/>
    </row>
    <row r="67" hidden="1" s="37">
      <c r="A67" s="551" t="n"/>
      <c r="B67" s="550">
        <f>B66+1</f>
        <v/>
      </c>
      <c r="C67" s="45" t="inlineStr">
        <is>
          <t>F</t>
        </is>
      </c>
      <c r="D67" s="30">
        <f>SUM(T67,AA67)</f>
        <v/>
      </c>
      <c r="L67" s="216" t="n"/>
      <c r="P67" s="59" t="n"/>
      <c r="U67" s="31">
        <f>SUM(AM67,AP67,AS67,AV67,AY67,BE67,BB67)</f>
        <v/>
      </c>
      <c r="W67" s="30" t="n"/>
      <c r="X67" s="30">
        <f>AA67-W67</f>
        <v/>
      </c>
      <c r="Y67" s="32">
        <f>'0₦'!AE66*2  + 0</f>
        <v/>
      </c>
      <c r="Z67" s="279" t="n"/>
      <c r="AA67" s="30">
        <f>SUM(E67:O67)/21*75 + IF(AM67, -(MAX((U67-1800)/10, -40)), 0)+T67 + S67 + (P67-100)*0.5+AI67 +W67</f>
        <v/>
      </c>
      <c r="AD67" s="32" t="n"/>
      <c r="AI67" s="450" t="n"/>
      <c r="AK67" s="45" t="n"/>
      <c r="AR67" s="25" t="n"/>
      <c r="BG67" s="120" t="n"/>
      <c r="BM67" s="445">
        <f>SUM(BN67:BO73)</f>
        <v/>
      </c>
      <c r="BN67" s="445">
        <f>COUNTIF('0₦'!L67:L73,"&lt;&gt;")*23</f>
        <v/>
      </c>
      <c r="BO67" s="445" t="n">
        <v>0</v>
      </c>
      <c r="BP67" s="472" t="n"/>
    </row>
    <row r="68" hidden="1" s="37">
      <c r="A68" s="552" t="n"/>
      <c r="B68" s="550">
        <f>B67+1</f>
        <v/>
      </c>
      <c r="C68" s="45" t="inlineStr">
        <is>
          <t>S</t>
        </is>
      </c>
      <c r="D68" s="30">
        <f>SUM(T68,AA68)</f>
        <v/>
      </c>
      <c r="L68" s="216" t="n"/>
      <c r="P68" s="59" t="n"/>
      <c r="U68" s="31">
        <f>SUM(AM68,AP68,AS68,AV68,AY68,BE68,BB68)</f>
        <v/>
      </c>
      <c r="W68" s="30" t="n"/>
      <c r="X68" s="30">
        <f>AA68-W68</f>
        <v/>
      </c>
      <c r="Y68" s="32">
        <f>'0₦'!AE67*2  + 0</f>
        <v/>
      </c>
      <c r="Z68" s="279" t="n"/>
      <c r="AA68" s="30">
        <f>SUM(E68:O68)/21*75 + IF(AM68, -(MAX((U68-1800)/10, -40)), 0)+T68 + S68 + (P68-100)*0.5+AI68 +W68</f>
        <v/>
      </c>
      <c r="AD68" s="32" t="n"/>
      <c r="AI68" s="450" t="n"/>
      <c r="AK68" s="45" t="n"/>
      <c r="AR68" s="25" t="n"/>
      <c r="BG68" s="120" t="n"/>
    </row>
    <row r="69" hidden="1" s="37">
      <c r="A69" s="462">
        <f>A62+0.1</f>
        <v/>
      </c>
      <c r="B69" s="550">
        <f>B68+1</f>
        <v/>
      </c>
      <c r="C69" s="45" t="inlineStr">
        <is>
          <t>S</t>
        </is>
      </c>
      <c r="D69" s="30">
        <f>SUM(T69,AA69)</f>
        <v/>
      </c>
      <c r="L69" s="216" t="n"/>
      <c r="P69" s="59" t="n"/>
      <c r="U69" s="31">
        <f>SUM(AM69,AP69,AS69,AV69,AY69,BE69,BB69)</f>
        <v/>
      </c>
      <c r="W69" s="30" t="n"/>
      <c r="X69" s="30">
        <f>AA69-W69</f>
        <v/>
      </c>
      <c r="Y69" s="32">
        <f>'0₦'!AE68*2  + 0</f>
        <v/>
      </c>
      <c r="Z69" s="279" t="n"/>
      <c r="AA69" s="30">
        <f>SUM(E69:O69)/21*75 + IF(AM69, -(MAX((U69-1800)/10, -40)), 0)+T69 + S69 + (P69-100)*0.5+AI69 +W69</f>
        <v/>
      </c>
      <c r="AD69" s="32" t="n"/>
      <c r="AI69" s="450" t="n"/>
      <c r="AK69" s="45" t="n"/>
      <c r="AR69" s="25" t="n"/>
      <c r="BG69" s="120" t="n"/>
    </row>
    <row r="70" hidden="1" s="37">
      <c r="A70" s="551" t="n"/>
      <c r="B70" s="550">
        <f>B69+1</f>
        <v/>
      </c>
      <c r="C70" s="45" t="inlineStr">
        <is>
          <t>M</t>
        </is>
      </c>
      <c r="D70" s="30">
        <f>SUM(T70,AA70)</f>
        <v/>
      </c>
      <c r="L70" s="216" t="n"/>
      <c r="P70" s="59" t="n"/>
      <c r="U70" s="31">
        <f>SUM(AM70,AP70,AS70,AV70,AY70,BE70,BB70)</f>
        <v/>
      </c>
      <c r="W70" s="30" t="n"/>
      <c r="X70" s="30">
        <f>AA70-W70</f>
        <v/>
      </c>
      <c r="Y70" s="32">
        <f>'0₦'!AE69*2  + 0</f>
        <v/>
      </c>
      <c r="Z70" s="279" t="n"/>
      <c r="AA70" s="30">
        <f>SUM(E70:O70)/21*75 + IF(AM70, -(MAX((U70-1800)/10, -40)), 0)+T70 + S70 + (P70-100)*0.5+AI70 +W70</f>
        <v/>
      </c>
      <c r="AD70" s="32" t="n"/>
      <c r="AI70" s="450" t="n"/>
      <c r="AK70" s="45" t="n"/>
      <c r="AR70" s="25" t="n"/>
      <c r="BG70" s="120" t="n"/>
    </row>
    <row r="71" hidden="1" s="37">
      <c r="A71" s="551" t="n"/>
      <c r="B71" s="550">
        <f>B70+1</f>
        <v/>
      </c>
      <c r="C71" s="45" t="inlineStr">
        <is>
          <t>T</t>
        </is>
      </c>
      <c r="D71" s="30">
        <f>SUM(T71,AA71)</f>
        <v/>
      </c>
      <c r="L71" s="216" t="n"/>
      <c r="P71" s="59" t="n"/>
      <c r="U71" s="31">
        <f>SUM(AM71,AP71,AS71,AV71,AY71,BE71,BB71)</f>
        <v/>
      </c>
      <c r="W71" s="30" t="n"/>
      <c r="X71" s="30">
        <f>AA71-W71</f>
        <v/>
      </c>
      <c r="Y71" s="32">
        <f>'0₦'!AE70*2  + 0</f>
        <v/>
      </c>
      <c r="Z71" s="279" t="n"/>
      <c r="AA71" s="30">
        <f>SUM(E71:O71)/21*75 + IF(AM71, -(MAX((U71-1800)/10, -40)), 0)+T71 + S71 + (P71-100)*0.5+AI71 +W71</f>
        <v/>
      </c>
      <c r="AD71" s="32" t="n"/>
      <c r="AI71" s="450" t="n"/>
      <c r="AK71" s="45" t="n"/>
      <c r="AR71" s="25" t="n"/>
      <c r="BG71" s="120" t="n"/>
    </row>
    <row r="72" hidden="1" s="37">
      <c r="A72" s="551" t="n"/>
      <c r="B72" s="550">
        <f>B71+1</f>
        <v/>
      </c>
      <c r="C72" s="45" t="inlineStr">
        <is>
          <t>W</t>
        </is>
      </c>
      <c r="D72" s="30">
        <f>SUM(T72,AA72)</f>
        <v/>
      </c>
      <c r="L72" s="216" t="n"/>
      <c r="P72" s="59" t="n"/>
      <c r="U72" s="31">
        <f>SUM(AM72,AP72,AS72,AV72,AY72,BE72,BB72)</f>
        <v/>
      </c>
      <c r="W72" s="30" t="n"/>
      <c r="X72" s="30">
        <f>AA72-W72</f>
        <v/>
      </c>
      <c r="Y72" s="32">
        <f>'0₦'!AE71*2  + 0</f>
        <v/>
      </c>
      <c r="Z72" s="279" t="n"/>
      <c r="AA72" s="30">
        <f>SUM(E72:O72)/21*75 + IF(AM72, -(MAX((U72-1800)/10, -40)), 0)+T72 + S72 + (P72-100)*0.5+AI72 +W72</f>
        <v/>
      </c>
      <c r="AD72" s="32" t="n"/>
      <c r="AI72" s="450" t="n"/>
      <c r="AK72" s="45" t="n"/>
      <c r="AR72" s="25" t="n"/>
      <c r="BG72" s="120" t="n"/>
    </row>
    <row r="73" hidden="1" s="37">
      <c r="A73" s="551" t="n"/>
      <c r="B73" s="550">
        <f>B72+1</f>
        <v/>
      </c>
      <c r="C73" s="45" t="inlineStr">
        <is>
          <t>Th</t>
        </is>
      </c>
      <c r="D73" s="30">
        <f>SUM(T73,AA73)</f>
        <v/>
      </c>
      <c r="L73" s="216" t="n"/>
      <c r="P73" s="59" t="n"/>
      <c r="U73" s="31">
        <f>SUM(AM73,AP73,AS73,AV73,AY73,BE73,BB73)</f>
        <v/>
      </c>
      <c r="V73" s="483">
        <f>AVERAGE(U73:U79)</f>
        <v/>
      </c>
      <c r="W73" s="30" t="n"/>
      <c r="X73" s="30">
        <f>AA73-W73</f>
        <v/>
      </c>
      <c r="Y73" s="32">
        <f>'0₦'!AE72*2  + 0</f>
        <v/>
      </c>
      <c r="Z73" s="279" t="n"/>
      <c r="AA73" s="30">
        <f>SUM(E73:O73)/21*75 + IF(AM73, -(MAX((U73-1800)/10, -40)), 0)+T73 + S73 + (P73-100)*0.5+AI73 +W73</f>
        <v/>
      </c>
      <c r="AB73" s="477">
        <f>AVERAGE(AA73:AA79)</f>
        <v/>
      </c>
      <c r="AC73" s="498">
        <f>AVERAGE(Y73:Y79)</f>
        <v/>
      </c>
      <c r="AD73" s="32" t="n"/>
      <c r="AF73" s="501">
        <f>SUM(AE73:AE79)</f>
        <v/>
      </c>
      <c r="AG73" s="22" t="n"/>
      <c r="AH73" s="480" t="n"/>
      <c r="AI73" s="450" t="n"/>
      <c r="AK73" s="45" t="n"/>
      <c r="AR73" s="25" t="n"/>
      <c r="BG73" s="120" t="n"/>
      <c r="BH73" s="445" t="n"/>
      <c r="BI73" s="473" t="n"/>
      <c r="BJ73" s="445" t="n"/>
      <c r="BK73" s="472" t="n"/>
    </row>
    <row r="74" hidden="1" s="37">
      <c r="A74" s="551" t="n"/>
      <c r="B74" s="550">
        <f>B73+1</f>
        <v/>
      </c>
      <c r="C74" s="45" t="inlineStr">
        <is>
          <t>F</t>
        </is>
      </c>
      <c r="D74" s="30">
        <f>SUM(T74,AA74)</f>
        <v/>
      </c>
      <c r="L74" s="216" t="n"/>
      <c r="P74" s="59" t="n"/>
      <c r="U74" s="31">
        <f>SUM(AM74,AP74,AS74,AV74,AY74,BE74,BB74)</f>
        <v/>
      </c>
      <c r="W74" s="30" t="n"/>
      <c r="X74" s="30">
        <f>AA74-W74</f>
        <v/>
      </c>
      <c r="Y74" s="32">
        <f>'0₦'!AE73*2  + 0</f>
        <v/>
      </c>
      <c r="Z74" s="279" t="n"/>
      <c r="AA74" s="30">
        <f>SUM(E74:O74)/21*75 + IF(AM74, -(MAX((U74-1800)/10, -40)), 0)+T74 + S74 + (P74-100)*0.5+AI74 +W74</f>
        <v/>
      </c>
      <c r="AD74" s="32" t="n"/>
      <c r="AI74" s="450" t="n"/>
      <c r="AK74" s="45" t="n"/>
      <c r="AR74" s="25" t="n"/>
      <c r="BG74" s="120" t="n"/>
      <c r="BM74" s="445">
        <f>SUM(BN74:BO80)</f>
        <v/>
      </c>
      <c r="BN74" s="445">
        <f>COUNTIF('0₦'!L74:L80,"&lt;&gt;")*23</f>
        <v/>
      </c>
      <c r="BO74" s="445" t="n">
        <v>0</v>
      </c>
      <c r="BP74" s="472" t="n"/>
    </row>
    <row r="75" hidden="1" s="37">
      <c r="A75" s="552" t="n"/>
      <c r="B75" s="550">
        <f>B74+1</f>
        <v/>
      </c>
      <c r="C75" s="45" t="inlineStr">
        <is>
          <t>S</t>
        </is>
      </c>
      <c r="D75" s="30">
        <f>SUM(T75,AA75)</f>
        <v/>
      </c>
      <c r="L75" s="216" t="n"/>
      <c r="P75" s="59" t="n"/>
      <c r="U75" s="31">
        <f>SUM(AM75,AP75,AS75,AV75,AY75,BE75,BB75)</f>
        <v/>
      </c>
      <c r="W75" s="30" t="n"/>
      <c r="X75" s="30">
        <f>AA75-W75</f>
        <v/>
      </c>
      <c r="Y75" s="32">
        <f>'0₦'!AE74*2  + 0</f>
        <v/>
      </c>
      <c r="Z75" s="279" t="n"/>
      <c r="AA75" s="30">
        <f>SUM(E75:O75)/21*75 + IF(AM75, -(MAX((U75-1800)/10, -40)), 0)+T75 + S75 + (P75-100)*0.5+AI75 +W75</f>
        <v/>
      </c>
      <c r="AD75" s="32" t="n"/>
      <c r="AI75" s="450" t="n"/>
      <c r="AK75" s="45" t="n"/>
      <c r="AR75" s="25" t="n"/>
      <c r="BG75" s="120" t="n"/>
    </row>
    <row r="76" hidden="1" s="37">
      <c r="A76" s="462">
        <f>A69+0.1</f>
        <v/>
      </c>
      <c r="B76" s="550">
        <f>B75+1</f>
        <v/>
      </c>
      <c r="C76" s="45" t="inlineStr">
        <is>
          <t>S</t>
        </is>
      </c>
      <c r="D76" s="30">
        <f>SUM(T76,AA76)</f>
        <v/>
      </c>
      <c r="L76" s="216" t="n"/>
      <c r="P76" s="59" t="n"/>
      <c r="U76" s="31">
        <f>SUM(AM76,AP76,AS76,AV76,AY76,BE76,BB76)</f>
        <v/>
      </c>
      <c r="W76" s="30" t="n"/>
      <c r="X76" s="30">
        <f>AA76-W76</f>
        <v/>
      </c>
      <c r="Y76" s="32">
        <f>'0₦'!AE75*2  + 0</f>
        <v/>
      </c>
      <c r="Z76" s="279" t="n"/>
      <c r="AA76" s="30">
        <f>SUM(E76:O76)/21*75 + IF(AM76, -(MAX((U76-1800)/10, -40)), 0)+T76 + S76 + (P76-100)*0.5+AI76 +W76</f>
        <v/>
      </c>
      <c r="AD76" s="32" t="n"/>
      <c r="AI76" s="450" t="n"/>
      <c r="AK76" s="45" t="n"/>
      <c r="AR76" s="25" t="n"/>
      <c r="BG76" s="120" t="n"/>
    </row>
    <row r="77" hidden="1" s="37">
      <c r="A77" s="551" t="n"/>
      <c r="B77" s="550">
        <f>B76+1</f>
        <v/>
      </c>
      <c r="C77" s="45" t="inlineStr">
        <is>
          <t>M</t>
        </is>
      </c>
      <c r="D77" s="30">
        <f>SUM(T77,AA77)</f>
        <v/>
      </c>
      <c r="L77" s="216" t="n"/>
      <c r="P77" s="59" t="n"/>
      <c r="U77" s="31">
        <f>SUM(AM77,AP77,AS77,AV77,AY77,BE77,BB77)</f>
        <v/>
      </c>
      <c r="W77" s="30" t="n"/>
      <c r="X77" s="30">
        <f>AA77-W77</f>
        <v/>
      </c>
      <c r="Y77" s="32">
        <f>'0₦'!AE76*2  + 0</f>
        <v/>
      </c>
      <c r="Z77" s="279" t="n"/>
      <c r="AA77" s="30">
        <f>SUM(E77:O77)/21*75 + IF(AM77, -(MAX((U77-1800)/10, -40)), 0)+T77 + S77 + (P77-100)*0.5+AI77 +W77</f>
        <v/>
      </c>
      <c r="AD77" s="32" t="n"/>
      <c r="AI77" s="450" t="n"/>
      <c r="AK77" s="45" t="n"/>
      <c r="AR77" s="25" t="n"/>
      <c r="BG77" s="120" t="n"/>
    </row>
    <row r="78" hidden="1" s="37">
      <c r="A78" s="551" t="n"/>
      <c r="B78" s="550">
        <f>B77+1</f>
        <v/>
      </c>
      <c r="C78" s="45" t="inlineStr">
        <is>
          <t>T</t>
        </is>
      </c>
      <c r="D78" s="30">
        <f>SUM(T78,AA78)</f>
        <v/>
      </c>
      <c r="L78" s="216" t="n"/>
      <c r="P78" s="59" t="n"/>
      <c r="U78" s="31">
        <f>SUM(AM78,AP78,AS78,AV78,AY78,BE78,BB78)</f>
        <v/>
      </c>
      <c r="W78" s="30" t="n"/>
      <c r="X78" s="30">
        <f>AA78-W78</f>
        <v/>
      </c>
      <c r="Y78" s="32">
        <f>'0₦'!AE77*2  + 0</f>
        <v/>
      </c>
      <c r="Z78" s="279" t="n"/>
      <c r="AA78" s="30">
        <f>SUM(E78:O78)/21*75 + IF(AM78, -(MAX((U78-1800)/10, -40)), 0)+T78 + S78 + (P78-100)*0.5+AI78 +W78</f>
        <v/>
      </c>
      <c r="AD78" s="32" t="n"/>
      <c r="AI78" s="450" t="n"/>
      <c r="AK78" s="45" t="n"/>
      <c r="AR78" s="25" t="n"/>
      <c r="BG78" s="120" t="n"/>
    </row>
    <row r="79" hidden="1" s="37">
      <c r="A79" s="551" t="n"/>
      <c r="B79" s="550">
        <f>B78+1</f>
        <v/>
      </c>
      <c r="C79" s="45" t="inlineStr">
        <is>
          <t>W</t>
        </is>
      </c>
      <c r="D79" s="30">
        <f>SUM(T79,AA79)</f>
        <v/>
      </c>
      <c r="L79" s="216" t="n"/>
      <c r="P79" s="59" t="n"/>
      <c r="U79" s="31">
        <f>SUM(AM79,AP79,AS79,AV79,AY79,BE79,BB79)</f>
        <v/>
      </c>
      <c r="W79" s="30" t="n"/>
      <c r="X79" s="30">
        <f>AA79-W79</f>
        <v/>
      </c>
      <c r="Y79" s="32">
        <f>'0₦'!AE78*2  + 0</f>
        <v/>
      </c>
      <c r="Z79" s="279" t="n"/>
      <c r="AA79" s="30">
        <f>SUM(E79:O79)/21*75 + IF(AM79, -(MAX((U79-1800)/10, -40)), 0)+T79 + S79 + (P79-100)*0.5+AI79 +W79</f>
        <v/>
      </c>
      <c r="AD79" s="32" t="n"/>
      <c r="AI79" s="450" t="n"/>
      <c r="AK79" s="45" t="n"/>
      <c r="AR79" s="25" t="n"/>
      <c r="BG79" s="120" t="n"/>
    </row>
    <row r="80" hidden="1" s="37">
      <c r="A80" s="551" t="n"/>
      <c r="B80" s="550">
        <f>B79+1</f>
        <v/>
      </c>
      <c r="C80" s="45" t="inlineStr">
        <is>
          <t>Th</t>
        </is>
      </c>
      <c r="D80" s="30">
        <f>SUM(T80,AA80)</f>
        <v/>
      </c>
      <c r="L80" s="216" t="n"/>
      <c r="P80" s="59" t="n"/>
      <c r="U80" s="31">
        <f>SUM(AM80,AP80,AS80,AV80,AY80,BE80,BB80)</f>
        <v/>
      </c>
      <c r="V80" s="483">
        <f>AVERAGE(U80:U86)</f>
        <v/>
      </c>
      <c r="W80" s="30" t="n"/>
      <c r="X80" s="30">
        <f>AA80-W80</f>
        <v/>
      </c>
      <c r="Y80" s="32">
        <f>'0₦'!AE79*2  + 0</f>
        <v/>
      </c>
      <c r="Z80" s="279" t="n"/>
      <c r="AA80" s="30">
        <f>SUM(E80:O80)/21*75 + IF(AM80, -(MAX((U80-1800)/10, -40)), 0)+T80 + S80 + (P80-100)*0.5+AI80 +W80</f>
        <v/>
      </c>
      <c r="AB80" s="477">
        <f>AVERAGE(AA80:AA86)</f>
        <v/>
      </c>
      <c r="AC80" s="498">
        <f>AVERAGE(Y80:Y86)</f>
        <v/>
      </c>
      <c r="AD80" s="32" t="n"/>
      <c r="AF80" s="478">
        <f>SUM(AE80:AE86)</f>
        <v/>
      </c>
      <c r="AG80" s="22" t="n"/>
      <c r="AH80" s="480" t="n"/>
      <c r="AI80" s="450" t="n"/>
      <c r="AJ80" s="38" t="n"/>
      <c r="AK80" s="45" t="n"/>
      <c r="AR80" s="25" t="n"/>
      <c r="BG80" s="120" t="n"/>
      <c r="BH80" s="445" t="n"/>
      <c r="BI80" s="473" t="n"/>
      <c r="BJ80" s="445" t="n"/>
      <c r="BK80" s="472" t="n"/>
    </row>
    <row r="81" hidden="1" s="37">
      <c r="A81" s="551" t="n"/>
      <c r="B81" s="550">
        <f>B80+1</f>
        <v/>
      </c>
      <c r="C81" s="45" t="inlineStr">
        <is>
          <t>F</t>
        </is>
      </c>
      <c r="D81" s="30">
        <f>SUM(T81,AA81)</f>
        <v/>
      </c>
      <c r="L81" s="216" t="n"/>
      <c r="P81" s="59" t="n"/>
      <c r="U81" s="31">
        <f>SUM(AM81,AP81,AS81,AV81,AY81,BE81,BB81)</f>
        <v/>
      </c>
      <c r="W81" s="30" t="n"/>
      <c r="X81" s="30">
        <f>AA81-W81</f>
        <v/>
      </c>
      <c r="Y81" s="32">
        <f>'0₦'!AE80*2  + 0</f>
        <v/>
      </c>
      <c r="Z81" s="279" t="n"/>
      <c r="AA81" s="30">
        <f>SUM(E81:O81)/21*75 + IF(AM81, -(MAX((U81-1800)/10, -40)), 0)+T81 + S81 + (P81-100)*0.5+AI81 +W81</f>
        <v/>
      </c>
      <c r="AD81" s="32" t="n"/>
      <c r="AI81" s="450" t="n"/>
      <c r="AJ81" s="38" t="n"/>
      <c r="AK81" s="45" t="n"/>
      <c r="AR81" s="25" t="n"/>
      <c r="BG81" s="120" t="n"/>
      <c r="BM81" s="445">
        <f>SUM(BN81:BO87)</f>
        <v/>
      </c>
      <c r="BN81" s="445">
        <f>COUNTIF('0₦'!L81:L87,"&lt;&gt;")*23</f>
        <v/>
      </c>
      <c r="BO81" s="445" t="n">
        <v>0</v>
      </c>
      <c r="BP81" s="472" t="n"/>
    </row>
    <row r="82" hidden="1" s="37">
      <c r="A82" s="552" t="n"/>
      <c r="B82" s="550">
        <f>B81+1</f>
        <v/>
      </c>
      <c r="C82" s="45" t="inlineStr">
        <is>
          <t>S</t>
        </is>
      </c>
      <c r="D82" s="30">
        <f>SUM(T82,AA82)</f>
        <v/>
      </c>
      <c r="L82" s="216" t="n"/>
      <c r="P82" s="59" t="n"/>
      <c r="U82" s="31">
        <f>SUM(AM82,AP82,AS82,AV82,AY82,BE82,BB82)</f>
        <v/>
      </c>
      <c r="W82" s="30" t="n"/>
      <c r="X82" s="30">
        <f>AA82-W82</f>
        <v/>
      </c>
      <c r="Y82" s="32">
        <f>'0₦'!AE81*2  + 0</f>
        <v/>
      </c>
      <c r="Z82" s="279" t="n"/>
      <c r="AA82" s="30">
        <f>SUM(E82:O82)/21*75 + IF(AM82, -(MAX((U82-1800)/10, -40)), 0)+T82 + S82 + (P82-100)*0.5+AI82 +W82</f>
        <v/>
      </c>
      <c r="AD82" s="32" t="n"/>
      <c r="AI82" s="450" t="n"/>
      <c r="AK82" s="45" t="n"/>
      <c r="AR82" s="25" t="n"/>
      <c r="BG82" s="120" t="n"/>
    </row>
    <row r="83" hidden="1" s="37">
      <c r="A83" s="462">
        <f>A76+0.1</f>
        <v/>
      </c>
      <c r="B83" s="550">
        <f>B82+1</f>
        <v/>
      </c>
      <c r="C83" s="45" t="inlineStr">
        <is>
          <t>S</t>
        </is>
      </c>
      <c r="D83" s="30">
        <f>SUM(T83,AA83)</f>
        <v/>
      </c>
      <c r="L83" s="216" t="n"/>
      <c r="P83" s="59" t="n"/>
      <c r="U83" s="31">
        <f>SUM(AM83,AP83,AS83,AV83,AY83,BE83,BB83)</f>
        <v/>
      </c>
      <c r="W83" s="30" t="n"/>
      <c r="X83" s="30">
        <f>AA83-W83</f>
        <v/>
      </c>
      <c r="Y83" s="32">
        <f>'0₦'!AE82*2  + 0</f>
        <v/>
      </c>
      <c r="Z83" s="279" t="n"/>
      <c r="AA83" s="30">
        <f>SUM(E83:O83)/21*75 + IF(AM83, -(MAX((U83-1800)/10, -40)), 0)+T83 + S83 + (P83-100)*0.5+AI83 +W83</f>
        <v/>
      </c>
      <c r="AD83" s="32" t="n"/>
      <c r="AI83" s="450" t="n"/>
      <c r="AK83" s="45" t="n"/>
      <c r="AR83" s="25" t="n"/>
      <c r="BG83" s="120" t="n"/>
    </row>
    <row r="84" hidden="1" s="37">
      <c r="A84" s="551" t="n"/>
      <c r="B84" s="550">
        <f>B83+1</f>
        <v/>
      </c>
      <c r="C84" s="45" t="inlineStr">
        <is>
          <t>M</t>
        </is>
      </c>
      <c r="D84" s="30">
        <f>SUM(T84,AA84)</f>
        <v/>
      </c>
      <c r="L84" s="216" t="n"/>
      <c r="P84" s="59" t="n"/>
      <c r="U84" s="31">
        <f>SUM(AM84,AP84,AS84,AV84,AY84,BE84,BB84)</f>
        <v/>
      </c>
      <c r="W84" s="30" t="n"/>
      <c r="X84" s="30">
        <f>AA84-W84</f>
        <v/>
      </c>
      <c r="Y84" s="32">
        <f>'0₦'!AE83*2  + 0</f>
        <v/>
      </c>
      <c r="Z84" s="279" t="n"/>
      <c r="AA84" s="30">
        <f>SUM(E84:O84)/21*75 + IF(AM84, -(MAX((U84-1800)/10, -40)), 0)+T84 + S84 + (P84-100)*0.5+AI84 +W84</f>
        <v/>
      </c>
      <c r="AD84" s="32" t="n"/>
      <c r="AI84" s="450" t="n"/>
      <c r="AK84" s="45" t="n"/>
      <c r="AR84" s="25" t="n"/>
      <c r="BG84" s="120" t="n"/>
    </row>
    <row r="85" hidden="1" s="37">
      <c r="A85" s="551" t="n"/>
      <c r="B85" s="550">
        <f>B84+1</f>
        <v/>
      </c>
      <c r="C85" s="45" t="inlineStr">
        <is>
          <t>T</t>
        </is>
      </c>
      <c r="D85" s="30">
        <f>SUM(T85,AA85)</f>
        <v/>
      </c>
      <c r="L85" s="216" t="n"/>
      <c r="P85" s="59" t="n"/>
      <c r="U85" s="31">
        <f>SUM(AM85,AP85,AS85,AV85,AY85,BE85,BB85)</f>
        <v/>
      </c>
      <c r="W85" s="30" t="n"/>
      <c r="X85" s="30">
        <f>AA85-W85</f>
        <v/>
      </c>
      <c r="Y85" s="32">
        <f>'0₦'!AE84*2  + 0</f>
        <v/>
      </c>
      <c r="Z85" s="279" t="n"/>
      <c r="AA85" s="30">
        <f>SUM(E85:O85)/21*75 + IF(AM85, -(MAX((U85-1800)/10, -40)), 0)+T85 + S85 + (P85-100)*0.5+AI85 +W85</f>
        <v/>
      </c>
      <c r="AD85" s="32" t="n"/>
      <c r="AI85" s="450" t="n"/>
      <c r="AK85" s="45" t="n"/>
      <c r="AR85" s="25" t="n"/>
      <c r="BG85" s="120" t="n"/>
    </row>
    <row r="86" hidden="1" s="37">
      <c r="A86" s="551" t="n"/>
      <c r="B86" s="550">
        <f>B85+1</f>
        <v/>
      </c>
      <c r="C86" s="45" t="inlineStr">
        <is>
          <t>W</t>
        </is>
      </c>
      <c r="D86" s="30">
        <f>SUM(T86,AA86)</f>
        <v/>
      </c>
      <c r="L86" s="216" t="n"/>
      <c r="P86" s="59" t="n"/>
      <c r="U86" s="31">
        <f>SUM(AM86,AP86,AS86,AV86,AY86,BE86,BB86)</f>
        <v/>
      </c>
      <c r="W86" s="30" t="n"/>
      <c r="X86" s="30">
        <f>AA86-W86</f>
        <v/>
      </c>
      <c r="Y86" s="32">
        <f>'0₦'!AE85*2  + 0</f>
        <v/>
      </c>
      <c r="Z86" s="279" t="n"/>
      <c r="AA86" s="30">
        <f>SUM(E86:O86)/21*75 + IF(AM86, -(MAX((U86-1800)/10, -40)), 0)+T86 + S86 + (P86-100)*0.5+AI86 +W86</f>
        <v/>
      </c>
      <c r="AD86" s="32" t="n"/>
      <c r="AI86" s="450" t="n"/>
      <c r="AK86" s="45" t="n"/>
      <c r="AR86" s="25" t="n"/>
      <c r="BG86" s="120" t="n"/>
    </row>
    <row r="87" hidden="1" s="37">
      <c r="A87" s="551" t="n"/>
      <c r="B87" s="550">
        <f>B86+1</f>
        <v/>
      </c>
      <c r="C87" s="45" t="inlineStr">
        <is>
          <t>Th</t>
        </is>
      </c>
      <c r="D87" s="30">
        <f>SUM(T87,AA87)</f>
        <v/>
      </c>
      <c r="L87" s="216" t="n"/>
      <c r="P87" s="59" t="n"/>
      <c r="U87" s="31">
        <f>SUM(AM87,AP87,AS87,AV87,AY87,BE87,BB87)</f>
        <v/>
      </c>
      <c r="V87" s="483">
        <f>AVERAGE(U87:U93)</f>
        <v/>
      </c>
      <c r="W87" s="30" t="n"/>
      <c r="X87" s="30">
        <f>AA87-W87</f>
        <v/>
      </c>
      <c r="Y87" s="32">
        <f>'0₦'!AE86*2  + 0</f>
        <v/>
      </c>
      <c r="Z87" s="279" t="n"/>
      <c r="AA87" s="30">
        <f>SUM(E87:O87)/21*75 + IF(AM87, -(MAX((U87-1800)/10, -40)), 0)+T87 + S87 + (P87-100)*0.5+AI87 +W87</f>
        <v/>
      </c>
      <c r="AB87" s="477">
        <f>AVERAGE(AA87:AA93)</f>
        <v/>
      </c>
      <c r="AC87" s="498">
        <f>AVERAGE(Y87:Y93)</f>
        <v/>
      </c>
      <c r="AD87" s="32" t="n"/>
      <c r="AF87" s="478">
        <f>SUM(AE87:AE93)</f>
        <v/>
      </c>
      <c r="AG87" s="22" t="n"/>
      <c r="AH87" s="480" t="n"/>
      <c r="AI87" s="450" t="n"/>
      <c r="AK87" s="45" t="n"/>
      <c r="AR87" s="25" t="n"/>
      <c r="BG87" s="120" t="n"/>
      <c r="BH87" s="445" t="n"/>
      <c r="BI87" s="473" t="n"/>
      <c r="BJ87" s="445" t="n"/>
      <c r="BK87" s="472" t="n"/>
    </row>
    <row r="88" hidden="1" s="37">
      <c r="A88" s="551" t="n"/>
      <c r="B88" s="550">
        <f>B87+1</f>
        <v/>
      </c>
      <c r="C88" s="45" t="inlineStr">
        <is>
          <t>F</t>
        </is>
      </c>
      <c r="D88" s="30">
        <f>SUM(T88,AA88)</f>
        <v/>
      </c>
      <c r="L88" s="216" t="n"/>
      <c r="P88" s="59" t="n"/>
      <c r="U88" s="31">
        <f>SUM(AM88,AP88,AS88,AV88,AY88,BE88,BB88)</f>
        <v/>
      </c>
      <c r="W88" s="30" t="n"/>
      <c r="X88" s="30">
        <f>AA88-W88</f>
        <v/>
      </c>
      <c r="Y88" s="32">
        <f>'0₦'!AE87*2  + 0</f>
        <v/>
      </c>
      <c r="Z88" s="279" t="n"/>
      <c r="AA88" s="30">
        <f>SUM(E88:O88)/21*75 + IF(AM88, -(MAX((U88-1800)/10, -40)), 0)+T88 + S88 + (P88-100)*0.5+AI88 +W88</f>
        <v/>
      </c>
      <c r="AD88" s="32" t="n"/>
      <c r="AI88" s="450" t="n"/>
      <c r="AK88" s="45" t="n"/>
      <c r="AR88" s="25" t="n"/>
      <c r="BG88" s="120" t="n"/>
      <c r="BM88" s="445">
        <f>SUM(BN88:BO94)</f>
        <v/>
      </c>
      <c r="BN88" s="445">
        <f>COUNTIF('0₦'!L88:L94,"&lt;&gt;")*23</f>
        <v/>
      </c>
      <c r="BO88" s="445" t="n">
        <v>0</v>
      </c>
      <c r="BP88" s="472" t="n"/>
    </row>
    <row r="89" hidden="1" s="37">
      <c r="A89" s="552" t="n"/>
      <c r="B89" s="550">
        <f>B88+1</f>
        <v/>
      </c>
      <c r="C89" s="45" t="inlineStr">
        <is>
          <t>S</t>
        </is>
      </c>
      <c r="D89" s="30">
        <f>SUM(T89,AA89)</f>
        <v/>
      </c>
      <c r="L89" s="216" t="n"/>
      <c r="P89" s="59" t="n"/>
      <c r="U89" s="31">
        <f>SUM(AM89,AP89,AS89,AV89,AY89,BE89,BB89)</f>
        <v/>
      </c>
      <c r="W89" s="30" t="n"/>
      <c r="X89" s="30">
        <f>AA89-W89</f>
        <v/>
      </c>
      <c r="Y89" s="32">
        <f>'0₦'!AE88*2  + 0</f>
        <v/>
      </c>
      <c r="Z89" s="279" t="n"/>
      <c r="AA89" s="30">
        <f>SUM(E89:O89)/21*75 + IF(AM89, -(MAX((U89-1800)/10, -40)), 0)+T89 + S89 + (P89-100)*0.5+AI89 +W89</f>
        <v/>
      </c>
      <c r="AD89" s="32" t="n"/>
      <c r="AI89" s="450" t="n"/>
      <c r="AK89" s="45" t="n"/>
      <c r="AR89" s="25" t="n"/>
      <c r="BG89" s="120" t="n"/>
    </row>
    <row r="90" hidden="1" s="37">
      <c r="A90" s="462">
        <f>A83+0.1</f>
        <v/>
      </c>
      <c r="B90" s="550">
        <f>B89+1</f>
        <v/>
      </c>
      <c r="C90" s="45" t="inlineStr">
        <is>
          <t>S</t>
        </is>
      </c>
      <c r="D90" s="30">
        <f>SUM(T90,AA90)</f>
        <v/>
      </c>
      <c r="L90" s="216" t="n"/>
      <c r="P90" s="59" t="n"/>
      <c r="U90" s="31">
        <f>SUM(AM90,AP90,AS90,AV90,AY90,BE90,BB90)</f>
        <v/>
      </c>
      <c r="W90" s="30" t="n"/>
      <c r="X90" s="30">
        <f>AA90-W90</f>
        <v/>
      </c>
      <c r="Y90" s="32">
        <f>'0₦'!AE89*2  + 0</f>
        <v/>
      </c>
      <c r="Z90" s="279" t="n"/>
      <c r="AA90" s="30">
        <f>SUM(E90:O90)/21*75 + IF(AM90, -(MAX((U90-1800)/10, -40)), 0)+T90 + S90 + (P90-100)*0.5+AI90 +W90</f>
        <v/>
      </c>
      <c r="AD90" s="32" t="n"/>
      <c r="AI90" s="450" t="n"/>
      <c r="AK90" s="45" t="n"/>
      <c r="AR90" s="25" t="n"/>
      <c r="BG90" s="120" t="n"/>
    </row>
    <row r="91" hidden="1" s="37">
      <c r="A91" s="551" t="n"/>
      <c r="B91" s="550">
        <f>B90+1</f>
        <v/>
      </c>
      <c r="C91" s="45" t="inlineStr">
        <is>
          <t>M</t>
        </is>
      </c>
      <c r="D91" s="30">
        <f>SUM(T91,AA91)</f>
        <v/>
      </c>
      <c r="L91" s="216" t="n"/>
      <c r="P91" s="59" t="n"/>
      <c r="U91" s="31">
        <f>SUM(AM91,AP91,AS91,AV91,AY91,BE91,BB91)</f>
        <v/>
      </c>
      <c r="W91" s="30" t="n"/>
      <c r="X91" s="30">
        <f>AA91-W91</f>
        <v/>
      </c>
      <c r="Y91" s="32">
        <f>'0₦'!AE90*2  + 0</f>
        <v/>
      </c>
      <c r="Z91" s="279" t="n"/>
      <c r="AA91" s="30">
        <f>SUM(E91:O91)/21*75 + IF(AM91, -(MAX((U91-1800)/10, -40)), 0)+T91 + S91 + (P91-100)*0.5+AI91 +W91</f>
        <v/>
      </c>
      <c r="AD91" s="32" t="n"/>
      <c r="AI91" s="450" t="n"/>
      <c r="AK91" s="45" t="n"/>
      <c r="AR91" s="25" t="n"/>
      <c r="BG91" s="120" t="n"/>
    </row>
    <row r="92" hidden="1" s="37">
      <c r="A92" s="551" t="n"/>
      <c r="B92" s="550">
        <f>B91+1</f>
        <v/>
      </c>
      <c r="C92" s="45" t="inlineStr">
        <is>
          <t>T</t>
        </is>
      </c>
      <c r="D92" s="30">
        <f>SUM(T92,AA92)</f>
        <v/>
      </c>
      <c r="L92" s="216" t="n"/>
      <c r="P92" s="59" t="n"/>
      <c r="U92" s="31">
        <f>SUM(AM92,AP92,AS92,AV92,AY92,BE92,BB92)</f>
        <v/>
      </c>
      <c r="W92" s="30" t="n"/>
      <c r="X92" s="30">
        <f>AA92-W92</f>
        <v/>
      </c>
      <c r="Y92" s="32">
        <f>'0₦'!AE91*2  + 0</f>
        <v/>
      </c>
      <c r="Z92" s="279" t="n"/>
      <c r="AA92" s="30">
        <f>SUM(E92:O92)/21*75 + IF(AM92, -(MAX((U92-1800)/10, -40)), 0)+T92 + S92 + (P92-100)*0.5+AI92 +W92</f>
        <v/>
      </c>
      <c r="AD92" s="32" t="n"/>
      <c r="AI92" s="450" t="n"/>
      <c r="AK92" s="45" t="n"/>
      <c r="AR92" s="25" t="n"/>
      <c r="BG92" s="120" t="n"/>
    </row>
    <row r="93" hidden="1" s="37">
      <c r="A93" s="551" t="n"/>
      <c r="B93" s="550">
        <f>B92+1</f>
        <v/>
      </c>
      <c r="C93" s="45" t="inlineStr">
        <is>
          <t>W</t>
        </is>
      </c>
      <c r="D93" s="30">
        <f>SUM(T93,AA93)</f>
        <v/>
      </c>
      <c r="L93" s="216" t="n"/>
      <c r="P93" s="59" t="n"/>
      <c r="U93" s="31">
        <f>SUM(AM93,AP93,AS93,AV93,AY93,BE93,BB93)</f>
        <v/>
      </c>
      <c r="W93" s="30" t="n"/>
      <c r="X93" s="30">
        <f>AA93-W93</f>
        <v/>
      </c>
      <c r="Y93" s="32">
        <f>'0₦'!AE92*2  + 0</f>
        <v/>
      </c>
      <c r="Z93" s="279" t="n"/>
      <c r="AA93" s="30">
        <f>SUM(E93:O93)/21*75 + IF(AM93, -(MAX((U93-1800)/10, -40)), 0)+T93 + S93 + (P93-100)*0.5+AI93 +W93</f>
        <v/>
      </c>
      <c r="AD93" s="32" t="n"/>
      <c r="AI93" s="450" t="n"/>
      <c r="AK93" s="45" t="n"/>
      <c r="AR93" s="25" t="n"/>
      <c r="BG93" s="120" t="n"/>
    </row>
    <row r="94" hidden="1" s="37">
      <c r="A94" s="551" t="n"/>
      <c r="B94" s="550">
        <f>B93+1</f>
        <v/>
      </c>
      <c r="C94" s="45" t="inlineStr">
        <is>
          <t>Th</t>
        </is>
      </c>
      <c r="D94" s="30">
        <f>SUM(T94,AA94)</f>
        <v/>
      </c>
      <c r="L94" s="216" t="n"/>
      <c r="P94" s="59" t="n"/>
      <c r="U94" s="31">
        <f>SUM(AM94,AP94,AS94,AV94,AY94,BE94,BB94)</f>
        <v/>
      </c>
      <c r="V94" s="483">
        <f>AVERAGE(U94:U100)</f>
        <v/>
      </c>
      <c r="W94" s="30" t="n"/>
      <c r="X94" s="30">
        <f>AA94-W94</f>
        <v/>
      </c>
      <c r="Y94" s="32">
        <f>'0₦'!AE93*2  + 0</f>
        <v/>
      </c>
      <c r="Z94" s="279" t="n"/>
      <c r="AA94" s="30">
        <f>SUM(E94:O94)/21*75 + IF(AM94, -(MAX((U94-1800)/10, -40)), 0)+T94 + S94 + (P94-100)*0.5+AI94 +W94</f>
        <v/>
      </c>
      <c r="AB94" s="477">
        <f>AVERAGE(AA94:AA100)</f>
        <v/>
      </c>
      <c r="AC94" s="498">
        <f>AVERAGE(Y94:Y100)</f>
        <v/>
      </c>
      <c r="AD94" s="32" t="n"/>
      <c r="AF94" s="478">
        <f>SUM(AE94:AE100)</f>
        <v/>
      </c>
      <c r="AG94" s="22" t="n"/>
      <c r="AH94" s="480" t="n"/>
      <c r="AI94" s="450" t="n"/>
      <c r="AK94" s="45" t="n"/>
      <c r="AR94" s="25" t="n"/>
      <c r="BG94" s="120" t="n"/>
      <c r="BH94" s="445" t="n"/>
      <c r="BI94" s="473" t="n"/>
      <c r="BJ94" s="445" t="n"/>
      <c r="BK94" s="472" t="n"/>
    </row>
    <row r="95" hidden="1" s="37">
      <c r="A95" s="551" t="n"/>
      <c r="B95" s="550">
        <f>B94+1</f>
        <v/>
      </c>
      <c r="C95" s="45" t="inlineStr">
        <is>
          <t>F</t>
        </is>
      </c>
      <c r="D95" s="30">
        <f>SUM(T95,AA95)</f>
        <v/>
      </c>
      <c r="L95" s="216" t="n"/>
      <c r="P95" s="59" t="n"/>
      <c r="U95" s="31">
        <f>SUM(AM95,AP95,AS95,AV95,AY95,BE95,BB95)</f>
        <v/>
      </c>
      <c r="W95" s="30" t="n"/>
      <c r="X95" s="30">
        <f>AA95-W95</f>
        <v/>
      </c>
      <c r="Y95" s="32">
        <f>'0₦'!AE94*2  + 0</f>
        <v/>
      </c>
      <c r="Z95" s="279" t="n"/>
      <c r="AA95" s="30">
        <f>SUM(E95:O95)/21*75 + IF(AM95, -(MAX((U95-1800)/10, -40)), 0)+T95 + S95 + (P95-100)*0.5+AI95 +W95</f>
        <v/>
      </c>
      <c r="AD95" s="32" t="n"/>
      <c r="AI95" s="450" t="n"/>
      <c r="AK95" s="45" t="n"/>
      <c r="AR95" s="25" t="n"/>
      <c r="BG95" s="120" t="n"/>
      <c r="BM95" s="445">
        <f>SUM(BN95:BO101)</f>
        <v/>
      </c>
      <c r="BN95" s="445">
        <f>COUNTIF('0₦'!L95:L101,"&lt;&gt;")*23</f>
        <v/>
      </c>
      <c r="BO95" s="445" t="n">
        <v>0</v>
      </c>
      <c r="BP95" s="472" t="n"/>
    </row>
    <row r="96" hidden="1" s="37">
      <c r="A96" s="552" t="n"/>
      <c r="B96" s="550">
        <f>B95+1</f>
        <v/>
      </c>
      <c r="C96" s="45" t="inlineStr">
        <is>
          <t>S</t>
        </is>
      </c>
      <c r="D96" s="30">
        <f>SUM(T96,AA96)</f>
        <v/>
      </c>
      <c r="L96" s="216" t="n"/>
      <c r="P96" s="59" t="n"/>
      <c r="U96" s="31">
        <f>SUM(AM96,AP96,AS96,AV96,AY96,BE96,BB96)</f>
        <v/>
      </c>
      <c r="W96" s="30" t="n"/>
      <c r="X96" s="30">
        <f>AA96-W96</f>
        <v/>
      </c>
      <c r="Y96" s="32">
        <f>'0₦'!AE95*2  + 0</f>
        <v/>
      </c>
      <c r="Z96" s="279" t="n"/>
      <c r="AA96" s="30">
        <f>SUM(E96:O96)/21*75 + IF(AM96, -(MAX((U96-1800)/10, -40)), 0)+T96 + S96 + (P96-100)*0.5+AI96 +W96</f>
        <v/>
      </c>
      <c r="AD96" s="32" t="n"/>
      <c r="AI96" s="450" t="n"/>
      <c r="AK96" s="45" t="n"/>
      <c r="AR96" s="450" t="n"/>
      <c r="BG96" s="120" t="n"/>
    </row>
    <row r="97" hidden="1" s="37">
      <c r="A97" s="462">
        <f>A62+1</f>
        <v/>
      </c>
      <c r="B97" s="550">
        <f>B96+1</f>
        <v/>
      </c>
      <c r="C97" s="45" t="inlineStr">
        <is>
          <t>S</t>
        </is>
      </c>
      <c r="D97" s="30">
        <f>SUM(T97,AA97)</f>
        <v/>
      </c>
      <c r="L97" s="216" t="n"/>
      <c r="P97" s="59" t="n"/>
      <c r="U97" s="31">
        <f>SUM(AM97,AP97,AS97,AV97,AY97,BE97,BB97)</f>
        <v/>
      </c>
      <c r="W97" s="30" t="n"/>
      <c r="X97" s="30">
        <f>AA97-W97</f>
        <v/>
      </c>
      <c r="Y97" s="32">
        <f>'0₦'!AE96*2  + 0</f>
        <v/>
      </c>
      <c r="Z97" s="279" t="n"/>
      <c r="AA97" s="30">
        <f>SUM(E97:O97)/21*75 + IF(AM97, -(MAX((U97-1800)/10, -40)), 0)+T97 + S97 + (P97-100)*0.5+AI97 +W97</f>
        <v/>
      </c>
      <c r="AD97" s="32" t="n"/>
      <c r="AI97" s="450" t="n"/>
      <c r="AK97" s="45" t="n"/>
      <c r="AR97" s="25" t="n"/>
      <c r="BG97" s="120" t="n"/>
    </row>
    <row r="98" hidden="1" s="37">
      <c r="A98" s="551" t="n"/>
      <c r="B98" s="550">
        <f>B97+1</f>
        <v/>
      </c>
      <c r="C98" s="45" t="inlineStr">
        <is>
          <t>M</t>
        </is>
      </c>
      <c r="D98" s="30">
        <f>SUM(T98,AA98)</f>
        <v/>
      </c>
      <c r="L98" s="216" t="n"/>
      <c r="P98" s="59" t="n"/>
      <c r="U98" s="31">
        <f>SUM(AM98,AP98,AS98,AV98,AY98,BE98,BB98)</f>
        <v/>
      </c>
      <c r="W98" s="30" t="n"/>
      <c r="X98" s="30">
        <f>AA98-W98</f>
        <v/>
      </c>
      <c r="Y98" s="32">
        <f>'0₦'!AE97*2  + 0</f>
        <v/>
      </c>
      <c r="Z98" s="279" t="n"/>
      <c r="AA98" s="30">
        <f>SUM(E98:O98)/21*75 + IF(AM98, -(MAX((U98-1800)/10, -40)), 0)+T98 + S98 + (P98-100)*0.5+AI98 +W98</f>
        <v/>
      </c>
      <c r="AD98" s="32" t="n"/>
      <c r="AI98" s="450" t="n"/>
      <c r="AK98" s="45" t="n"/>
      <c r="AR98" s="450" t="n"/>
      <c r="BG98" s="120" t="n"/>
    </row>
    <row r="99" hidden="1" s="37">
      <c r="A99" s="551" t="n"/>
      <c r="B99" s="550">
        <f>B98+1</f>
        <v/>
      </c>
      <c r="C99" s="45" t="inlineStr">
        <is>
          <t>T</t>
        </is>
      </c>
      <c r="D99" s="30">
        <f>SUM(T99,AA99)</f>
        <v/>
      </c>
      <c r="L99" s="216" t="n"/>
      <c r="P99" s="59" t="n"/>
      <c r="U99" s="31">
        <f>SUM(AM99,AP99,AS99,AV99,AY99,BE99,BB99)</f>
        <v/>
      </c>
      <c r="W99" s="30" t="n"/>
      <c r="X99" s="30">
        <f>AA99-W99</f>
        <v/>
      </c>
      <c r="Y99" s="32">
        <f>'0₦'!AE98*2  + 0</f>
        <v/>
      </c>
      <c r="Z99" s="279" t="n"/>
      <c r="AA99" s="30">
        <f>SUM(E99:O99)/21*75 + IF(AM99, -(MAX((U99-1800)/10, -40)), 0)+T99 + S99 + (P99-100)*0.5+AI99 +W99</f>
        <v/>
      </c>
      <c r="AD99" s="32" t="n"/>
      <c r="AI99" s="450" t="n"/>
      <c r="AK99" s="45" t="n"/>
      <c r="AR99" s="25" t="n"/>
      <c r="BG99" s="120" t="n"/>
    </row>
    <row r="100" hidden="1" s="37">
      <c r="A100" s="551" t="n"/>
      <c r="B100" s="550">
        <f>B99+1</f>
        <v/>
      </c>
      <c r="C100" s="45" t="inlineStr">
        <is>
          <t>W</t>
        </is>
      </c>
      <c r="D100" s="30">
        <f>SUM(T100,AA100)</f>
        <v/>
      </c>
      <c r="L100" s="216" t="n"/>
      <c r="P100" s="59" t="n"/>
      <c r="U100" s="31">
        <f>SUM(AM100,AP100,AS100,AV100,AY100,BE100,BB100)</f>
        <v/>
      </c>
      <c r="W100" s="30" t="n"/>
      <c r="X100" s="30">
        <f>AA100-W100</f>
        <v/>
      </c>
      <c r="Y100" s="32">
        <f>'0₦'!AE99*2  + 0</f>
        <v/>
      </c>
      <c r="Z100" s="279" t="n"/>
      <c r="AA100" s="30">
        <f>SUM(E100:O100)/21*75 + IF(AM100, -(MAX((U100-1800)/10, -40)), 0)+T100 + S100 + (P100-100)*0.5+AI100 +W100</f>
        <v/>
      </c>
      <c r="AD100" s="32" t="n"/>
      <c r="AI100" s="450" t="n"/>
      <c r="AK100" s="45" t="n"/>
      <c r="BG100" s="120" t="n"/>
    </row>
    <row r="101" hidden="1" s="37">
      <c r="A101" s="551" t="n"/>
      <c r="B101" s="550">
        <f>B100+1</f>
        <v/>
      </c>
      <c r="C101" s="45" t="inlineStr">
        <is>
          <t>Th</t>
        </is>
      </c>
      <c r="D101" s="30">
        <f>SUM(T101,AA101)</f>
        <v/>
      </c>
      <c r="L101" s="216" t="n"/>
      <c r="P101" s="59" t="n"/>
      <c r="U101" s="31">
        <f>SUM(AM101,AP101,AS101,AV101,AY101,BE101,BB101)</f>
        <v/>
      </c>
      <c r="V101" s="483">
        <f>AVERAGE(U101:U107)</f>
        <v/>
      </c>
      <c r="W101" s="30" t="n"/>
      <c r="X101" s="30">
        <f>AA101-W101</f>
        <v/>
      </c>
      <c r="Y101" s="32">
        <f>'0₦'!AE100*2  + 0</f>
        <v/>
      </c>
      <c r="Z101" s="279" t="n"/>
      <c r="AA101" s="30">
        <f>SUM(E101:O101)/21*75 + IF(AM101, -(MAX((U101-1800)/10, -40)), 0)+T101 + S101 + (P101-100)*0.5+AI101 +W101</f>
        <v/>
      </c>
      <c r="AB101" s="477">
        <f>AVERAGE(AA101:AA107)</f>
        <v/>
      </c>
      <c r="AC101" s="498">
        <f>AVERAGE(Y101:Y107)</f>
        <v/>
      </c>
      <c r="AD101" s="32" t="n"/>
      <c r="AF101" s="478">
        <f>SUM(AE101:AE107)</f>
        <v/>
      </c>
      <c r="AG101" s="22" t="n"/>
      <c r="AH101" s="480" t="n"/>
      <c r="AI101" s="450" t="n"/>
      <c r="AK101" s="45" t="n"/>
      <c r="BG101" s="120" t="n"/>
      <c r="BH101" s="445" t="n"/>
      <c r="BI101" s="473" t="n"/>
      <c r="BJ101" s="445" t="n"/>
      <c r="BK101" s="472" t="n"/>
    </row>
    <row r="102" hidden="1" s="37">
      <c r="A102" s="551" t="n"/>
      <c r="B102" s="550">
        <f>B101+1</f>
        <v/>
      </c>
      <c r="C102" s="45" t="inlineStr">
        <is>
          <t>F</t>
        </is>
      </c>
      <c r="D102" s="30">
        <f>SUM(T102,AA102)</f>
        <v/>
      </c>
      <c r="L102" s="216" t="n"/>
      <c r="P102" s="59" t="n"/>
      <c r="U102" s="31">
        <f>SUM(AM102,AP102,AS102,AV102,AY102,BE102,BB102)</f>
        <v/>
      </c>
      <c r="W102" s="30" t="n"/>
      <c r="X102" s="30">
        <f>AA102-W102</f>
        <v/>
      </c>
      <c r="Y102" s="32">
        <f>'0₦'!AE101*2  + 0</f>
        <v/>
      </c>
      <c r="Z102" s="279" t="n"/>
      <c r="AA102" s="30">
        <f>SUM(E102:O102)/21*75 + IF(AM102, -(MAX((U102-1800)/10, -40)), 0)+T102 + S102 + (P102-100)*0.5+AI102 +W102</f>
        <v/>
      </c>
      <c r="AD102" s="32" t="n"/>
      <c r="AI102" s="450" t="n"/>
      <c r="AK102" s="45" t="n"/>
      <c r="BG102" s="120" t="n"/>
      <c r="BM102" s="445">
        <f>SUM(BN102:BO108)</f>
        <v/>
      </c>
      <c r="BN102" s="445">
        <f>COUNTIF('0₦'!L102:L108,"&lt;&gt;")*23</f>
        <v/>
      </c>
      <c r="BO102" s="445" t="n">
        <v>0</v>
      </c>
      <c r="BP102" s="472" t="n"/>
    </row>
    <row r="103" hidden="1" s="37">
      <c r="A103" s="552" t="n"/>
      <c r="B103" s="550">
        <f>B102+1</f>
        <v/>
      </c>
      <c r="C103" s="45" t="inlineStr">
        <is>
          <t>S</t>
        </is>
      </c>
      <c r="D103" s="30">
        <f>SUM(T103,AA103)</f>
        <v/>
      </c>
      <c r="L103" s="216" t="n"/>
      <c r="P103" s="59" t="n"/>
      <c r="U103" s="31">
        <f>SUM(AM103,AP103,AS103,AV103,AY103,BE103,BB103)</f>
        <v/>
      </c>
      <c r="W103" s="30" t="n"/>
      <c r="X103" s="30">
        <f>AA103-W103</f>
        <v/>
      </c>
      <c r="Y103" s="32">
        <f>'0₦'!AE102*2  + 0</f>
        <v/>
      </c>
      <c r="Z103" s="279" t="n"/>
      <c r="AA103" s="30">
        <f>SUM(E103:O103)/21*75 + IF(AM103, -(MAX((U103-1800)/10, -40)), 0)+T103 + S103 + (P103-100)*0.5+AI103 +W103</f>
        <v/>
      </c>
      <c r="AD103" s="32" t="n"/>
      <c r="AI103" s="450" t="n"/>
      <c r="AK103" s="45" t="n"/>
      <c r="AR103" s="450" t="n"/>
      <c r="BG103" s="120" t="n"/>
    </row>
    <row r="104" hidden="1" s="37">
      <c r="A104" s="462">
        <f>A97+0.1</f>
        <v/>
      </c>
      <c r="B104" s="550">
        <f>B103+1</f>
        <v/>
      </c>
      <c r="C104" s="45" t="inlineStr">
        <is>
          <t>S</t>
        </is>
      </c>
      <c r="D104" s="30">
        <f>SUM(T104,AA104)</f>
        <v/>
      </c>
      <c r="L104" s="216" t="n"/>
      <c r="P104" s="59" t="n"/>
      <c r="U104" s="31">
        <f>SUM(AM104,AP104,AS104,AV104,AY104,BE104,BB104)</f>
        <v/>
      </c>
      <c r="W104" s="30" t="n"/>
      <c r="X104" s="30">
        <f>AA104-W104</f>
        <v/>
      </c>
      <c r="Y104" s="32">
        <f>'0₦'!AE103*2  + 0</f>
        <v/>
      </c>
      <c r="Z104" s="279" t="n"/>
      <c r="AA104" s="30">
        <f>SUM(E104:O104)/21*75 + IF(AM104, -(MAX((U104-1800)/10, -40)), 0)+T104 + S104 + (P104-100)*0.5+AI104 +W104</f>
        <v/>
      </c>
      <c r="AD104" s="32" t="n"/>
      <c r="AI104" s="450" t="n"/>
      <c r="AK104" s="45" t="n"/>
      <c r="BG104" s="120" t="n"/>
    </row>
    <row r="105" hidden="1" s="37">
      <c r="A105" s="551" t="n"/>
      <c r="B105" s="550">
        <f>B104+1</f>
        <v/>
      </c>
      <c r="C105" s="45" t="inlineStr">
        <is>
          <t>M</t>
        </is>
      </c>
      <c r="D105" s="30">
        <f>SUM(T105,AA105)</f>
        <v/>
      </c>
      <c r="L105" s="216" t="n"/>
      <c r="P105" s="59" t="n"/>
      <c r="U105" s="31">
        <f>SUM(AM105,AP105,AS105,AV105,AY105,BE105,BB105)</f>
        <v/>
      </c>
      <c r="W105" s="30" t="n"/>
      <c r="X105" s="30">
        <f>AA105-W105</f>
        <v/>
      </c>
      <c r="Y105" s="32">
        <f>'0₦'!AE104*2  + 0</f>
        <v/>
      </c>
      <c r="Z105" s="279" t="n"/>
      <c r="AA105" s="30">
        <f>SUM(E105:O105)/21*75 + IF(AM105, -(MAX((U105-1800)/10, -40)), 0)+T105 + S105 + (P105-100)*0.5+AI105 +W105</f>
        <v/>
      </c>
      <c r="AD105" s="32" t="n"/>
      <c r="AI105" s="450" t="n"/>
      <c r="AK105" s="45" t="n"/>
      <c r="AR105" s="450" t="n"/>
      <c r="BG105" s="120" t="n"/>
    </row>
    <row r="106" hidden="1" s="37">
      <c r="A106" s="551" t="n"/>
      <c r="B106" s="550">
        <f>B105+1</f>
        <v/>
      </c>
      <c r="C106" s="45" t="inlineStr">
        <is>
          <t>T</t>
        </is>
      </c>
      <c r="D106" s="30">
        <f>SUM(T106,AA106)</f>
        <v/>
      </c>
      <c r="L106" s="216" t="n"/>
      <c r="P106" s="59" t="n"/>
      <c r="U106" s="31">
        <f>SUM(AM106,AP106,AS106,AV106,AY106,BE106,BB106)</f>
        <v/>
      </c>
      <c r="W106" s="30" t="n"/>
      <c r="X106" s="30">
        <f>AA106-W106</f>
        <v/>
      </c>
      <c r="Y106" s="32">
        <f>'0₦'!AE105*2  + 0</f>
        <v/>
      </c>
      <c r="Z106" s="279" t="n"/>
      <c r="AA106" s="30">
        <f>SUM(E106:O106)/21*75 + IF(AM106, -(MAX((U106-1800)/10, -40)), 0)+T106 + S106 + (P106-100)*0.5+AI106 +W106</f>
        <v/>
      </c>
      <c r="AD106" s="32" t="n"/>
      <c r="AI106" s="450" t="n"/>
      <c r="AK106" s="45" t="n"/>
      <c r="AR106" s="450" t="n"/>
      <c r="BG106" s="120" t="n"/>
    </row>
    <row r="107" hidden="1" s="37">
      <c r="A107" s="551" t="n"/>
      <c r="B107" s="550">
        <f>B106+1</f>
        <v/>
      </c>
      <c r="C107" s="45" t="inlineStr">
        <is>
          <t>W</t>
        </is>
      </c>
      <c r="D107" s="30">
        <f>SUM(T107,AA107)</f>
        <v/>
      </c>
      <c r="L107" s="216" t="n"/>
      <c r="P107" s="59" t="n"/>
      <c r="U107" s="31">
        <f>SUM(AM107,AP107,AS107,AV107,AY107,BE107,BB107)</f>
        <v/>
      </c>
      <c r="W107" s="30" t="n"/>
      <c r="X107" s="30">
        <f>AA107-W107</f>
        <v/>
      </c>
      <c r="Y107" s="32">
        <f>'0₦'!AE106*2  + 0</f>
        <v/>
      </c>
      <c r="Z107" s="279" t="n"/>
      <c r="AA107" s="30">
        <f>SUM(E107:O107)/21*75 + IF(AM107, -(MAX((U107-1800)/10, -40)), 0)+T107 + S107 + (P107-100)*0.5+AI107 +W107</f>
        <v/>
      </c>
      <c r="AD107" s="32" t="n"/>
      <c r="AI107" s="450" t="n"/>
      <c r="AK107" s="45" t="n"/>
      <c r="BG107" s="120" t="n"/>
    </row>
    <row r="108" hidden="1" s="37">
      <c r="A108" s="551" t="n"/>
      <c r="B108" s="550">
        <f>B107+1</f>
        <v/>
      </c>
      <c r="C108" s="45" t="inlineStr">
        <is>
          <t>Th</t>
        </is>
      </c>
      <c r="D108" s="30">
        <f>SUM(T108,AA108)</f>
        <v/>
      </c>
      <c r="L108" s="216" t="n"/>
      <c r="P108" s="59" t="n"/>
      <c r="U108" s="31">
        <f>SUM(AM108,AP108,AS108,AV108,AY108,BE108,BB108)</f>
        <v/>
      </c>
      <c r="V108" s="483">
        <f>AVERAGE(U108:U114)</f>
        <v/>
      </c>
      <c r="W108" s="30" t="n"/>
      <c r="X108" s="30">
        <f>AA108-W108</f>
        <v/>
      </c>
      <c r="Y108" s="32">
        <f>'0₦'!AE107*2  + 0</f>
        <v/>
      </c>
      <c r="Z108" s="279" t="n"/>
      <c r="AA108" s="30">
        <f>SUM(E108:O108)/21*75 + IF(AM108, -(MAX((U108-1800)/10, -40)), 0)+T108 + S108 + (P108-100)*0.5+AI108 +W108</f>
        <v/>
      </c>
      <c r="AB108" s="477">
        <f>AVERAGE(AA108:AA114)</f>
        <v/>
      </c>
      <c r="AC108" s="498">
        <f>AVERAGE(Y108:Y114)</f>
        <v/>
      </c>
      <c r="AD108" s="32" t="n"/>
      <c r="AF108" s="478">
        <f>SUM(AE108:AE114)</f>
        <v/>
      </c>
      <c r="AG108" s="22" t="n"/>
      <c r="AH108" s="480" t="n"/>
      <c r="AI108" s="450" t="n"/>
      <c r="AK108" s="45" t="n"/>
      <c r="BG108" s="120" t="n"/>
      <c r="BH108" s="445" t="n"/>
      <c r="BI108" s="473" t="n"/>
      <c r="BJ108" s="445" t="n"/>
      <c r="BK108" s="472" t="n"/>
    </row>
    <row r="109" hidden="1" s="37">
      <c r="A109" s="551" t="n"/>
      <c r="B109" s="550">
        <f>B108+1</f>
        <v/>
      </c>
      <c r="C109" s="45" t="inlineStr">
        <is>
          <t>F</t>
        </is>
      </c>
      <c r="D109" s="30">
        <f>SUM(T109,AA109)</f>
        <v/>
      </c>
      <c r="L109" s="216" t="n"/>
      <c r="P109" s="59" t="n"/>
      <c r="U109" s="31">
        <f>SUM(AM109,AP109,AS109,AV109,AY109,BE109,BB109)</f>
        <v/>
      </c>
      <c r="W109" s="30" t="n"/>
      <c r="X109" s="30">
        <f>AA109-W109</f>
        <v/>
      </c>
      <c r="Y109" s="32">
        <f>'0₦'!AE108*2  + 0</f>
        <v/>
      </c>
      <c r="Z109" s="279" t="n"/>
      <c r="AA109" s="30">
        <f>SUM(E109:O109)/21*75 + IF(AM109, -(MAX((U109-1800)/10, -40)), 0)+T109 + S109 + (P109-100)*0.5+AI109 +W109</f>
        <v/>
      </c>
      <c r="AD109" s="32" t="n"/>
      <c r="AI109" s="450" t="n"/>
      <c r="AK109" s="45" t="n"/>
      <c r="BG109" s="120" t="n"/>
      <c r="BM109" s="445">
        <f>SUM(BN109:BO115)</f>
        <v/>
      </c>
      <c r="BN109" s="445">
        <f>COUNTIF('0₦'!L108:L114,"&lt;&gt;")*23</f>
        <v/>
      </c>
      <c r="BO109" s="445" t="n">
        <v>0</v>
      </c>
      <c r="BP109" s="472" t="n"/>
    </row>
    <row r="110" hidden="1" s="37">
      <c r="A110" s="552" t="n"/>
      <c r="B110" s="550">
        <f>B109+1</f>
        <v/>
      </c>
      <c r="C110" s="45" t="inlineStr">
        <is>
          <t>S</t>
        </is>
      </c>
      <c r="D110" s="30">
        <f>SUM(T110,AA110)</f>
        <v/>
      </c>
      <c r="L110" s="216" t="n"/>
      <c r="P110" s="59" t="n"/>
      <c r="U110" s="31">
        <f>SUM(AM110,AP110,AS110,AV110,AY110,BE110,BB110)</f>
        <v/>
      </c>
      <c r="W110" s="30" t="n"/>
      <c r="X110" s="30">
        <f>AA110-W110</f>
        <v/>
      </c>
      <c r="Y110" s="32">
        <f>'0₦'!AE109*2  + 0</f>
        <v/>
      </c>
      <c r="Z110" s="279" t="n"/>
      <c r="AA110" s="30">
        <f>SUM(E110:O110)/21*75 + IF(AM110, -(MAX((U110-1800)/10, -40)), 0)+T110 + S110 + (P110-100)*0.5+AI110 +W110</f>
        <v/>
      </c>
      <c r="AD110" s="32" t="n"/>
      <c r="AI110" s="450" t="n"/>
      <c r="AK110" s="45" t="n"/>
      <c r="AR110" s="450" t="n"/>
      <c r="BG110" s="120" t="n"/>
    </row>
    <row r="111" hidden="1" s="37">
      <c r="A111" s="462">
        <f>A104+0.1</f>
        <v/>
      </c>
      <c r="B111" s="550">
        <f>B110+1</f>
        <v/>
      </c>
      <c r="C111" s="45" t="inlineStr">
        <is>
          <t>S</t>
        </is>
      </c>
      <c r="D111" s="30">
        <f>SUM(T111,AA111)</f>
        <v/>
      </c>
      <c r="L111" s="216" t="n"/>
      <c r="P111" s="59" t="n"/>
      <c r="U111" s="31">
        <f>SUM(AM111,AP111,AS111,AV111,AY111,BE111,BB111)</f>
        <v/>
      </c>
      <c r="W111" s="30" t="n"/>
      <c r="X111" s="30">
        <f>AA111-W111</f>
        <v/>
      </c>
      <c r="Y111" s="32">
        <f>'0₦'!AE110*2  + 0</f>
        <v/>
      </c>
      <c r="Z111" s="279" t="n"/>
      <c r="AA111" s="30">
        <f>SUM(E111:O111)/21*75 + IF(AM111, -(MAX((U111-1800)/10, -40)), 0)+T111 + S111 + (P111-100)*0.5+AI111 +W111</f>
        <v/>
      </c>
      <c r="AD111" s="32" t="n"/>
      <c r="AI111" s="450" t="n"/>
      <c r="AK111" s="45" t="n"/>
      <c r="BG111" s="120" t="n"/>
    </row>
    <row r="112" hidden="1" s="37">
      <c r="A112" s="551" t="n"/>
      <c r="B112" s="550">
        <f>B111+1</f>
        <v/>
      </c>
      <c r="C112" s="45" t="inlineStr">
        <is>
          <t>M</t>
        </is>
      </c>
      <c r="D112" s="30">
        <f>SUM(T112,AA112)</f>
        <v/>
      </c>
      <c r="L112" s="216" t="n"/>
      <c r="P112" s="59" t="n"/>
      <c r="U112" s="31">
        <f>SUM(AM112,AP112,AS112,AV112,AY112,BE112,BB112)</f>
        <v/>
      </c>
      <c r="W112" s="30" t="n"/>
      <c r="X112" s="30">
        <f>AA112-W112</f>
        <v/>
      </c>
      <c r="Y112" s="32">
        <f>'0₦'!AE111*2  + 0</f>
        <v/>
      </c>
      <c r="Z112" s="279" t="n"/>
      <c r="AA112" s="30">
        <f>SUM(E112:O112)/21*75 + IF(AM112, -(MAX((U112-1800)/10, -40)), 0)+T112 + S112 + (P112-100)*0.5+AI112 +W112</f>
        <v/>
      </c>
      <c r="AD112" s="32" t="n"/>
      <c r="AI112" s="450" t="n"/>
      <c r="AK112" s="45" t="n"/>
      <c r="AR112" s="450" t="n"/>
      <c r="BG112" s="120" t="n"/>
    </row>
    <row r="113" hidden="1" s="37">
      <c r="A113" s="551" t="n"/>
      <c r="B113" s="550">
        <f>B112+1</f>
        <v/>
      </c>
      <c r="C113" s="45" t="inlineStr">
        <is>
          <t>T</t>
        </is>
      </c>
      <c r="D113" s="30">
        <f>SUM(T113,AA113)</f>
        <v/>
      </c>
      <c r="L113" s="216" t="n"/>
      <c r="P113" s="59" t="n"/>
      <c r="U113" s="31">
        <f>SUM(AM113,AP113,AS113,AV113,AY113,BE113,BB113)</f>
        <v/>
      </c>
      <c r="W113" s="30" t="n"/>
      <c r="X113" s="30">
        <f>AA113-W113</f>
        <v/>
      </c>
      <c r="Y113" s="32">
        <f>'0₦'!AE112*2  + 0</f>
        <v/>
      </c>
      <c r="Z113" s="279" t="n"/>
      <c r="AA113" s="30">
        <f>SUM(E113:O113)/21*75 + IF(AM113, -(MAX((U113-1800)/10, -40)), 0)+T113 + S113 + (P113-100)*0.5+AI113 +W113</f>
        <v/>
      </c>
      <c r="AD113" s="32" t="n"/>
      <c r="AI113" s="450" t="n"/>
      <c r="AK113" s="45" t="n"/>
      <c r="BG113" s="120" t="n"/>
    </row>
    <row r="114" hidden="1" s="37">
      <c r="A114" s="551" t="n"/>
      <c r="B114" s="550">
        <f>B113+1</f>
        <v/>
      </c>
      <c r="C114" s="45" t="inlineStr">
        <is>
          <t>W</t>
        </is>
      </c>
      <c r="D114" s="30">
        <f>SUM(T114,AA114)</f>
        <v/>
      </c>
      <c r="L114" s="216" t="n"/>
      <c r="P114" s="59" t="n"/>
      <c r="U114" s="31">
        <f>SUM(AM114,AP114,AS114,AV114,AY114,BE114,BB114)</f>
        <v/>
      </c>
      <c r="W114" s="30" t="n"/>
      <c r="X114" s="30">
        <f>AA114-W114</f>
        <v/>
      </c>
      <c r="Y114" s="32">
        <f>'0₦'!AE113*2  + 0</f>
        <v/>
      </c>
      <c r="Z114" s="279" t="n"/>
      <c r="AA114" s="30">
        <f>SUM(E114:O114)/21*75 + IF(AM114, -(MAX((U114-1800)/10, -40)), 0)+T114 + S114 + (P114-100)*0.5+AI114 +W114</f>
        <v/>
      </c>
      <c r="AD114" s="32" t="n"/>
      <c r="AI114" s="450" t="n"/>
      <c r="AK114" s="45" t="n"/>
      <c r="BG114" s="120" t="n"/>
    </row>
    <row r="115" hidden="1" s="37">
      <c r="A115" s="551" t="n"/>
      <c r="B115" s="550">
        <f>B114+1</f>
        <v/>
      </c>
      <c r="C115" s="45" t="inlineStr">
        <is>
          <t>Th</t>
        </is>
      </c>
      <c r="D115" s="30">
        <f>SUM(T115,AA115)</f>
        <v/>
      </c>
      <c r="L115" s="216" t="n"/>
      <c r="P115" s="59" t="n"/>
      <c r="U115" s="31">
        <f>SUM(AM115,AP115,AS115,AV115,AY115,BE115,BB115)</f>
        <v/>
      </c>
      <c r="V115" s="483">
        <f>AVERAGE(U115:U121)</f>
        <v/>
      </c>
      <c r="W115" s="30" t="n"/>
      <c r="X115" s="30">
        <f>AA115-W115</f>
        <v/>
      </c>
      <c r="Y115" s="32">
        <f>'0₦'!AE114*2  + 0</f>
        <v/>
      </c>
      <c r="Z115" s="279" t="n"/>
      <c r="AA115" s="30">
        <f>SUM(E115:O115)/21*75 + IF(AM115, -(MAX((U115-1800)/10, -40)), 0)+T115 + S115 + (P115-100)*0.5+AI115 +W115</f>
        <v/>
      </c>
      <c r="AB115" s="477">
        <f>AVERAGE(AA115:AA121)</f>
        <v/>
      </c>
      <c r="AC115" s="498">
        <f>AVERAGE(Y115:Y121)</f>
        <v/>
      </c>
      <c r="AD115" s="32" t="n"/>
      <c r="AF115" s="478">
        <f>SUM(AE115:AE121)</f>
        <v/>
      </c>
      <c r="AG115" s="22" t="n"/>
      <c r="AH115" s="480" t="n"/>
      <c r="AI115" s="450" t="n"/>
      <c r="AK115" s="45" t="n"/>
      <c r="BG115" s="120" t="n"/>
      <c r="BH115" s="445" t="n"/>
      <c r="BI115" s="473" t="n"/>
      <c r="BJ115" s="445" t="n"/>
      <c r="BK115" s="472" t="n"/>
    </row>
    <row r="116" hidden="1" s="37">
      <c r="A116" s="551" t="n"/>
      <c r="B116" s="550">
        <f>B115+1</f>
        <v/>
      </c>
      <c r="C116" s="45" t="inlineStr">
        <is>
          <t>F</t>
        </is>
      </c>
      <c r="D116" s="30">
        <f>SUM(T116,AA116)</f>
        <v/>
      </c>
      <c r="L116" s="216" t="n"/>
      <c r="P116" s="59" t="n"/>
      <c r="U116" s="31">
        <f>SUM(AM116,AP116,AS116,AV116,AY116,BE116,BB116)</f>
        <v/>
      </c>
      <c r="W116" s="30" t="n"/>
      <c r="X116" s="30">
        <f>AA116-W116</f>
        <v/>
      </c>
      <c r="Y116" s="32">
        <f>'0₦'!AE115*2  + 0</f>
        <v/>
      </c>
      <c r="Z116" s="279" t="n"/>
      <c r="AA116" s="30">
        <f>SUM(E116:O116)/21*75 + IF(AM116, -(MAX((U116-1800)/10, -40)), 0)+T116 + S116 + (P116-100)*0.5+AI116 +W116</f>
        <v/>
      </c>
      <c r="AD116" s="32" t="n"/>
      <c r="AI116" s="450" t="n"/>
      <c r="AK116" s="45" t="n"/>
      <c r="BG116" s="120" t="n"/>
      <c r="BM116" s="445">
        <f>SUM(BN116:BO122)</f>
        <v/>
      </c>
      <c r="BN116" s="445">
        <f>COUNTIF('0₦'!L115:L121,"&lt;&gt;")*23</f>
        <v/>
      </c>
      <c r="BO116" s="445" t="n">
        <v>0</v>
      </c>
      <c r="BP116" s="472" t="n"/>
    </row>
    <row r="117" hidden="1" s="37">
      <c r="A117" s="552" t="n"/>
      <c r="B117" s="550">
        <f>B116+1</f>
        <v/>
      </c>
      <c r="C117" s="45" t="inlineStr">
        <is>
          <t>S</t>
        </is>
      </c>
      <c r="D117" s="30">
        <f>SUM(T117,AA117)</f>
        <v/>
      </c>
      <c r="L117" s="216" t="n"/>
      <c r="P117" s="59" t="n"/>
      <c r="U117" s="31">
        <f>SUM(AM117,AP117,AS117,AV117,AY117,BE117,BB117)</f>
        <v/>
      </c>
      <c r="W117" s="30" t="n"/>
      <c r="X117" s="30">
        <f>AA117-W117</f>
        <v/>
      </c>
      <c r="Y117" s="32">
        <f>'0₦'!AE116*2  + 0</f>
        <v/>
      </c>
      <c r="Z117" s="279" t="n"/>
      <c r="AA117" s="30">
        <f>SUM(E117:O117)/21*75 + IF(AM117, -(MAX((U117-1800)/10, -40)), 0)+T117 + S117 + (P117-100)*0.5+AI117 +W117</f>
        <v/>
      </c>
      <c r="AD117" s="32" t="n"/>
      <c r="AI117" s="450" t="n"/>
      <c r="AK117" s="45" t="n"/>
      <c r="AR117" s="450" t="n"/>
      <c r="BG117" s="120" t="n"/>
    </row>
    <row r="118" hidden="1" s="37">
      <c r="A118" s="462">
        <f>A111+0.1</f>
        <v/>
      </c>
      <c r="B118" s="550">
        <f>B117+1</f>
        <v/>
      </c>
      <c r="C118" s="45" t="inlineStr">
        <is>
          <t>S</t>
        </is>
      </c>
      <c r="D118" s="30">
        <f>SUM(T118,AA118)</f>
        <v/>
      </c>
      <c r="L118" s="216" t="n"/>
      <c r="P118" s="59" t="n"/>
      <c r="U118" s="31">
        <f>SUM(AM118,AP118,AS118,AV118,AY118,BE118,BB118)</f>
        <v/>
      </c>
      <c r="W118" s="30" t="n"/>
      <c r="X118" s="30">
        <f>AA118-W118</f>
        <v/>
      </c>
      <c r="Y118" s="32">
        <f>'0₦'!AE117*2  + 0</f>
        <v/>
      </c>
      <c r="Z118" s="279" t="n"/>
      <c r="AA118" s="30">
        <f>SUM(E118:O118)/21*75 + IF(AM118, -(MAX((U118-1800)/10, -40)), 0)+T118 + S118 + (P118-100)*0.5+AI118 +W118</f>
        <v/>
      </c>
      <c r="AD118" s="32" t="n"/>
      <c r="AI118" s="450" t="n"/>
      <c r="AK118" s="45" t="n"/>
      <c r="BG118" s="120" t="n"/>
    </row>
    <row r="119" hidden="1" s="37">
      <c r="A119" s="551" t="n"/>
      <c r="B119" s="550">
        <f>B118+1</f>
        <v/>
      </c>
      <c r="C119" s="45" t="inlineStr">
        <is>
          <t>M</t>
        </is>
      </c>
      <c r="D119" s="30">
        <f>SUM(T119,AA119)</f>
        <v/>
      </c>
      <c r="L119" s="216" t="n"/>
      <c r="P119" s="59" t="n"/>
      <c r="U119" s="31">
        <f>SUM(AM119,AP119,AS119,AV119,AY119,BE119,BB119)</f>
        <v/>
      </c>
      <c r="W119" s="30" t="n"/>
      <c r="X119" s="30">
        <f>AA119-W119</f>
        <v/>
      </c>
      <c r="Y119" s="32">
        <f>'0₦'!AE118*2  + 0</f>
        <v/>
      </c>
      <c r="Z119" s="279" t="n"/>
      <c r="AA119" s="30">
        <f>SUM(E119:O119)/21*75 + IF(AM119, -(MAX((U119-1800)/10, -40)), 0)+T119 + S119 + (P119-100)*0.5+AI119 +W119</f>
        <v/>
      </c>
      <c r="AD119" s="32" t="n"/>
      <c r="AI119" s="450" t="n"/>
      <c r="AK119" s="45" t="n"/>
      <c r="AR119" s="450" t="n"/>
      <c r="BG119" s="120" t="n"/>
    </row>
    <row r="120" hidden="1" s="37">
      <c r="A120" s="551" t="n"/>
      <c r="B120" s="550">
        <f>B119+1</f>
        <v/>
      </c>
      <c r="C120" s="45" t="inlineStr">
        <is>
          <t>T</t>
        </is>
      </c>
      <c r="D120" s="30">
        <f>SUM(T120,AA120)</f>
        <v/>
      </c>
      <c r="L120" s="216" t="n"/>
      <c r="P120" s="59" t="n"/>
      <c r="U120" s="31">
        <f>SUM(AM120,AP120,AS120,AV120,AY120,BE120,BB120)</f>
        <v/>
      </c>
      <c r="W120" s="30" t="n"/>
      <c r="X120" s="30">
        <f>AA120-W120</f>
        <v/>
      </c>
      <c r="Y120" s="32">
        <f>'0₦'!AE119*2  + 0</f>
        <v/>
      </c>
      <c r="Z120" s="279" t="n"/>
      <c r="AA120" s="30">
        <f>SUM(E120:O120)/21*75 + IF(AM120, -(MAX((U120-1800)/10, -40)), 0)+T120 + S120 + (P120-100)*0.5+AI120 +W120</f>
        <v/>
      </c>
      <c r="AD120" s="32" t="n"/>
      <c r="AI120" s="450" t="n"/>
      <c r="AK120" s="45" t="n"/>
      <c r="BG120" s="120" t="n"/>
    </row>
    <row r="121" hidden="1" s="37">
      <c r="A121" s="551" t="n"/>
      <c r="B121" s="550">
        <f>B120+1</f>
        <v/>
      </c>
      <c r="C121" s="45" t="inlineStr">
        <is>
          <t>W</t>
        </is>
      </c>
      <c r="D121" s="30">
        <f>SUM(T121,AA121)</f>
        <v/>
      </c>
      <c r="L121" s="216" t="n"/>
      <c r="P121" s="59" t="n"/>
      <c r="U121" s="31">
        <f>SUM(AM121,AP121,AS121,AV121,AY121,BE121,BB121)</f>
        <v/>
      </c>
      <c r="W121" s="30" t="n"/>
      <c r="X121" s="30">
        <f>AA121-W121</f>
        <v/>
      </c>
      <c r="Y121" s="32">
        <f>'0₦'!AE120*2  + 0</f>
        <v/>
      </c>
      <c r="Z121" s="279" t="n"/>
      <c r="AA121" s="30">
        <f>SUM(E121:O121)/21*75 + IF(AM121, -(MAX((U121-1800)/10, -40)), 0)+T121 + S121 + (P121-100)*0.5+AI121 +W121</f>
        <v/>
      </c>
      <c r="AD121" s="32" t="n"/>
      <c r="AI121" s="450" t="n"/>
      <c r="AK121" s="45" t="n"/>
      <c r="BG121" s="120" t="n"/>
    </row>
    <row r="122" hidden="1" s="37">
      <c r="A122" s="551" t="n"/>
      <c r="B122" s="550">
        <f>B121+1</f>
        <v/>
      </c>
      <c r="C122" s="45" t="inlineStr">
        <is>
          <t>Th</t>
        </is>
      </c>
      <c r="D122" s="30">
        <f>SUM(T122,AA122)</f>
        <v/>
      </c>
      <c r="L122" s="216" t="n"/>
      <c r="P122" s="59" t="n"/>
      <c r="U122" s="31">
        <f>SUM(AM122,AP122,AS122,AV122,AY122,BE122,BB122)</f>
        <v/>
      </c>
      <c r="V122" s="483">
        <f>AVERAGE(U122:U128)</f>
        <v/>
      </c>
      <c r="W122" s="30" t="n"/>
      <c r="X122" s="30">
        <f>AA122-W122</f>
        <v/>
      </c>
      <c r="Y122" s="32">
        <f>'0₦'!AE121*2  + 0</f>
        <v/>
      </c>
      <c r="Z122" s="279" t="n"/>
      <c r="AA122" s="30">
        <f>SUM(E122:O122)/21*75 + IF(AM122, -(MAX((U122-1800)/10, -40)), 0)+T122 + S122 + (P122-100)*0.5+AI122 +W122</f>
        <v/>
      </c>
      <c r="AB122" s="477">
        <f>AVERAGE(AA122:AA128)</f>
        <v/>
      </c>
      <c r="AC122" s="498">
        <f>AVERAGE(Y122:Y128)</f>
        <v/>
      </c>
      <c r="AD122" s="32" t="n"/>
      <c r="AF122" s="478">
        <f>SUM(AE122:AE128)</f>
        <v/>
      </c>
      <c r="AG122" s="22" t="n"/>
      <c r="AH122" s="480" t="n"/>
      <c r="AI122" s="450" t="n"/>
      <c r="AK122" s="45" t="n"/>
      <c r="BG122" s="120" t="n"/>
      <c r="BH122" s="445" t="n"/>
      <c r="BI122" s="473" t="n"/>
      <c r="BJ122" s="445" t="n"/>
      <c r="BK122" s="472" t="n"/>
    </row>
    <row r="123" hidden="1" s="37">
      <c r="A123" s="551" t="n"/>
      <c r="B123" s="550">
        <f>B122+1</f>
        <v/>
      </c>
      <c r="C123" s="45" t="inlineStr">
        <is>
          <t>F</t>
        </is>
      </c>
      <c r="D123" s="30">
        <f>SUM(T123,AA123)</f>
        <v/>
      </c>
      <c r="K123" s="512" t="n"/>
      <c r="L123" s="216" t="n"/>
      <c r="P123" s="59" t="n"/>
      <c r="U123" s="31">
        <f>SUM(AM123,AP123,AS123,AV123,AY123,BE123,BB123)</f>
        <v/>
      </c>
      <c r="W123" s="30" t="n"/>
      <c r="X123" s="30">
        <f>AA123-W123</f>
        <v/>
      </c>
      <c r="Y123" s="32">
        <f>'0₦'!AE122*2  + 0</f>
        <v/>
      </c>
      <c r="Z123" s="279" t="n"/>
      <c r="AA123" s="30">
        <f>SUM(E123:O123)/21*75 + IF(AM123, -(MAX((U123-1800)/10, -40)), 0)+T123 + S123 + (P123-100)*0.5+AI123 +W123</f>
        <v/>
      </c>
      <c r="AD123" s="32" t="n"/>
      <c r="AI123" s="450" t="n"/>
      <c r="AK123" s="45" t="n"/>
      <c r="BG123" s="120" t="n"/>
      <c r="BM123" s="445">
        <f>SUM(BN123:BO129)</f>
        <v/>
      </c>
      <c r="BN123" s="445">
        <f>COUNTIF('0₦'!L122:L128,"&lt;&gt;")*23</f>
        <v/>
      </c>
      <c r="BO123" s="445" t="n">
        <v>0</v>
      </c>
      <c r="BP123" s="472" t="n"/>
    </row>
    <row r="124" hidden="1" s="37">
      <c r="A124" s="552" t="n"/>
      <c r="B124" s="550">
        <f>B123+1</f>
        <v/>
      </c>
      <c r="C124" s="45" t="inlineStr">
        <is>
          <t>S</t>
        </is>
      </c>
      <c r="D124" s="30">
        <f>SUM(T124,AA124)</f>
        <v/>
      </c>
      <c r="L124" s="216" t="n"/>
      <c r="P124" s="59" t="n"/>
      <c r="U124" s="31">
        <f>SUM(AM124,AP124,AS124,AV124,AY124,BE124,BB124)</f>
        <v/>
      </c>
      <c r="W124" s="30" t="n"/>
      <c r="X124" s="30">
        <f>AA124-W124</f>
        <v/>
      </c>
      <c r="Y124" s="32">
        <f>'0₦'!AE123*2  + 0</f>
        <v/>
      </c>
      <c r="Z124" s="279" t="n"/>
      <c r="AA124" s="30">
        <f>SUM(E124:O124)/21*75 + IF(AM124, -(MAX((U124-1800)/10, -40)), 0)+T124 + S124 + (P124-100)*0.5+AI124 +W124</f>
        <v/>
      </c>
      <c r="AD124" s="32" t="n"/>
      <c r="AI124" s="450" t="n"/>
      <c r="AK124" s="45" t="n"/>
      <c r="AR124" s="450" t="n"/>
      <c r="BG124" s="120" t="n"/>
    </row>
    <row r="125" hidden="1" s="37">
      <c r="A125" s="462">
        <f>A97+1</f>
        <v/>
      </c>
      <c r="B125" s="550">
        <f>B124+1</f>
        <v/>
      </c>
      <c r="C125" s="45" t="inlineStr">
        <is>
          <t>S</t>
        </is>
      </c>
      <c r="D125" s="30">
        <f>SUM(T125,AA125)</f>
        <v/>
      </c>
      <c r="L125" s="216" t="n"/>
      <c r="P125" s="59" t="n"/>
      <c r="U125" s="31">
        <f>SUM(AM125,AP125,AS125,AV125,AY125,BE125,BB125)</f>
        <v/>
      </c>
      <c r="W125" s="30" t="n"/>
      <c r="X125" s="30">
        <f>AA125-W125</f>
        <v/>
      </c>
      <c r="Y125" s="32">
        <f>'0₦'!AE124*2  + 0</f>
        <v/>
      </c>
      <c r="Z125" s="279" t="n"/>
      <c r="AA125" s="30">
        <f>SUM(E125:O125)/21*75 + IF(AM125, -(MAX((U125-1800)/10, -40)), 0)+T125 + S125 + (P125-100)*0.5+AI125 +W125</f>
        <v/>
      </c>
      <c r="AD125" s="32" t="n"/>
      <c r="AI125" s="450" t="n"/>
      <c r="AK125" s="45" t="n"/>
      <c r="BG125" s="120" t="n"/>
    </row>
    <row r="126" hidden="1" s="37">
      <c r="A126" s="551" t="n"/>
      <c r="B126" s="550">
        <f>B125+1</f>
        <v/>
      </c>
      <c r="C126" s="45" t="inlineStr">
        <is>
          <t>M</t>
        </is>
      </c>
      <c r="D126" s="30">
        <f>SUM(T126,AA126)</f>
        <v/>
      </c>
      <c r="L126" s="216" t="n"/>
      <c r="P126" s="59" t="n"/>
      <c r="U126" s="31">
        <f>SUM(AM126,AP126,AS126,AV126,AY126,BE126,BB126)</f>
        <v/>
      </c>
      <c r="W126" s="30" t="n"/>
      <c r="X126" s="30">
        <f>AA126-W126</f>
        <v/>
      </c>
      <c r="Y126" s="32">
        <f>'0₦'!AE125*2  + 0</f>
        <v/>
      </c>
      <c r="Z126" s="279" t="n"/>
      <c r="AA126" s="30">
        <f>SUM(E126:O126)/21*75 + IF(AM126, -(MAX((U126-1800)/10, -40)), 0)+T126 + S126 + (P126-100)*0.5+AI126 +W126</f>
        <v/>
      </c>
      <c r="AD126" s="32" t="n"/>
      <c r="AI126" s="450" t="n"/>
      <c r="AK126" s="45" t="n"/>
      <c r="AR126" s="450" t="n"/>
      <c r="BG126" s="120" t="n"/>
    </row>
    <row r="127" hidden="1" s="37">
      <c r="A127" s="551" t="n"/>
      <c r="B127" s="550">
        <f>B126+1</f>
        <v/>
      </c>
      <c r="C127" s="45" t="inlineStr">
        <is>
          <t>T</t>
        </is>
      </c>
      <c r="D127" s="30">
        <f>SUM(T127,AA127)</f>
        <v/>
      </c>
      <c r="L127" s="216" t="n"/>
      <c r="P127" s="59" t="n"/>
      <c r="U127" s="31">
        <f>SUM(AM127,AP127,AS127,AV127,AY127,BE127,BB127)</f>
        <v/>
      </c>
      <c r="W127" s="30" t="n"/>
      <c r="X127" s="30">
        <f>AA127-W127</f>
        <v/>
      </c>
      <c r="Y127" s="32">
        <f>'0₦'!AE126*2  + 0</f>
        <v/>
      </c>
      <c r="Z127" s="279" t="n"/>
      <c r="AA127" s="30">
        <f>SUM(E127:O127)/21*75 + IF(AM127, -(MAX((U127-1800)/10, -40)), 0)+T127 + S127 + (P127-100)*0.5+AI127 +W127</f>
        <v/>
      </c>
      <c r="AD127" s="32" t="n"/>
      <c r="AI127" s="450" t="n"/>
      <c r="AK127" s="45" t="n"/>
      <c r="BG127" s="120" t="n"/>
    </row>
    <row r="128" hidden="1" s="37">
      <c r="A128" s="551" t="n"/>
      <c r="B128" s="550">
        <f>B127+1</f>
        <v/>
      </c>
      <c r="C128" s="45" t="inlineStr">
        <is>
          <t>W</t>
        </is>
      </c>
      <c r="D128" s="30">
        <f>SUM(T128,AA128)</f>
        <v/>
      </c>
      <c r="L128" s="216" t="n"/>
      <c r="P128" s="59" t="n"/>
      <c r="U128" s="31">
        <f>SUM(AM128,AP128,AS128,AV128,AY128,BE128,BB128)</f>
        <v/>
      </c>
      <c r="W128" s="30" t="n"/>
      <c r="X128" s="30">
        <f>AA128-W128</f>
        <v/>
      </c>
      <c r="Y128" s="32">
        <f>'0₦'!AE127*2  + 0</f>
        <v/>
      </c>
      <c r="Z128" s="279" t="n"/>
      <c r="AA128" s="30">
        <f>SUM(E128:O128)/21*75 + IF(AM128, -(MAX((U128-1800)/10, -40)), 0)+T128 + S128 + (P128-100)*0.5+AI128 +W128</f>
        <v/>
      </c>
      <c r="AD128" s="32" t="n"/>
      <c r="AI128" s="450" t="n"/>
      <c r="AK128" s="45" t="n"/>
      <c r="BG128" s="120" t="n"/>
    </row>
    <row r="129" hidden="1" s="37">
      <c r="A129" s="551" t="n"/>
      <c r="B129" s="550">
        <f>B128+1</f>
        <v/>
      </c>
      <c r="C129" s="45" t="inlineStr">
        <is>
          <t>Th</t>
        </is>
      </c>
      <c r="D129" s="30">
        <f>SUM(T129,AA129)</f>
        <v/>
      </c>
      <c r="L129" s="216" t="n"/>
      <c r="P129" s="59" t="n"/>
      <c r="U129" s="31">
        <f>SUM(AM129,AP129,AS129,AV129,AY129,BE129,BB129)</f>
        <v/>
      </c>
      <c r="V129" s="483">
        <f>AVERAGE(U129:U135)</f>
        <v/>
      </c>
      <c r="W129" s="30" t="n"/>
      <c r="X129" s="30">
        <f>AA129-W129</f>
        <v/>
      </c>
      <c r="Y129" s="32">
        <f>'0₦'!AE128*2  + 0</f>
        <v/>
      </c>
      <c r="Z129" s="279" t="n"/>
      <c r="AA129" s="30">
        <f>SUM(E129:O129)/21*75 + IF(AM129, -(MAX((U129-1800)/10, -40)), 0)+T129 + S129 + (P129-100)*0.5+AI129 +W129</f>
        <v/>
      </c>
      <c r="AB129" s="477">
        <f>AVERAGE(AA129:AA135)</f>
        <v/>
      </c>
      <c r="AC129" s="498">
        <f>AVERAGE(Y129:Y135)</f>
        <v/>
      </c>
      <c r="AD129" s="32" t="n"/>
      <c r="AF129" s="478">
        <f>SUM(AE129:AE135)</f>
        <v/>
      </c>
      <c r="AG129" s="22" t="n"/>
      <c r="AH129" s="480" t="n"/>
      <c r="AI129" s="450" t="n"/>
      <c r="AK129" s="45" t="n"/>
      <c r="BG129" s="120" t="n"/>
      <c r="BH129" s="445" t="n"/>
      <c r="BI129" s="473" t="n"/>
      <c r="BJ129" s="445" t="n"/>
      <c r="BK129" s="472" t="n"/>
    </row>
    <row r="130" hidden="1" s="37">
      <c r="A130" s="551" t="n"/>
      <c r="B130" s="550">
        <f>B129+1</f>
        <v/>
      </c>
      <c r="C130" s="45" t="inlineStr">
        <is>
          <t>F</t>
        </is>
      </c>
      <c r="D130" s="30">
        <f>SUM(T130,AA130)</f>
        <v/>
      </c>
      <c r="L130" s="216" t="n"/>
      <c r="P130" s="59" t="n"/>
      <c r="U130" s="31">
        <f>SUM(AM130,AP130,AS130,AV130,AY130,BE130,BB130)</f>
        <v/>
      </c>
      <c r="W130" s="30" t="n"/>
      <c r="X130" s="30">
        <f>AA130-W130</f>
        <v/>
      </c>
      <c r="Y130" s="32">
        <f>'0₦'!AE129*2  + 0</f>
        <v/>
      </c>
      <c r="Z130" s="279" t="n"/>
      <c r="AA130" s="30">
        <f>SUM(E130:O130)/21*75 + IF(AM130, -(MAX((U130-1800)/10, -40)), 0)+T130 + S130 + (P130-100)*0.5+AI130 +W130</f>
        <v/>
      </c>
      <c r="AD130" s="32" t="n"/>
      <c r="AI130" s="450" t="n"/>
      <c r="AK130" s="45" t="n"/>
      <c r="BG130" s="120" t="n"/>
      <c r="BM130" s="445">
        <f>SUM(BN130:BO136)</f>
        <v/>
      </c>
      <c r="BN130" s="445">
        <f>COUNTIF('0₦'!L129:L135,"&lt;&gt;")*23</f>
        <v/>
      </c>
      <c r="BO130" s="445" t="n">
        <v>0</v>
      </c>
      <c r="BP130" s="472" t="n"/>
    </row>
    <row r="131" hidden="1" s="37">
      <c r="A131" s="552" t="n"/>
      <c r="B131" s="550">
        <f>B130+1</f>
        <v/>
      </c>
      <c r="C131" s="45" t="inlineStr">
        <is>
          <t>S</t>
        </is>
      </c>
      <c r="D131" s="30">
        <f>SUM(T131,AA131)</f>
        <v/>
      </c>
      <c r="L131" s="216" t="n"/>
      <c r="P131" s="59" t="n"/>
      <c r="U131" s="31">
        <f>SUM(AM131,AP131,AS131,AV131,AY131,BE131,BB131)</f>
        <v/>
      </c>
      <c r="W131" s="30" t="n"/>
      <c r="X131" s="30">
        <f>AA131-W131</f>
        <v/>
      </c>
      <c r="Y131" s="32">
        <f>'0₦'!AE130*2  + 0</f>
        <v/>
      </c>
      <c r="Z131" s="279" t="n"/>
      <c r="AA131" s="30">
        <f>SUM(E131:O131)/21*75 + IF(AM131, -(MAX((U131-1800)/10, -40)), 0)+T131 + S131 + (P131-100)*0.5+AI131 +W131</f>
        <v/>
      </c>
      <c r="AD131" s="32" t="n"/>
      <c r="AI131" s="450" t="n"/>
      <c r="AK131" s="45" t="n"/>
      <c r="AR131" s="450" t="n"/>
      <c r="BG131" s="120" t="n"/>
    </row>
    <row r="132" hidden="1" s="37">
      <c r="A132" s="462">
        <f>A125+0.1</f>
        <v/>
      </c>
      <c r="B132" s="550">
        <f>B131+1</f>
        <v/>
      </c>
      <c r="C132" s="45" t="inlineStr">
        <is>
          <t>S</t>
        </is>
      </c>
      <c r="D132" s="30">
        <f>SUM(T132,AA132)</f>
        <v/>
      </c>
      <c r="L132" s="216" t="n"/>
      <c r="P132" s="59" t="n"/>
      <c r="U132" s="31">
        <f>SUM(AM132,AP132,AS132,AV132,AY132,BE132,BB132)</f>
        <v/>
      </c>
      <c r="W132" s="30" t="n"/>
      <c r="X132" s="30">
        <f>AA132-W132</f>
        <v/>
      </c>
      <c r="Y132" s="32">
        <f>'0₦'!AE131*2  + 0</f>
        <v/>
      </c>
      <c r="Z132" s="279" t="n"/>
      <c r="AA132" s="30">
        <f>SUM(E132:O132)/21*75 + IF(AM132, -(MAX((U132-1800)/10, -40)), 0)+T132 + S132 + (P132-100)*0.5+AI132 +W132</f>
        <v/>
      </c>
      <c r="AD132" s="32" t="n"/>
      <c r="AI132" s="450" t="n"/>
      <c r="AK132" s="45" t="n"/>
      <c r="BG132" s="120" t="n"/>
    </row>
    <row r="133" hidden="1" s="37">
      <c r="A133" s="551" t="n"/>
      <c r="B133" s="550">
        <f>B132+1</f>
        <v/>
      </c>
      <c r="C133" s="45" t="inlineStr">
        <is>
          <t>M</t>
        </is>
      </c>
      <c r="D133" s="30">
        <f>SUM(T133,AA133)</f>
        <v/>
      </c>
      <c r="L133" s="216" t="n"/>
      <c r="P133" s="59" t="n"/>
      <c r="U133" s="31">
        <f>SUM(AM133,AP133,AS133,AV133,AY133,BE133,BB133)</f>
        <v/>
      </c>
      <c r="W133" s="30" t="n"/>
      <c r="X133" s="30">
        <f>AA133-W133</f>
        <v/>
      </c>
      <c r="Y133" s="32">
        <f>'0₦'!AE132*2  + 0</f>
        <v/>
      </c>
      <c r="Z133" s="279" t="n"/>
      <c r="AA133" s="30">
        <f>SUM(E133:O133)/21*75 + IF(AM133, -(MAX((U133-1800)/10, -40)), 0)+T133 + S133 + (P133-100)*0.5+AI133 +W133</f>
        <v/>
      </c>
      <c r="AD133" s="32" t="n"/>
      <c r="AI133" s="450" t="n"/>
      <c r="AK133" s="45" t="n"/>
      <c r="AR133" s="450" t="n"/>
      <c r="BG133" s="120" t="n"/>
    </row>
    <row r="134" hidden="1" s="37">
      <c r="A134" s="551" t="n"/>
      <c r="B134" s="550">
        <f>B133+1</f>
        <v/>
      </c>
      <c r="C134" s="45" t="inlineStr">
        <is>
          <t>T</t>
        </is>
      </c>
      <c r="D134" s="30">
        <f>SUM(T134,AA134)</f>
        <v/>
      </c>
      <c r="L134" s="216" t="n"/>
      <c r="P134" s="59" t="n"/>
      <c r="U134" s="31">
        <f>SUM(AM134,AP134,AS134,AV134,AY134,BE134,BB134)</f>
        <v/>
      </c>
      <c r="W134" s="30" t="n"/>
      <c r="X134" s="30">
        <f>AA134-W134</f>
        <v/>
      </c>
      <c r="Y134" s="32">
        <f>'0₦'!AE133*2  + 0</f>
        <v/>
      </c>
      <c r="Z134" s="279" t="n"/>
      <c r="AA134" s="30">
        <f>SUM(E134:O134)/21*75 + IF(AM134, -(MAX((U134-1800)/10, -40)), 0)+T134 + S134 + (P134-100)*0.5+AI134 +W134</f>
        <v/>
      </c>
      <c r="AD134" s="32" t="n"/>
      <c r="AI134" s="450" t="n"/>
      <c r="AK134" s="45" t="n"/>
      <c r="BG134" s="120" t="n"/>
    </row>
    <row r="135" hidden="1" s="37">
      <c r="A135" s="551" t="n"/>
      <c r="B135" s="550">
        <f>B134+1</f>
        <v/>
      </c>
      <c r="C135" s="45" t="inlineStr">
        <is>
          <t>W</t>
        </is>
      </c>
      <c r="D135" s="30">
        <f>SUM(T135,AA135)</f>
        <v/>
      </c>
      <c r="L135" s="216" t="n"/>
      <c r="P135" s="59" t="n"/>
      <c r="U135" s="31">
        <f>SUM(AM135,AP135,AS135,AV135,AY135,BE135,BB135)</f>
        <v/>
      </c>
      <c r="W135" s="30" t="n"/>
      <c r="X135" s="30">
        <f>AA135-W135</f>
        <v/>
      </c>
      <c r="Y135" s="32">
        <f>'0₦'!AE134*2  + 0</f>
        <v/>
      </c>
      <c r="Z135" s="279" t="n"/>
      <c r="AA135" s="30">
        <f>SUM(E135:O135)/21*75 + IF(AM135, -(MAX((U135-1800)/10, -40)), 0)+T135 + S135 + (P135-100)*0.5+AI135 +W135</f>
        <v/>
      </c>
      <c r="AD135" s="32" t="n"/>
      <c r="AI135" s="450" t="n"/>
      <c r="AK135" s="45" t="n"/>
      <c r="BG135" s="120" t="n"/>
    </row>
    <row r="136" hidden="1" s="37">
      <c r="A136" s="551" t="n"/>
      <c r="B136" s="550">
        <f>B135+1</f>
        <v/>
      </c>
      <c r="C136" s="45" t="inlineStr">
        <is>
          <t>Th</t>
        </is>
      </c>
      <c r="D136" s="30">
        <f>SUM(T136,AA136)</f>
        <v/>
      </c>
      <c r="L136" s="216" t="n"/>
      <c r="P136" s="59" t="n"/>
      <c r="U136" s="31">
        <f>SUM(AM136,AP136,AS136,AV136,AY136,BE136,BB136)</f>
        <v/>
      </c>
      <c r="V136" s="483">
        <f>AVERAGE(U136:U142)</f>
        <v/>
      </c>
      <c r="W136" s="30" t="n"/>
      <c r="X136" s="30">
        <f>AA136-W136</f>
        <v/>
      </c>
      <c r="Y136" s="32">
        <f>'0₦'!AE135*2  + 0</f>
        <v/>
      </c>
      <c r="Z136" s="279" t="n"/>
      <c r="AA136" s="30">
        <f>SUM(E136:O136)/21*75 + IF(AM136, -(MAX((U136-1800)/10, -40)), 0)+T136 + S136 + (P136-100)*0.5+AI136 +W136</f>
        <v/>
      </c>
      <c r="AB136" s="477">
        <f>AVERAGE(AA136:AA142)</f>
        <v/>
      </c>
      <c r="AC136" s="498">
        <f>AVERAGE(Y136:Y142)</f>
        <v/>
      </c>
      <c r="AD136" s="32" t="n"/>
      <c r="AF136" s="478">
        <f>SUM(AE136:AE142)</f>
        <v/>
      </c>
      <c r="AG136" s="22" t="n"/>
      <c r="AH136" s="480" t="n"/>
      <c r="AI136" s="450" t="n"/>
      <c r="AK136" s="45" t="n"/>
      <c r="BG136" s="120" t="n"/>
      <c r="BH136" s="445" t="n"/>
      <c r="BI136" s="473" t="n"/>
      <c r="BJ136" s="445" t="n"/>
      <c r="BK136" s="472" t="n"/>
    </row>
    <row r="137" hidden="1" s="37">
      <c r="A137" s="551" t="n"/>
      <c r="B137" s="550">
        <f>B136+1</f>
        <v/>
      </c>
      <c r="C137" s="45" t="inlineStr">
        <is>
          <t>F</t>
        </is>
      </c>
      <c r="D137" s="30">
        <f>SUM(T137,AA137)</f>
        <v/>
      </c>
      <c r="L137" s="216" t="n"/>
      <c r="P137" s="59" t="n"/>
      <c r="U137" s="31">
        <f>SUM(AM137,AP137,AS137,AV137,AY137,BE137,BB137)</f>
        <v/>
      </c>
      <c r="W137" s="30" t="n"/>
      <c r="X137" s="30">
        <f>AA137-W137</f>
        <v/>
      </c>
      <c r="Y137" s="32">
        <f>'0₦'!AE136*2  + 0</f>
        <v/>
      </c>
      <c r="Z137" s="279" t="n"/>
      <c r="AA137" s="30">
        <f>SUM(E137:O137)/21*75 + IF(AM137, -(MAX((U137-1800)/10, -40)), 0)+T137 + S137 + (P137-100)*0.5+AI137 +W137</f>
        <v/>
      </c>
      <c r="AD137" s="32" t="n"/>
      <c r="AI137" s="450" t="n"/>
      <c r="AK137" s="45" t="n"/>
      <c r="BG137" s="120" t="n"/>
      <c r="BP137" s="473" t="n"/>
    </row>
    <row r="138" hidden="1" s="37">
      <c r="A138" s="552" t="n"/>
      <c r="B138" s="550">
        <f>B137+1</f>
        <v/>
      </c>
      <c r="C138" s="45" t="inlineStr">
        <is>
          <t>S</t>
        </is>
      </c>
      <c r="D138" s="30">
        <f>SUM(T138,AA138)</f>
        <v/>
      </c>
      <c r="L138" s="216" t="n"/>
      <c r="P138" s="59" t="n"/>
      <c r="U138" s="31">
        <f>SUM(AM138,AP138,AS138,AV138,AY138,BE138,BB138)</f>
        <v/>
      </c>
      <c r="W138" s="30" t="n"/>
      <c r="X138" s="30">
        <f>AA138-W138</f>
        <v/>
      </c>
      <c r="Y138" s="32">
        <f>'0₦'!AE137*2  + 0</f>
        <v/>
      </c>
      <c r="Z138" s="279" t="n"/>
      <c r="AA138" s="30">
        <f>SUM(E138:O138)/21*75 + IF(AM138, -(MAX((U138-1800)/10, -40)), 0)+T138 + S138 + (P138-100)*0.5+AI138 +W138</f>
        <v/>
      </c>
      <c r="AD138" s="32" t="n"/>
      <c r="AI138" s="450" t="n"/>
      <c r="AK138" s="45" t="n"/>
      <c r="AR138" s="450" t="n"/>
      <c r="BG138" s="120" t="n"/>
      <c r="BP138" s="473" t="n"/>
    </row>
    <row r="139" hidden="1" s="37">
      <c r="A139" s="462">
        <f>A132+0.1</f>
        <v/>
      </c>
      <c r="B139" s="550">
        <f>B138+1</f>
        <v/>
      </c>
      <c r="C139" s="45" t="inlineStr">
        <is>
          <t>S</t>
        </is>
      </c>
      <c r="D139" s="30">
        <f>SUM(T139,AA139)</f>
        <v/>
      </c>
      <c r="L139" s="216" t="n"/>
      <c r="P139" s="59" t="n"/>
      <c r="U139" s="31">
        <f>SUM(AM139,AP139,AS139,AV139,AY139,BE139,BB139)</f>
        <v/>
      </c>
      <c r="W139" s="30" t="n"/>
      <c r="X139" s="30">
        <f>AA139-W139</f>
        <v/>
      </c>
      <c r="Y139" s="32">
        <f>'0₦'!AE138*2  + 0</f>
        <v/>
      </c>
      <c r="Z139" s="279" t="n"/>
      <c r="AA139" s="30">
        <f>SUM(E139:O139)/21*75 + IF(AM139, -(MAX((U139-1800)/10, -40)), 0)+T139 + S139 + (P139-100)*0.5+AI139 +W139</f>
        <v/>
      </c>
      <c r="AD139" s="32" t="n"/>
      <c r="AI139" s="450" t="n"/>
      <c r="AK139" s="45" t="n"/>
      <c r="BG139" s="120" t="n"/>
      <c r="BP139" s="473" t="n"/>
    </row>
    <row r="140" hidden="1" s="37">
      <c r="A140" s="551" t="n"/>
      <c r="B140" s="550">
        <f>B139+1</f>
        <v/>
      </c>
      <c r="C140" s="45" t="inlineStr">
        <is>
          <t>M</t>
        </is>
      </c>
      <c r="D140" s="30">
        <f>SUM(T140,AA140)</f>
        <v/>
      </c>
      <c r="L140" s="216" t="n"/>
      <c r="P140" s="59" t="n"/>
      <c r="U140" s="31">
        <f>SUM(AM140,AP140,AS140,AV140,AY140,BE140,BB140)</f>
        <v/>
      </c>
      <c r="W140" s="30" t="n"/>
      <c r="X140" s="30">
        <f>AA140-W140</f>
        <v/>
      </c>
      <c r="Y140" s="32">
        <f>'0₦'!AE139*2  + 0</f>
        <v/>
      </c>
      <c r="Z140" s="279" t="n"/>
      <c r="AA140" s="30">
        <f>SUM(E140:O140)/21*75 + IF(AM140, -(MAX((U140-1800)/10, -40)), 0)+T140 + S140 + (P140-100)*0.5+AI140 +W140</f>
        <v/>
      </c>
      <c r="AD140" s="32" t="n"/>
      <c r="AI140" s="450" t="n"/>
      <c r="AK140" s="45" t="n"/>
      <c r="AR140" s="450" t="n"/>
      <c r="BG140" s="120" t="n"/>
      <c r="BP140" s="473" t="n"/>
    </row>
    <row r="141" hidden="1" s="37">
      <c r="A141" s="551" t="n"/>
      <c r="B141" s="550">
        <f>B140+1</f>
        <v/>
      </c>
      <c r="C141" s="45" t="inlineStr">
        <is>
          <t>T</t>
        </is>
      </c>
      <c r="D141" s="30">
        <f>SUM(T141,AA141)</f>
        <v/>
      </c>
      <c r="L141" s="216" t="n"/>
      <c r="P141" s="59" t="n"/>
      <c r="U141" s="31">
        <f>SUM(AM141,AP141,AS141,AV141,AY141,BE141,BB141)</f>
        <v/>
      </c>
      <c r="W141" s="30" t="n"/>
      <c r="X141" s="30">
        <f>AA141-W141</f>
        <v/>
      </c>
      <c r="Y141" s="32">
        <f>'0₦'!AE140*2  + 0</f>
        <v/>
      </c>
      <c r="Z141" s="279" t="n"/>
      <c r="AA141" s="30">
        <f>SUM(E141:O141)/21*75 + IF(AM141, -(MAX((U141-1800)/10, -40)), 0)+T141 + S141 + (P141-100)*0.5+AI141 +W141</f>
        <v/>
      </c>
      <c r="AD141" s="32" t="n"/>
      <c r="AI141" s="450" t="n"/>
      <c r="AK141" s="45" t="n"/>
      <c r="BG141" s="120" t="n"/>
      <c r="BP141" s="473" t="n"/>
    </row>
    <row r="142" hidden="1" s="37">
      <c r="A142" s="551" t="n"/>
      <c r="B142" s="550">
        <f>B141+1</f>
        <v/>
      </c>
      <c r="C142" s="45" t="inlineStr">
        <is>
          <t>W</t>
        </is>
      </c>
      <c r="D142" s="30">
        <f>SUM(T142,AA142)</f>
        <v/>
      </c>
      <c r="L142" s="216" t="n"/>
      <c r="P142" s="59" t="n"/>
      <c r="U142" s="31">
        <f>SUM(AM142,AP142,AS142,AV142,AY142,BE142,BB142)</f>
        <v/>
      </c>
      <c r="W142" s="30" t="n"/>
      <c r="X142" s="30">
        <f>AA142-W142</f>
        <v/>
      </c>
      <c r="Y142" s="32">
        <f>'0₦'!AE141*2  + 0</f>
        <v/>
      </c>
      <c r="Z142" s="279" t="n"/>
      <c r="AA142" s="30">
        <f>SUM(E142:O142)/21*75 + IF(AM142, -(MAX((U142-1800)/10, -40)), 0)+T142 + S142 + (P142-100)*0.5+AI142 +W142</f>
        <v/>
      </c>
      <c r="AD142" s="32" t="n"/>
      <c r="AI142" s="450" t="n"/>
      <c r="AK142" s="45" t="n"/>
      <c r="BG142" s="120" t="n"/>
      <c r="BP142" s="473" t="n"/>
    </row>
    <row r="143" hidden="1" s="37">
      <c r="A143" s="551" t="n"/>
      <c r="B143" s="550">
        <f>B142+1</f>
        <v/>
      </c>
      <c r="C143" s="45" t="inlineStr">
        <is>
          <t>Th</t>
        </is>
      </c>
      <c r="D143" s="30">
        <f>SUM(T143,AA143)</f>
        <v/>
      </c>
      <c r="L143" s="216" t="n"/>
      <c r="P143" s="59" t="n"/>
      <c r="T143" s="512" t="n"/>
      <c r="U143" s="31">
        <f>SUM(AM143,AP143,AS143,AV143,AY143,BE143,BB143)</f>
        <v/>
      </c>
      <c r="V143" s="483">
        <f>AVERAGE(U143:U149)</f>
        <v/>
      </c>
      <c r="W143" s="30" t="n"/>
      <c r="X143" s="30">
        <f>AA143-W143</f>
        <v/>
      </c>
      <c r="Y143" s="32">
        <f>'0₦'!AE142*2  + 0</f>
        <v/>
      </c>
      <c r="Z143" s="279" t="n"/>
      <c r="AA143" s="30">
        <f>SUM(E143:O143)/21*75 + IF(AM143, -(MAX((U143-1800)/10, -40)), 0)+T143 + S143 + (P143-100)*0.5+AI143 +W143</f>
        <v/>
      </c>
      <c r="AB143" s="477">
        <f>AVERAGE(AA143:AA149)</f>
        <v/>
      </c>
      <c r="AC143" s="498">
        <f>AVERAGE(Y143:Y149)</f>
        <v/>
      </c>
      <c r="AD143" s="32" t="n"/>
      <c r="AF143" s="478">
        <f>SUM(AE143:AE149)</f>
        <v/>
      </c>
      <c r="AG143" s="22" t="n"/>
      <c r="AH143" s="480" t="n"/>
      <c r="AI143" s="450" t="n"/>
      <c r="AK143" s="45" t="n"/>
      <c r="BG143" s="120" t="n"/>
      <c r="BH143" s="445" t="n"/>
      <c r="BI143" s="473" t="n"/>
      <c r="BJ143" s="445" t="n"/>
      <c r="BK143" s="472" t="n"/>
      <c r="BP143" s="473" t="n"/>
    </row>
    <row r="144" hidden="1" s="37">
      <c r="A144" s="551" t="n"/>
      <c r="B144" s="550">
        <f>B143+1</f>
        <v/>
      </c>
      <c r="C144" s="45" t="inlineStr">
        <is>
          <t>F</t>
        </is>
      </c>
      <c r="D144" s="30">
        <f>SUM(T144,AA144)</f>
        <v/>
      </c>
      <c r="L144" s="216" t="n"/>
      <c r="P144" s="59" t="n"/>
      <c r="U144" s="31">
        <f>SUM(AM144,AP144,AS144,AV144,AY144,BE144,BB144)</f>
        <v/>
      </c>
      <c r="W144" s="30" t="n"/>
      <c r="X144" s="30">
        <f>AA144-W144</f>
        <v/>
      </c>
      <c r="Y144" s="32">
        <f>'0₦'!AE143*2  + 0</f>
        <v/>
      </c>
      <c r="Z144" s="279" t="n"/>
      <c r="AA144" s="30">
        <f>SUM(E144:O144)/21*75 + IF(AM144, -(MAX((U144-1800)/10, -40)), 0)+T144 + S144 + (P144-100)*0.5+AI144 +W144</f>
        <v/>
      </c>
      <c r="AD144" s="32" t="n"/>
      <c r="AI144" s="450" t="n"/>
      <c r="AK144" s="45" t="n"/>
      <c r="BG144" s="120" t="n"/>
      <c r="BP144" s="473" t="n"/>
    </row>
    <row r="145" hidden="1" s="37">
      <c r="A145" s="552" t="n"/>
      <c r="B145" s="550">
        <f>B144+1</f>
        <v/>
      </c>
      <c r="C145" s="45" t="inlineStr">
        <is>
          <t>S</t>
        </is>
      </c>
      <c r="D145" s="30">
        <f>SUM(T145,AA145)</f>
        <v/>
      </c>
      <c r="L145" s="216" t="n"/>
      <c r="P145" s="59" t="n"/>
      <c r="U145" s="31">
        <f>SUM(AM145,AP145,AS145,AV145,AY145,BE145,BB145)</f>
        <v/>
      </c>
      <c r="W145" s="30" t="n"/>
      <c r="X145" s="30">
        <f>AA145-W145</f>
        <v/>
      </c>
      <c r="Y145" s="32">
        <f>'0₦'!AE144*2  + 0</f>
        <v/>
      </c>
      <c r="Z145" s="279" t="n"/>
      <c r="AA145" s="30">
        <f>SUM(E145:O145)/21*75 + IF(AM145, -(MAX((U145-1800)/10, -40)), 0)+T145 + S145 + (P145-100)*0.5+AI145 +W145</f>
        <v/>
      </c>
      <c r="AD145" s="32" t="n"/>
      <c r="AI145" s="450" t="n"/>
      <c r="AK145" s="45" t="n"/>
      <c r="AR145" s="450" t="n"/>
      <c r="BG145" s="120" t="n"/>
      <c r="BP145" s="473" t="n"/>
    </row>
    <row r="146" hidden="1" s="37">
      <c r="A146" s="462">
        <f>A139+0.1</f>
        <v/>
      </c>
      <c r="B146" s="550">
        <f>B145+1</f>
        <v/>
      </c>
      <c r="C146" s="45" t="inlineStr">
        <is>
          <t>S</t>
        </is>
      </c>
      <c r="D146" s="30">
        <f>SUM(T146,AA146)</f>
        <v/>
      </c>
      <c r="L146" s="216" t="n"/>
      <c r="P146" s="59" t="n"/>
      <c r="U146" s="31">
        <f>SUM(AM146,AP146,AS146,AV146,AY146,BE146,BB146)</f>
        <v/>
      </c>
      <c r="W146" s="30" t="n"/>
      <c r="X146" s="30">
        <f>AA146-W146</f>
        <v/>
      </c>
      <c r="Y146" s="32">
        <f>'0₦'!AE145*2  + 0</f>
        <v/>
      </c>
      <c r="Z146" s="279" t="n"/>
      <c r="AA146" s="30">
        <f>SUM(E146:O146)/21*75 + IF(AM146, -(MAX((U146-1800)/10, -40)), 0)+T146 + S146 + (P146-100)*0.5+AI146 +W146</f>
        <v/>
      </c>
      <c r="AD146" s="32" t="n"/>
      <c r="AI146" s="450" t="n"/>
      <c r="AK146" s="45" t="n"/>
      <c r="BG146" s="120" t="n"/>
      <c r="BP146" s="473" t="n"/>
    </row>
    <row r="147" hidden="1" s="37">
      <c r="A147" s="551" t="n"/>
      <c r="B147" s="550">
        <f>B146+1</f>
        <v/>
      </c>
      <c r="C147" s="45" t="inlineStr">
        <is>
          <t>M</t>
        </is>
      </c>
      <c r="D147" s="30">
        <f>SUM(T147,AA147)</f>
        <v/>
      </c>
      <c r="L147" s="216" t="n"/>
      <c r="P147" s="59" t="n"/>
      <c r="U147" s="31">
        <f>SUM(AM147,AP147,AS147,AV147,AY147,BE147,BB147)</f>
        <v/>
      </c>
      <c r="W147" s="30" t="n"/>
      <c r="X147" s="30">
        <f>AA147-W147</f>
        <v/>
      </c>
      <c r="Y147" s="32">
        <f>'0₦'!AE146*2  + 0</f>
        <v/>
      </c>
      <c r="Z147" s="279" t="n"/>
      <c r="AA147" s="30">
        <f>SUM(E147:O147)/21*75 + IF(AM147, -(MAX((U147-1800)/10, -40)), 0)+T147 + S147 + (P147-100)*0.5+AI147 +W147</f>
        <v/>
      </c>
      <c r="AD147" s="32" t="n"/>
      <c r="AI147" s="450" t="n"/>
      <c r="AK147" s="45" t="n"/>
      <c r="AR147" s="450" t="n"/>
      <c r="BG147" s="120" t="n"/>
      <c r="BP147" s="473" t="n"/>
    </row>
    <row r="148" hidden="1" s="37">
      <c r="A148" s="551" t="n"/>
      <c r="B148" s="550">
        <f>B147+1</f>
        <v/>
      </c>
      <c r="C148" s="45" t="inlineStr">
        <is>
          <t>T</t>
        </is>
      </c>
      <c r="D148" s="30">
        <f>SUM(T148,AA148)</f>
        <v/>
      </c>
      <c r="L148" s="216" t="n"/>
      <c r="P148" s="59" t="n"/>
      <c r="U148" s="31">
        <f>SUM(AM148,AP148,AS148,AV148,AY148,BE148,BB148)</f>
        <v/>
      </c>
      <c r="W148" s="30" t="n"/>
      <c r="X148" s="30">
        <f>AA148-W148</f>
        <v/>
      </c>
      <c r="Y148" s="32">
        <f>'0₦'!AE147*2  + 0</f>
        <v/>
      </c>
      <c r="Z148" s="279" t="n"/>
      <c r="AA148" s="30">
        <f>SUM(E148:O148)/21*75 + IF(AM148, -(MAX((U148-1800)/10, -40)), 0)+T148 + S148 + (P148-100)*0.5+AI148 +W148</f>
        <v/>
      </c>
      <c r="AD148" s="32" t="n"/>
      <c r="AI148" s="450" t="n"/>
      <c r="AK148" s="45" t="n"/>
      <c r="BG148" s="120" t="n"/>
      <c r="BP148" s="473" t="n"/>
    </row>
    <row r="149" hidden="1" s="37">
      <c r="A149" s="551" t="n"/>
      <c r="B149" s="550">
        <f>B148+1</f>
        <v/>
      </c>
      <c r="C149" s="45" t="inlineStr">
        <is>
          <t>W</t>
        </is>
      </c>
      <c r="D149" s="30">
        <f>SUM(T149,AA149)</f>
        <v/>
      </c>
      <c r="L149" s="216" t="n"/>
      <c r="P149" s="59" t="n"/>
      <c r="U149" s="31">
        <f>SUM(AM149,AP149,AS149,AV149,AY149,BE149,BB149)</f>
        <v/>
      </c>
      <c r="W149" s="30" t="n"/>
      <c r="X149" s="30">
        <f>AA149-W149</f>
        <v/>
      </c>
      <c r="Y149" s="32">
        <f>'0₦'!AE148*2  + 0</f>
        <v/>
      </c>
      <c r="Z149" s="279" t="n"/>
      <c r="AA149" s="30">
        <f>SUM(E149:O149)/21*75 + IF(AM149, -(MAX((U149-1800)/10, -40)), 0)+T149 + S149 + (P149-100)*0.5+AI149 +W149</f>
        <v/>
      </c>
      <c r="AD149" s="32" t="n"/>
      <c r="AI149" s="450" t="n"/>
      <c r="AK149" s="45" t="n"/>
      <c r="BG149" s="120" t="n"/>
      <c r="BP149" s="473" t="n"/>
    </row>
    <row r="150" hidden="1" s="37">
      <c r="A150" s="551" t="n"/>
      <c r="B150" s="550">
        <f>B149+1</f>
        <v/>
      </c>
      <c r="C150" s="45" t="inlineStr">
        <is>
          <t>Th</t>
        </is>
      </c>
      <c r="D150" s="30">
        <f>SUM(T150,AA150)</f>
        <v/>
      </c>
      <c r="L150" s="216" t="n"/>
      <c r="P150" s="59" t="n"/>
      <c r="U150" s="31">
        <f>SUM(AM150,AP150,AS150,AV150,AY150,BE150,BB150)</f>
        <v/>
      </c>
      <c r="V150" s="483">
        <f>AVERAGE(U150:U156)</f>
        <v/>
      </c>
      <c r="W150" s="30" t="n"/>
      <c r="X150" s="30">
        <f>AA150-W150</f>
        <v/>
      </c>
      <c r="Y150" s="32">
        <f>'0₦'!AE149*2  + 0</f>
        <v/>
      </c>
      <c r="Z150" s="279" t="n"/>
      <c r="AA150" s="30">
        <f>SUM(E150:O150)/21*75 + IF(AM150, -(MAX((U150-1800)/10, -40)), 0)+T150 + S150 + (P150-100)*0.5+AI150 +W150</f>
        <v/>
      </c>
      <c r="AB150" s="477">
        <f>AVERAGE(AA150:AA156)</f>
        <v/>
      </c>
      <c r="AC150" s="498">
        <f>AVERAGE(Y150:Y156)</f>
        <v/>
      </c>
      <c r="AD150" s="32" t="n"/>
      <c r="AF150" s="478">
        <f>SUM(AE150:AE156)</f>
        <v/>
      </c>
      <c r="AG150" s="22" t="n"/>
      <c r="AH150" s="480" t="n"/>
      <c r="AI150" s="450" t="n"/>
      <c r="AK150" s="45" t="n"/>
      <c r="BG150" s="120" t="n"/>
      <c r="BH150" s="445" t="n"/>
      <c r="BI150" s="473" t="n"/>
      <c r="BJ150" s="445" t="n"/>
      <c r="BK150" s="472" t="n"/>
      <c r="BP150" s="473" t="n"/>
    </row>
    <row r="151" hidden="1" s="37">
      <c r="A151" s="551" t="n"/>
      <c r="B151" s="550">
        <f>B150+1</f>
        <v/>
      </c>
      <c r="C151" s="45" t="inlineStr">
        <is>
          <t>F</t>
        </is>
      </c>
      <c r="D151" s="30">
        <f>SUM(T151,AA151)</f>
        <v/>
      </c>
      <c r="L151" s="216" t="n"/>
      <c r="P151" s="59" t="n"/>
      <c r="U151" s="31">
        <f>SUM(AM151,AP151,AS151,AV151,AY151,BE151,BB151)</f>
        <v/>
      </c>
      <c r="W151" s="30" t="n"/>
      <c r="X151" s="30">
        <f>AA151-W151</f>
        <v/>
      </c>
      <c r="Y151" s="32">
        <f>'0₦'!AE150*2  + 0</f>
        <v/>
      </c>
      <c r="Z151" s="279" t="n"/>
      <c r="AA151" s="30">
        <f>SUM(E151:O151)/21*75 + IF(AM151, -(MAX((U151-1800)/10, -40)), 0)+T151 + S151 + (P151-100)*0.5+AI151 +W151</f>
        <v/>
      </c>
      <c r="AD151" s="32" t="n"/>
      <c r="AI151" s="450" t="n"/>
      <c r="AK151" s="45" t="n"/>
      <c r="BG151" s="120" t="n"/>
      <c r="BP151" s="473" t="n"/>
    </row>
    <row r="152" hidden="1" s="37">
      <c r="A152" s="552" t="n"/>
      <c r="B152" s="550">
        <f>B151+1</f>
        <v/>
      </c>
      <c r="C152" s="45" t="inlineStr">
        <is>
          <t>S</t>
        </is>
      </c>
      <c r="D152" s="30">
        <f>SUM(T152,AA152)</f>
        <v/>
      </c>
      <c r="L152" s="216" t="n"/>
      <c r="P152" s="59" t="n"/>
      <c r="U152" s="31">
        <f>SUM(AM152,AP152,AS152,AV152,AY152,BE152,BB152)</f>
        <v/>
      </c>
      <c r="W152" s="30" t="n"/>
      <c r="X152" s="30">
        <f>AA152-W152</f>
        <v/>
      </c>
      <c r="Y152" s="32">
        <f>'0₦'!AE151*2  + 0</f>
        <v/>
      </c>
      <c r="Z152" s="279" t="n"/>
      <c r="AA152" s="30">
        <f>SUM(E152:O152)/21*75 + IF(AM152, -(MAX((U152-1800)/10, -40)), 0)+T152 + S152 + (P152-100)*0.5+AI152 +W152</f>
        <v/>
      </c>
      <c r="AD152" s="32" t="n"/>
      <c r="AI152" s="450" t="n"/>
      <c r="AK152" s="45" t="n"/>
      <c r="AR152" s="450" t="n"/>
      <c r="BG152" s="120" t="n"/>
      <c r="BP152" s="473" t="n"/>
    </row>
    <row r="153" hidden="1" s="37">
      <c r="A153" s="462">
        <f>A125+1</f>
        <v/>
      </c>
      <c r="B153" s="550">
        <f>B152+1</f>
        <v/>
      </c>
      <c r="C153" s="45" t="inlineStr">
        <is>
          <t>S</t>
        </is>
      </c>
      <c r="D153" s="30">
        <f>SUM(T153,AA153)</f>
        <v/>
      </c>
      <c r="L153" s="216" t="n"/>
      <c r="P153" s="59" t="n"/>
      <c r="U153" s="31">
        <f>SUM(AM153,AP153,AS153,AV153,AY153,BE153,BB153)</f>
        <v/>
      </c>
      <c r="W153" s="30" t="n"/>
      <c r="X153" s="30">
        <f>AA153-W153</f>
        <v/>
      </c>
      <c r="Y153" s="32">
        <f>'0₦'!AE152*2  + 0</f>
        <v/>
      </c>
      <c r="Z153" s="279" t="n"/>
      <c r="AA153" s="30">
        <f>SUM(E153:O153)/21*75 + IF(AM153, -(MAX((U153-1800)/10, -40)), 0)+T153 + S153 + (P153-100)*0.5+AI153 +W153</f>
        <v/>
      </c>
      <c r="AD153" s="32" t="n"/>
      <c r="AI153" s="450" t="n"/>
      <c r="AK153" s="45" t="n"/>
      <c r="BG153" s="120" t="n"/>
      <c r="BP153" s="473" t="n"/>
    </row>
    <row r="154" hidden="1" s="37">
      <c r="A154" s="551" t="n"/>
      <c r="B154" s="550">
        <f>B153+1</f>
        <v/>
      </c>
      <c r="C154" s="45" t="inlineStr">
        <is>
          <t>M</t>
        </is>
      </c>
      <c r="D154" s="30">
        <f>SUM(T154,AA154)</f>
        <v/>
      </c>
      <c r="L154" s="216" t="n"/>
      <c r="P154" s="59" t="n"/>
      <c r="U154" s="31">
        <f>SUM(AM154,AP154,AS154,AV154,AY154,BE154,BB154)</f>
        <v/>
      </c>
      <c r="W154" s="30" t="n"/>
      <c r="X154" s="30">
        <f>AA154-W154</f>
        <v/>
      </c>
      <c r="Y154" s="32">
        <f>'0₦'!AE153*2  + 0</f>
        <v/>
      </c>
      <c r="Z154" s="279" t="n"/>
      <c r="AA154" s="30">
        <f>SUM(E154:O154)/21*75 + IF(AM154, -(MAX((U154-1800)/10, -40)), 0)+T154 + S154 + (P154-100)*0.5+AI154 +W154</f>
        <v/>
      </c>
      <c r="AD154" s="32" t="n"/>
      <c r="AI154" s="450" t="n"/>
      <c r="AK154" s="45" t="n"/>
      <c r="AR154" s="450" t="n"/>
      <c r="BG154" s="120" t="n"/>
      <c r="BP154" s="473" t="n"/>
    </row>
    <row r="155" hidden="1" s="37">
      <c r="A155" s="551" t="n"/>
      <c r="B155" s="550">
        <f>B154+1</f>
        <v/>
      </c>
      <c r="C155" s="45" t="inlineStr">
        <is>
          <t>T</t>
        </is>
      </c>
      <c r="D155" s="30">
        <f>SUM(T155,AA155)</f>
        <v/>
      </c>
      <c r="L155" s="216" t="n"/>
      <c r="P155" s="59" t="n"/>
      <c r="U155" s="31">
        <f>SUM(AM155,AP155,AS155,AV155,AY155,BE155,BB155)</f>
        <v/>
      </c>
      <c r="W155" s="30" t="n"/>
      <c r="X155" s="30">
        <f>AA155-W155</f>
        <v/>
      </c>
      <c r="Y155" s="32">
        <f>'0₦'!AE154*2  + 0</f>
        <v/>
      </c>
      <c r="Z155" s="279" t="n"/>
      <c r="AA155" s="30">
        <f>SUM(E155:O155)/21*75 + IF(AM155, -(MAX((U155-1800)/10, -40)), 0)+T155 + S155 + (P155-100)*0.5+AI155 +W155</f>
        <v/>
      </c>
      <c r="AD155" s="32" t="n"/>
      <c r="AI155" s="450" t="n"/>
      <c r="AK155" s="45" t="n"/>
      <c r="BG155" s="120" t="n"/>
      <c r="BP155" s="473" t="n"/>
    </row>
    <row r="156" hidden="1" s="37">
      <c r="A156" s="551" t="n"/>
      <c r="B156" s="550">
        <f>B155+1</f>
        <v/>
      </c>
      <c r="C156" s="45" t="inlineStr">
        <is>
          <t>W</t>
        </is>
      </c>
      <c r="D156" s="30">
        <f>SUM(T156,AA156)</f>
        <v/>
      </c>
      <c r="L156" s="216" t="n"/>
      <c r="P156" s="59" t="n"/>
      <c r="U156" s="31">
        <f>SUM(AM156,AP156,AS156,AV156,AY156,BE156,BB156)</f>
        <v/>
      </c>
      <c r="W156" s="30" t="n"/>
      <c r="X156" s="30">
        <f>AA156-W156</f>
        <v/>
      </c>
      <c r="Y156" s="32">
        <f>'0₦'!AE155*2  + 0</f>
        <v/>
      </c>
      <c r="Z156" s="279" t="n"/>
      <c r="AA156" s="30">
        <f>SUM(E156:O156)/21*75 + IF(AM156, -(MAX((U156-1800)/10, -40)), 0)+T156 + S156 + (P156-100)*0.5+AI156 +W156</f>
        <v/>
      </c>
      <c r="AD156" s="32" t="n"/>
      <c r="AI156" s="450" t="n"/>
      <c r="AK156" s="45" t="n"/>
      <c r="BG156" s="120" t="n"/>
      <c r="BP156" s="473" t="n"/>
    </row>
    <row r="157" hidden="1" s="37">
      <c r="A157" s="551" t="n"/>
      <c r="B157" s="550">
        <f>B156+1</f>
        <v/>
      </c>
      <c r="C157" s="45" t="inlineStr">
        <is>
          <t>Th</t>
        </is>
      </c>
      <c r="D157" s="30">
        <f>SUM(T157,AA157)</f>
        <v/>
      </c>
      <c r="L157" s="216" t="n"/>
      <c r="P157" s="59" t="n"/>
      <c r="U157" s="31">
        <f>SUM(AM157,AP157,AS157,AV157,AY157,BE157,BB157)</f>
        <v/>
      </c>
      <c r="V157" s="483">
        <f>AVERAGE(U157:U163)</f>
        <v/>
      </c>
      <c r="W157" s="30" t="n"/>
      <c r="X157" s="30">
        <f>AA157-W157</f>
        <v/>
      </c>
      <c r="Y157" s="32">
        <f>'0₦'!AE156*2  + 0</f>
        <v/>
      </c>
      <c r="Z157" s="279" t="n"/>
      <c r="AA157" s="30">
        <f>SUM(E157:O157)/21*75 + IF(AM157, -(MAX((U157-1800)/10, -40)), 0)+T157 + S157 + (P157-100)*0.5+AI157 +W157</f>
        <v/>
      </c>
      <c r="AB157" s="477">
        <f>AVERAGE(AA157:AA163)</f>
        <v/>
      </c>
      <c r="AC157" s="498">
        <f>AVERAGE(Y157:Y163)</f>
        <v/>
      </c>
      <c r="AD157" s="32" t="n"/>
      <c r="AF157" s="478">
        <f>SUM(AE157:AE163)</f>
        <v/>
      </c>
      <c r="AG157" s="22" t="n"/>
      <c r="AH157" s="480" t="n"/>
      <c r="AI157" s="450" t="n"/>
      <c r="AK157" s="45" t="n"/>
      <c r="BG157" s="120" t="n"/>
      <c r="BH157" s="445" t="n"/>
      <c r="BI157" s="473" t="n"/>
      <c r="BJ157" s="445" t="n"/>
      <c r="BK157" s="472" t="n"/>
      <c r="BP157" s="473" t="n"/>
    </row>
    <row r="158" hidden="1" s="37">
      <c r="A158" s="551" t="n"/>
      <c r="B158" s="550">
        <f>B157+1</f>
        <v/>
      </c>
      <c r="C158" s="45" t="inlineStr">
        <is>
          <t>F</t>
        </is>
      </c>
      <c r="D158" s="30">
        <f>SUM(T158,AA158)</f>
        <v/>
      </c>
      <c r="L158" s="216" t="n"/>
      <c r="P158" s="59" t="n"/>
      <c r="U158" s="31">
        <f>SUM(AM158,AP158,AS158,AV158,AY158,BE158,BB158)</f>
        <v/>
      </c>
      <c r="W158" s="30" t="n"/>
      <c r="X158" s="30">
        <f>AA158-W158</f>
        <v/>
      </c>
      <c r="Y158" s="32">
        <f>'0₦'!AE157*2  + 0</f>
        <v/>
      </c>
      <c r="Z158" s="279" t="n"/>
      <c r="AA158" s="30">
        <f>SUM(E158:O158)/21*75 + IF(AM158, -(MAX((U158-1800)/10, -40)), 0)+T158 + S158 + (P158-100)*0.5+AI158 +W158</f>
        <v/>
      </c>
      <c r="AD158" s="32" t="n"/>
      <c r="AI158" s="450" t="n"/>
      <c r="AK158" s="45" t="n"/>
      <c r="BG158" s="120" t="n"/>
      <c r="BP158" s="473" t="n"/>
    </row>
    <row r="159" hidden="1" s="37">
      <c r="A159" s="552" t="n"/>
      <c r="B159" s="550">
        <f>B158+1</f>
        <v/>
      </c>
      <c r="C159" s="45" t="inlineStr">
        <is>
          <t>S</t>
        </is>
      </c>
      <c r="D159" s="30">
        <f>SUM(T159,AA159)</f>
        <v/>
      </c>
      <c r="L159" s="216" t="n"/>
      <c r="P159" s="59" t="n"/>
      <c r="U159" s="31">
        <f>SUM(AM159,AP159,AS159,AV159,AY159,BE159,BB159)</f>
        <v/>
      </c>
      <c r="W159" s="30" t="n"/>
      <c r="X159" s="30">
        <f>AA159-W159</f>
        <v/>
      </c>
      <c r="Y159" s="32">
        <f>'0₦'!AE158*2  + 0</f>
        <v/>
      </c>
      <c r="Z159" s="279" t="n"/>
      <c r="AA159" s="30">
        <f>SUM(E159:O159)/21*75 + IF(AM159, -(MAX((U159-1800)/10, -40)), 0)+T159 + S159 + (P159-100)*0.5+AI159 +W159</f>
        <v/>
      </c>
      <c r="AD159" s="32" t="n"/>
      <c r="AI159" s="450" t="n"/>
      <c r="AK159" s="45" t="n"/>
      <c r="AR159" s="450" t="n"/>
      <c r="BG159" s="120" t="n"/>
      <c r="BP159" s="473" t="n"/>
    </row>
    <row r="160" hidden="1" s="37">
      <c r="A160" s="462">
        <f>A153+0.1</f>
        <v/>
      </c>
      <c r="B160" s="550">
        <f>B159+1</f>
        <v/>
      </c>
      <c r="C160" s="45" t="inlineStr">
        <is>
          <t>S</t>
        </is>
      </c>
      <c r="D160" s="30">
        <f>SUM(T160,AA160)</f>
        <v/>
      </c>
      <c r="L160" s="216" t="n"/>
      <c r="P160" s="59" t="n"/>
      <c r="U160" s="31">
        <f>SUM(AM160,AP160,AS160,AV160,AY160,BE160,BB160)</f>
        <v/>
      </c>
      <c r="W160" s="30" t="n"/>
      <c r="X160" s="30">
        <f>AA160-W160</f>
        <v/>
      </c>
      <c r="Y160" s="32">
        <f>'0₦'!AE159*2  + 0</f>
        <v/>
      </c>
      <c r="Z160" s="279" t="n"/>
      <c r="AA160" s="30">
        <f>SUM(E160:O160)/21*75 + IF(AM160, -(MAX((U160-1800)/10, -40)), 0)+T160 + S160 + (P160-100)*0.5+AI160 +W160</f>
        <v/>
      </c>
      <c r="AD160" s="32" t="n"/>
      <c r="AI160" s="450" t="n"/>
      <c r="AK160" s="45" t="n"/>
      <c r="BG160" s="120" t="n"/>
      <c r="BP160" s="473" t="n"/>
    </row>
    <row r="161" hidden="1" s="37">
      <c r="A161" s="551" t="n"/>
      <c r="B161" s="550">
        <f>B160+1</f>
        <v/>
      </c>
      <c r="C161" s="45" t="inlineStr">
        <is>
          <t>M</t>
        </is>
      </c>
      <c r="D161" s="30">
        <f>SUM(T161,AA161)</f>
        <v/>
      </c>
      <c r="L161" s="216" t="n"/>
      <c r="P161" s="59" t="n"/>
      <c r="U161" s="31">
        <f>SUM(AM161,AP161,AS161,AV161,AY161,BE161,BB161)</f>
        <v/>
      </c>
      <c r="W161" s="30" t="n"/>
      <c r="X161" s="30">
        <f>AA161-W161</f>
        <v/>
      </c>
      <c r="Y161" s="32">
        <f>'0₦'!AE160*2  + 0</f>
        <v/>
      </c>
      <c r="Z161" s="279" t="n"/>
      <c r="AA161" s="30">
        <f>SUM(E161:O161)/21*75 + IF(AM161, -(MAX((U161-1800)/10, -40)), 0)+T161 + S161 + (P161-100)*0.5+AI161 +W161</f>
        <v/>
      </c>
      <c r="AD161" s="32" t="n"/>
      <c r="AI161" s="450" t="n"/>
      <c r="AK161" s="45" t="n"/>
      <c r="AR161" s="450" t="n"/>
      <c r="BG161" s="120" t="n"/>
      <c r="BP161" s="473" t="n"/>
    </row>
    <row r="162" hidden="1" s="37">
      <c r="A162" s="551" t="n"/>
      <c r="B162" s="550">
        <f>B161+1</f>
        <v/>
      </c>
      <c r="C162" s="45" t="inlineStr">
        <is>
          <t>T</t>
        </is>
      </c>
      <c r="D162" s="30">
        <f>SUM(T162,AA162)</f>
        <v/>
      </c>
      <c r="L162" s="216" t="n"/>
      <c r="P162" s="59" t="n"/>
      <c r="U162" s="31">
        <f>SUM(AM162,AP162,AS162,AV162,AY162,BE162,BB162)</f>
        <v/>
      </c>
      <c r="W162" s="30" t="n"/>
      <c r="X162" s="30">
        <f>AA162-W162</f>
        <v/>
      </c>
      <c r="Y162" s="32">
        <f>'0₦'!AE161*2  + 0</f>
        <v/>
      </c>
      <c r="Z162" s="279" t="n"/>
      <c r="AA162" s="30">
        <f>SUM(E162:O162)/21*75 + IF(AM162, -(MAX((U162-1800)/10, -40)), 0)+T162 + S162 + (P162-100)*0.5+AI162 +W162</f>
        <v/>
      </c>
      <c r="AD162" s="32" t="n"/>
      <c r="AG162" s="450" t="n">
        <v>190.5</v>
      </c>
      <c r="AI162" s="450" t="n"/>
      <c r="AK162" s="45" t="n"/>
      <c r="BG162" s="120" t="n"/>
      <c r="BP162" s="473" t="n"/>
    </row>
    <row r="163" hidden="1" s="37">
      <c r="A163" s="551" t="n"/>
      <c r="B163" s="550">
        <f>B162+1</f>
        <v/>
      </c>
      <c r="C163" s="45" t="inlineStr">
        <is>
          <t>W</t>
        </is>
      </c>
      <c r="D163" s="30">
        <f>SUM(T163,AA163)</f>
        <v/>
      </c>
      <c r="L163" s="216" t="n"/>
      <c r="P163" s="59" t="n"/>
      <c r="U163" s="31">
        <f>SUM(AM163,AP163,AS163,AV163,AY163,BE163,BB163)</f>
        <v/>
      </c>
      <c r="W163" s="30" t="n"/>
      <c r="X163" s="30">
        <f>AA163-W163</f>
        <v/>
      </c>
      <c r="Y163" s="32">
        <f>'0₦'!AE162*2  + 0</f>
        <v/>
      </c>
      <c r="Z163" s="279" t="n"/>
      <c r="AA163" s="30">
        <f>SUM(E163:O163)/21*75 + IF(AM163, -(MAX((U163-1800)/10, -40)), 0)+T163 + S163 + (P163-100)*0.5+AI163 +W163</f>
        <v/>
      </c>
      <c r="AD163" s="32" t="n"/>
      <c r="AG163" s="450" t="n">
        <v>190.4</v>
      </c>
      <c r="AI163" s="450" t="n"/>
      <c r="AK163" s="45" t="n"/>
      <c r="BG163" s="120" t="n"/>
      <c r="BP163" s="473" t="n"/>
    </row>
    <row r="164" hidden="1" s="37">
      <c r="A164" s="551" t="n"/>
      <c r="B164" s="550">
        <f>B163+1</f>
        <v/>
      </c>
      <c r="C164" s="45" t="inlineStr">
        <is>
          <t>Th</t>
        </is>
      </c>
      <c r="D164" s="30">
        <f>SUM(T164,AA164)</f>
        <v/>
      </c>
      <c r="L164" s="216" t="n"/>
      <c r="P164" s="59" t="n"/>
      <c r="U164" s="31">
        <f>SUM(AM164,AP164,AS164,AV164,AY164,BE164,BB164)</f>
        <v/>
      </c>
      <c r="V164" s="483">
        <f>AVERAGE(U164:U170)</f>
        <v/>
      </c>
      <c r="W164" s="30" t="n"/>
      <c r="X164" s="30">
        <f>AA164-W164</f>
        <v/>
      </c>
      <c r="Y164" s="32">
        <f>'0₦'!AE163*2  + 0</f>
        <v/>
      </c>
      <c r="Z164" s="279" t="n"/>
      <c r="AA164" s="30">
        <f>SUM(E164:O164)/21*75 + IF(AM164, -(MAX((U164-1800)/10, -40)), 0)+T164 + S164 + (P164-100)*0.5+AI164 +W164</f>
        <v/>
      </c>
      <c r="AB164" s="477">
        <f>AVERAGE(AA164:AA170)</f>
        <v/>
      </c>
      <c r="AC164" s="498">
        <f>AVERAGE(Y164:Y170)</f>
        <v/>
      </c>
      <c r="AD164" s="32" t="n"/>
      <c r="AF164" s="478">
        <f>SUM(AE164:AE170)</f>
        <v/>
      </c>
      <c r="AG164" s="22" t="n">
        <v>190.5</v>
      </c>
      <c r="AH164" s="20" t="n"/>
      <c r="AI164" s="450" t="n"/>
      <c r="AK164" s="45" t="n"/>
      <c r="BG164" s="120" t="n"/>
      <c r="BH164" s="445" t="n"/>
      <c r="BI164" s="473" t="n"/>
      <c r="BJ164" s="445" t="n"/>
      <c r="BK164" s="472" t="n"/>
      <c r="BP164" s="473" t="n"/>
    </row>
    <row r="165" hidden="1" s="37">
      <c r="A165" s="551" t="n"/>
      <c r="B165" s="550">
        <f>B164+1</f>
        <v/>
      </c>
      <c r="C165" s="45" t="inlineStr">
        <is>
          <t>F</t>
        </is>
      </c>
      <c r="D165" s="30">
        <f>SUM(T165,AA165)</f>
        <v/>
      </c>
      <c r="L165" s="216" t="n"/>
      <c r="P165" s="59" t="n"/>
      <c r="U165" s="31">
        <f>SUM(AM165,AP165,AS165,AV165,AY165,BE165,BB165)</f>
        <v/>
      </c>
      <c r="W165" s="30" t="n"/>
      <c r="X165" s="30">
        <f>AA165-W165</f>
        <v/>
      </c>
      <c r="Y165" s="32">
        <f>'0₦'!AE164*2  + 0</f>
        <v/>
      </c>
      <c r="Z165" s="279" t="n"/>
      <c r="AA165" s="30">
        <f>SUM(E165:O165)/21*75 + IF(AM165, -(MAX((U165-1800)/10, -40)), 0)+T165 + S165 + (P165-100)*0.5+AI165 +W165</f>
        <v/>
      </c>
      <c r="AD165" s="32" t="n"/>
      <c r="AG165" s="450" t="n">
        <v>193</v>
      </c>
      <c r="AH165" s="20" t="n"/>
      <c r="AI165" s="450" t="n"/>
      <c r="AK165" s="45" t="n"/>
      <c r="BG165" s="120" t="n"/>
      <c r="BP165" s="473" t="n"/>
    </row>
    <row r="166" hidden="1" s="37">
      <c r="A166" s="552" t="n"/>
      <c r="B166" s="550">
        <f>B165+1</f>
        <v/>
      </c>
      <c r="C166" s="45" t="inlineStr">
        <is>
          <t>S</t>
        </is>
      </c>
      <c r="D166" s="30">
        <f>SUM(T166,AA166)</f>
        <v/>
      </c>
      <c r="L166" s="216" t="n"/>
      <c r="P166" s="59" t="n"/>
      <c r="U166" s="31">
        <f>SUM(AM166,AP166,AS166,AV166,AY166,BE166,BB166)</f>
        <v/>
      </c>
      <c r="W166" s="30" t="n"/>
      <c r="X166" s="30">
        <f>AA166-W166</f>
        <v/>
      </c>
      <c r="Y166" s="32">
        <f>'0₦'!AE165*2  + 0</f>
        <v/>
      </c>
      <c r="Z166" s="279" t="n"/>
      <c r="AA166" s="30">
        <f>SUM(E166:O166)/21*75 + IF(AM166, -(MAX((U166-1800)/10, -40)), 0)+T166 + S166 + (P166-100)*0.5+AI166 +W166</f>
        <v/>
      </c>
      <c r="AD166" s="32" t="n"/>
      <c r="AG166" s="450" t="n">
        <v>189.2</v>
      </c>
      <c r="AH166" s="20" t="n"/>
      <c r="AI166" s="450" t="n"/>
      <c r="AK166" s="45" t="n"/>
      <c r="AR166" s="450" t="n"/>
      <c r="BG166" s="120" t="n"/>
      <c r="BP166" s="473" t="n"/>
    </row>
    <row r="167" hidden="1" s="37">
      <c r="A167" s="462">
        <f>A160+0.1</f>
        <v/>
      </c>
      <c r="B167" s="550">
        <f>B166+1</f>
        <v/>
      </c>
      <c r="C167" s="45" t="inlineStr">
        <is>
          <t>S</t>
        </is>
      </c>
      <c r="D167" s="30">
        <f>SUM(T167,AA167)</f>
        <v/>
      </c>
      <c r="L167" s="216" t="n"/>
      <c r="P167" s="59" t="n"/>
      <c r="U167" s="31">
        <f>SUM(AM167,AP167,AS167,AV167,AY167,BE167,BB167)</f>
        <v/>
      </c>
      <c r="W167" s="30" t="n"/>
      <c r="X167" s="30">
        <f>AA167-W167</f>
        <v/>
      </c>
      <c r="Y167" s="32">
        <f>'0₦'!AE166*2  + 0</f>
        <v/>
      </c>
      <c r="Z167" s="279" t="n"/>
      <c r="AA167" s="30">
        <f>SUM(E167:O167)/21*75 + IF(AM167, -(MAX((U167-1800)/10, -40)), 0)+T167 + S167 + (P167-100)*0.5+AI167 +W167</f>
        <v/>
      </c>
      <c r="AD167" s="32" t="n"/>
      <c r="AG167" s="450" t="n">
        <v>190.8</v>
      </c>
      <c r="AH167" s="20" t="n"/>
      <c r="AI167" s="450" t="n"/>
      <c r="AK167" s="45" t="n"/>
      <c r="BG167" s="120" t="n"/>
      <c r="BP167" s="473" t="n"/>
    </row>
    <row r="168" hidden="1" s="37">
      <c r="A168" s="551" t="n"/>
      <c r="B168" s="550">
        <f>B167+1</f>
        <v/>
      </c>
      <c r="C168" s="45" t="inlineStr">
        <is>
          <t>M</t>
        </is>
      </c>
      <c r="D168" s="30">
        <f>SUM(T168,AA168)</f>
        <v/>
      </c>
      <c r="L168" s="216" t="n"/>
      <c r="P168" s="59" t="n"/>
      <c r="U168" s="31">
        <f>SUM(AM168,AP168,AS168,AV168,AY168,BE168,BB168)</f>
        <v/>
      </c>
      <c r="W168" s="30" t="n"/>
      <c r="X168" s="30">
        <f>AA168-W168</f>
        <v/>
      </c>
      <c r="Y168" s="32">
        <f>'0₦'!AE167*2  + 0</f>
        <v/>
      </c>
      <c r="Z168" s="279" t="n"/>
      <c r="AA168" s="30">
        <f>SUM(E168:O168)/21*75 + IF(AM168, -(MAX((U168-1800)/10, -40)), 0)+T168 + S168 + (P168-100)*0.5+AI168 +W168</f>
        <v/>
      </c>
      <c r="AD168" s="32" t="n"/>
      <c r="AG168" s="450" t="n">
        <v>190.5</v>
      </c>
      <c r="AH168" s="20" t="n"/>
      <c r="AI168" s="450" t="n"/>
      <c r="AK168" s="45" t="n"/>
      <c r="AR168" s="450" t="n"/>
      <c r="BG168" s="120" t="n"/>
      <c r="BP168" s="473" t="n"/>
    </row>
    <row r="169" hidden="1" s="37">
      <c r="A169" s="551" t="n"/>
      <c r="B169" s="550">
        <f>B168+1</f>
        <v/>
      </c>
      <c r="C169" s="45" t="inlineStr">
        <is>
          <t>T</t>
        </is>
      </c>
      <c r="D169" s="30">
        <f>SUM(T169,AA169)</f>
        <v/>
      </c>
      <c r="L169" s="216" t="n"/>
      <c r="P169" s="59" t="n"/>
      <c r="U169" s="31">
        <f>SUM(AM169,AP169,AS169,AV169,AY169,BE169,BB169)</f>
        <v/>
      </c>
      <c r="W169" s="30" t="n"/>
      <c r="X169" s="30">
        <f>AA169-W169</f>
        <v/>
      </c>
      <c r="Y169" s="32">
        <f>'0₦'!AE168*2  + 0</f>
        <v/>
      </c>
      <c r="Z169" s="279" t="n"/>
      <c r="AA169" s="30">
        <f>SUM(E169:O169)/21*75 + IF(AM169, -(MAX((U169-1800)/10, -40)), 0)+T169 + S169 + (P169-100)*0.5+AI169 +W169</f>
        <v/>
      </c>
      <c r="AD169" s="32" t="n"/>
      <c r="AG169" s="450" t="n">
        <v>192</v>
      </c>
      <c r="AH169" s="20" t="n"/>
      <c r="AI169" s="450" t="n"/>
      <c r="AK169" s="45" t="n"/>
      <c r="BG169" s="120" t="n"/>
      <c r="BP169" s="473" t="n"/>
    </row>
    <row r="170" hidden="1" s="37">
      <c r="A170" s="551" t="n"/>
      <c r="B170" s="550">
        <f>B169+1</f>
        <v/>
      </c>
      <c r="C170" s="45" t="inlineStr">
        <is>
          <t>W</t>
        </is>
      </c>
      <c r="D170" s="30">
        <f>SUM(T170,AA170)</f>
        <v/>
      </c>
      <c r="L170" s="216" t="n"/>
      <c r="P170" s="59" t="n"/>
      <c r="U170" s="31">
        <f>SUM(AM170,AP170,AS170,AV170,AY170,BE170,BB170)</f>
        <v/>
      </c>
      <c r="W170" s="30" t="n"/>
      <c r="X170" s="30">
        <f>AA170-W170</f>
        <v/>
      </c>
      <c r="Y170" s="32">
        <f>'0₦'!AE169*2  + 0</f>
        <v/>
      </c>
      <c r="Z170" s="279" t="n"/>
      <c r="AA170" s="30">
        <f>SUM(E170:O170)/21*75 + IF(AM170, -(MAX((U170-1800)/10, -40)), 0)+T170 + S170 + (P170-100)*0.5+AI170 +W170</f>
        <v/>
      </c>
      <c r="AD170" s="32" t="n"/>
      <c r="AG170" s="450" t="n">
        <v>191.6</v>
      </c>
      <c r="AH170" s="20" t="n"/>
      <c r="AI170" s="450" t="n"/>
      <c r="AK170" s="45" t="n"/>
      <c r="BG170" s="120" t="n"/>
      <c r="BP170" s="473" t="n"/>
    </row>
    <row r="171" hidden="1" s="37">
      <c r="A171" s="551" t="n"/>
      <c r="B171" s="550">
        <f>B170+1</f>
        <v/>
      </c>
      <c r="C171" s="45" t="inlineStr">
        <is>
          <t>Th</t>
        </is>
      </c>
      <c r="D171" s="30">
        <f>SUM(T171,AA171)</f>
        <v/>
      </c>
      <c r="L171" s="216" t="n"/>
      <c r="P171" s="59" t="n"/>
      <c r="U171" s="31">
        <f>SUM(AM171,AP171,AS171,AV171,AY171,BE171,BB171)</f>
        <v/>
      </c>
      <c r="V171" s="483">
        <f>AVERAGE(U171:U177)</f>
        <v/>
      </c>
      <c r="W171" s="30" t="n"/>
      <c r="X171" s="30">
        <f>AA171-W171</f>
        <v/>
      </c>
      <c r="Y171" s="32">
        <f>'0₦'!AE170*2  + 0</f>
        <v/>
      </c>
      <c r="Z171" s="279" t="n"/>
      <c r="AA171" s="30">
        <f>SUM(E171:O171)/21*75 + IF(AM171, -(MAX((U171-1800)/10, -40)), 0)+T171 + S171 + (P171-100)*0.5+AI171 +W171</f>
        <v/>
      </c>
      <c r="AB171" s="477">
        <f>AVERAGE(AA171:AA177)</f>
        <v/>
      </c>
      <c r="AC171" s="498">
        <f>AVERAGE(Y171:Y177)</f>
        <v/>
      </c>
      <c r="AD171" s="32" t="n"/>
      <c r="AF171" s="478">
        <f>SUM(AE171:AE177)</f>
        <v/>
      </c>
      <c r="AG171" s="241" t="n"/>
      <c r="AH171" s="20" t="n"/>
      <c r="AI171" s="450" t="n"/>
      <c r="AK171" s="45" t="n"/>
      <c r="BG171" s="120" t="n"/>
      <c r="BH171" s="445" t="n"/>
      <c r="BI171" s="473" t="n"/>
      <c r="BJ171" s="445" t="n"/>
      <c r="BK171" s="472" t="n"/>
      <c r="BP171" s="473" t="n"/>
    </row>
    <row r="172" hidden="1" s="37">
      <c r="A172" s="551" t="n"/>
      <c r="B172" s="550">
        <f>B171+1</f>
        <v/>
      </c>
      <c r="C172" s="45" t="inlineStr">
        <is>
          <t>F</t>
        </is>
      </c>
      <c r="D172" s="30">
        <f>SUM(T172,AA172)</f>
        <v/>
      </c>
      <c r="L172" s="216" t="n"/>
      <c r="P172" s="59" t="n"/>
      <c r="U172" s="31">
        <f>SUM(AM172,AP172,AS172,AV172,AY172,BE172,BB172)</f>
        <v/>
      </c>
      <c r="W172" s="30" t="n"/>
      <c r="X172" s="30">
        <f>AA172-W172</f>
        <v/>
      </c>
      <c r="Y172" s="32">
        <f>'0₦'!AE171*2  + 0</f>
        <v/>
      </c>
      <c r="Z172" s="279" t="n"/>
      <c r="AA172" s="30">
        <f>SUM(E172:O172)/21*75 + IF(AM172, -(MAX((U172-1800)/10, -40)), 0)+T172 + S172 + (P172-100)*0.5+AI172 +W172</f>
        <v/>
      </c>
      <c r="AD172" s="32" t="n"/>
      <c r="AH172" s="20" t="n"/>
      <c r="AI172" s="450" t="n"/>
      <c r="AK172" s="45" t="n"/>
      <c r="BG172" s="120" t="n"/>
      <c r="BP172" s="473" t="n"/>
    </row>
    <row r="173" hidden="1" s="37">
      <c r="A173" s="552" t="n"/>
      <c r="B173" s="550">
        <f>B172+1</f>
        <v/>
      </c>
      <c r="C173" s="45" t="inlineStr">
        <is>
          <t>S</t>
        </is>
      </c>
      <c r="D173" s="30">
        <f>SUM(T173,AA173)</f>
        <v/>
      </c>
      <c r="L173" s="216" t="n"/>
      <c r="P173" s="59" t="n"/>
      <c r="U173" s="31">
        <f>SUM(AM173,AP173,AS173,AV173,AY173,BE173,BB173)</f>
        <v/>
      </c>
      <c r="W173" s="30" t="n"/>
      <c r="X173" s="30">
        <f>AA173-W173</f>
        <v/>
      </c>
      <c r="Y173" s="32">
        <f>'0₦'!AE172*2  + 0</f>
        <v/>
      </c>
      <c r="Z173" s="279" t="n"/>
      <c r="AA173" s="30">
        <f>SUM(E173:O173)/21*75 + IF(AM173, -(MAX((U173-1800)/10, -40)), 0)+T173 + S173 + (P173-100)*0.5+AI173 +W173</f>
        <v/>
      </c>
      <c r="AD173" s="32" t="n"/>
      <c r="AH173" s="20" t="n"/>
      <c r="AI173" s="450" t="n"/>
      <c r="AK173" s="45" t="n"/>
      <c r="AR173" s="450" t="n"/>
      <c r="BG173" s="120" t="n"/>
      <c r="BP173" s="473" t="n"/>
    </row>
    <row r="174" hidden="1" s="37">
      <c r="A174" s="462">
        <f>A167+0.1</f>
        <v/>
      </c>
      <c r="B174" s="550">
        <f>B173+1</f>
        <v/>
      </c>
      <c r="C174" s="45" t="inlineStr">
        <is>
          <t>S</t>
        </is>
      </c>
      <c r="D174" s="30">
        <f>SUM(T174,AA174)</f>
        <v/>
      </c>
      <c r="L174" s="216" t="n"/>
      <c r="P174" s="59" t="n"/>
      <c r="U174" s="31">
        <f>SUM(AM174,AP174,AS174,AV174,AY174,BE174,BB174)</f>
        <v/>
      </c>
      <c r="W174" s="30" t="n"/>
      <c r="X174" s="30">
        <f>AA174-W174</f>
        <v/>
      </c>
      <c r="Y174" s="32">
        <f>'0₦'!AE173*2  + 0</f>
        <v/>
      </c>
      <c r="Z174" s="279" t="n"/>
      <c r="AA174" s="30">
        <f>SUM(E174:O174)/21*75 + IF(AM174, -(MAX((U174-1800)/10, -40)), 0)+T174 + S174 + (P174-100)*0.5+AI174 +W174</f>
        <v/>
      </c>
      <c r="AD174" s="32" t="n"/>
      <c r="AH174" s="20" t="n"/>
      <c r="AI174" s="450" t="n"/>
      <c r="AK174" s="45" t="n"/>
      <c r="AR174" s="450" t="n"/>
      <c r="BG174" s="120" t="n"/>
      <c r="BP174" s="473" t="n"/>
    </row>
    <row r="175" hidden="1" s="37">
      <c r="A175" s="551" t="n"/>
      <c r="B175" s="550">
        <f>B174+1</f>
        <v/>
      </c>
      <c r="C175" s="45" t="inlineStr">
        <is>
          <t>M</t>
        </is>
      </c>
      <c r="D175" s="30">
        <f>SUM(T175,AA175)</f>
        <v/>
      </c>
      <c r="L175" s="216" t="n"/>
      <c r="P175" s="59" t="n"/>
      <c r="U175" s="31">
        <f>SUM(AM175,AP175,AS175,AV175,AY175,BE175,BB175)</f>
        <v/>
      </c>
      <c r="W175" s="30" t="n"/>
      <c r="X175" s="30">
        <f>AA175-W175</f>
        <v/>
      </c>
      <c r="Y175" s="32">
        <f>'0₦'!AE174*2  + 0</f>
        <v/>
      </c>
      <c r="Z175" s="279" t="n"/>
      <c r="AA175" s="30">
        <f>SUM(E175:O175)/21*75 + IF(AM175, -(MAX((U175-1800)/10, -40)), 0)+T175 + S175 + (P175-100)*0.5+AI175 +W175</f>
        <v/>
      </c>
      <c r="AD175" s="32" t="n"/>
      <c r="AH175" s="20" t="n"/>
      <c r="AI175" s="450" t="n"/>
      <c r="AK175" s="45" t="n"/>
      <c r="AR175" s="450" t="n"/>
      <c r="BA175" s="97" t="n"/>
      <c r="BB175" s="97" t="n"/>
      <c r="BC175" s="97" t="n"/>
      <c r="BG175" s="120" t="n"/>
      <c r="BP175" s="473" t="n"/>
    </row>
    <row r="176" hidden="1" s="37">
      <c r="A176" s="551" t="n"/>
      <c r="B176" s="550">
        <f>B175+1</f>
        <v/>
      </c>
      <c r="C176" s="45" t="inlineStr">
        <is>
          <t>T</t>
        </is>
      </c>
      <c r="D176" s="30">
        <f>SUM(T176,AA176)</f>
        <v/>
      </c>
      <c r="L176" s="216" t="n"/>
      <c r="P176" s="59" t="n"/>
      <c r="U176" s="31">
        <f>SUM(AM176,AP176,AS176,AV176,AY176,BE176,BB176)</f>
        <v/>
      </c>
      <c r="W176" s="30" t="n"/>
      <c r="X176" s="30">
        <f>AA176-W176</f>
        <v/>
      </c>
      <c r="Y176" s="32">
        <f>'0₦'!AE175*2  + 0</f>
        <v/>
      </c>
      <c r="Z176" s="279" t="n"/>
      <c r="AA176" s="30">
        <f>SUM(E176:O176)/21*75 + IF(AM176, -(MAX((U176-1800)/10, -40)), 0)+T176 + S176 + (P176-100)*0.5+AI176 +W176</f>
        <v/>
      </c>
      <c r="AD176" s="32" t="n"/>
      <c r="AG176" s="450" t="n">
        <v>188.6</v>
      </c>
      <c r="AH176" s="20" t="n"/>
      <c r="AI176" s="450" t="n"/>
      <c r="AK176" s="45" t="n"/>
      <c r="BG176" s="120" t="n"/>
      <c r="BP176" s="473" t="n"/>
    </row>
    <row r="177" hidden="1" s="37">
      <c r="A177" s="551" t="n"/>
      <c r="B177" s="550">
        <f>B176+1</f>
        <v/>
      </c>
      <c r="C177" s="45" t="inlineStr">
        <is>
          <t>W</t>
        </is>
      </c>
      <c r="D177" s="30">
        <f>SUM(T177,AA177)</f>
        <v/>
      </c>
      <c r="L177" s="216" t="n"/>
      <c r="P177" s="59" t="n"/>
      <c r="U177" s="31">
        <f>SUM(AM177,AP177,AS177,AV177,AY177,BE177,BB177)</f>
        <v/>
      </c>
      <c r="W177" s="30" t="n"/>
      <c r="X177" s="30">
        <f>AA177-W177</f>
        <v/>
      </c>
      <c r="Y177" s="32">
        <f>'0₦'!AE176*2  + 0</f>
        <v/>
      </c>
      <c r="Z177" s="279" t="n"/>
      <c r="AA177" s="30">
        <f>SUM(E177:O177)/21*75 + IF(AM177, -(MAX((U177-1800)/10, -40)), 0)+T177 + S177 + (P177-100)*0.5+AI177 +W177</f>
        <v/>
      </c>
      <c r="AD177" s="32" t="n"/>
      <c r="AG177" s="450" t="n">
        <v>188.8</v>
      </c>
      <c r="AH177" s="20" t="n"/>
      <c r="AI177" s="450" t="n"/>
      <c r="AK177" s="45" t="n"/>
      <c r="BG177" s="120" t="n"/>
      <c r="BP177" s="473" t="n"/>
    </row>
    <row r="178" hidden="1" s="37">
      <c r="A178" s="551" t="n"/>
      <c r="B178" s="550">
        <f>B177+1</f>
        <v/>
      </c>
      <c r="C178" s="45" t="inlineStr">
        <is>
          <t>Th</t>
        </is>
      </c>
      <c r="D178" s="30">
        <f>SUM(T178,AA178)</f>
        <v/>
      </c>
      <c r="L178" s="216" t="n"/>
      <c r="P178" s="59" t="n"/>
      <c r="U178" s="31">
        <f>SUM(AM178,AP178,AS178,AV178,AY178,BE178,BB178)</f>
        <v/>
      </c>
      <c r="V178" s="483">
        <f>AVERAGE(U178:U184)</f>
        <v/>
      </c>
      <c r="W178" s="30" t="n"/>
      <c r="X178" s="30">
        <f>AA178-W178</f>
        <v/>
      </c>
      <c r="Y178" s="32">
        <f>'0₦'!AE177*2  + 0</f>
        <v/>
      </c>
      <c r="Z178" s="279" t="n"/>
      <c r="AA178" s="30">
        <f>SUM(E178:O178)/21*75 + IF(AM178, -(MAX((U178-1800)/10, -40)), 0)+T178 + S178 + (P178-100)*0.5+AI178 +W178</f>
        <v/>
      </c>
      <c r="AB178" s="477">
        <f>AVERAGE(AA178:AA184)</f>
        <v/>
      </c>
      <c r="AC178" s="498">
        <f>AVERAGE(Y178:Y184)</f>
        <v/>
      </c>
      <c r="AD178" s="32" t="n"/>
      <c r="AF178" s="478">
        <f>SUM(AE178:AE184)</f>
        <v/>
      </c>
      <c r="AG178" s="22" t="n">
        <v>190.6</v>
      </c>
      <c r="AH178" s="20" t="n"/>
      <c r="AI178" s="450" t="n"/>
      <c r="AK178" s="45" t="n"/>
      <c r="BG178" s="120" t="n"/>
      <c r="BH178" s="445" t="n"/>
      <c r="BI178" s="473" t="n"/>
      <c r="BJ178" s="445" t="n"/>
      <c r="BK178" s="472" t="n"/>
      <c r="BP178" s="473" t="n"/>
    </row>
    <row r="179" hidden="1" s="37">
      <c r="A179" s="551" t="n"/>
      <c r="B179" s="550">
        <f>B178+1</f>
        <v/>
      </c>
      <c r="C179" s="45" t="inlineStr">
        <is>
          <t>F</t>
        </is>
      </c>
      <c r="D179" s="30">
        <f>SUM(T179,AA179)</f>
        <v/>
      </c>
      <c r="L179" s="216" t="n"/>
      <c r="P179" s="59" t="n"/>
      <c r="U179" s="31">
        <f>SUM(AM179,AP179,AS179,AV179,AY179,BE179,BB179)</f>
        <v/>
      </c>
      <c r="W179" s="30" t="n"/>
      <c r="X179" s="30">
        <f>AA179-W179</f>
        <v/>
      </c>
      <c r="Y179" s="32">
        <f>'0₦'!AE178*2  + 0</f>
        <v/>
      </c>
      <c r="Z179" s="279" t="n"/>
      <c r="AA179" s="30">
        <f>SUM(E179:O179)/21*75 + IF(AM179, -(MAX((U179-1800)/10, -40)), 0)+T179 + S179 + (P179-100)*0.5+AI179 +W179</f>
        <v/>
      </c>
      <c r="AD179" s="32" t="n"/>
      <c r="AH179" s="20" t="n"/>
      <c r="AI179" s="450" t="n"/>
      <c r="AK179" s="45" t="n"/>
      <c r="BG179" s="120" t="n"/>
      <c r="BP179" s="473" t="n"/>
    </row>
    <row r="180" hidden="1" s="37">
      <c r="A180" s="552" t="n"/>
      <c r="B180" s="550">
        <f>B179+1</f>
        <v/>
      </c>
      <c r="C180" s="45" t="inlineStr">
        <is>
          <t>S</t>
        </is>
      </c>
      <c r="D180" s="30">
        <f>SUM(T180,AA180)</f>
        <v/>
      </c>
      <c r="L180" s="216" t="n"/>
      <c r="P180" s="59" t="n"/>
      <c r="U180" s="31">
        <f>SUM(AM180,AP180,AS180,AV180,AY180,BE180,BB180)</f>
        <v/>
      </c>
      <c r="W180" s="30" t="n"/>
      <c r="X180" s="30">
        <f>AA180-W180</f>
        <v/>
      </c>
      <c r="Y180" s="32">
        <f>'0₦'!AE179*2  + 0</f>
        <v/>
      </c>
      <c r="Z180" s="279" t="n"/>
      <c r="AA180" s="30">
        <f>SUM(E180:O180)/21*75 + IF(AM180, -(MAX((U180-1800)/10, -40)), 0)+T180 + S180 + (P180-100)*0.5+AI180 +W180</f>
        <v/>
      </c>
      <c r="AD180" s="32" t="n"/>
      <c r="AG180" s="450" t="n">
        <v>189</v>
      </c>
      <c r="AH180" s="20" t="n"/>
      <c r="AI180" s="450" t="n"/>
      <c r="AK180" s="45" t="n"/>
      <c r="AR180" s="450" t="n"/>
      <c r="BG180" s="120" t="n"/>
      <c r="BP180" s="473" t="n"/>
    </row>
    <row r="181" hidden="1" s="37">
      <c r="A181" s="462">
        <f>A174+0.1</f>
        <v/>
      </c>
      <c r="B181" s="550">
        <f>B180+1</f>
        <v/>
      </c>
      <c r="C181" s="45" t="inlineStr">
        <is>
          <t>S</t>
        </is>
      </c>
      <c r="D181" s="30">
        <f>SUM(T181,AA181)</f>
        <v/>
      </c>
      <c r="L181" s="216" t="n"/>
      <c r="P181" s="59" t="n"/>
      <c r="U181" s="31">
        <f>SUM(AM181,AP181,AS181,AV181,AY181,BE181,BB181)</f>
        <v/>
      </c>
      <c r="W181" s="30" t="n"/>
      <c r="X181" s="30">
        <f>AA181-W181</f>
        <v/>
      </c>
      <c r="Y181" s="32">
        <f>'0₦'!AE180*2  + 0</f>
        <v/>
      </c>
      <c r="Z181" s="279" t="n"/>
      <c r="AA181" s="30">
        <f>SUM(E181:O181)/21*75 + IF(AM181, -(MAX((U181-1800)/10, -40)), 0)+T181 + S181 + (P181-100)*0.5+AI181 +W181</f>
        <v/>
      </c>
      <c r="AD181" s="32" t="n"/>
      <c r="AG181" s="450" t="n">
        <v>190.6</v>
      </c>
      <c r="AH181" s="20" t="n"/>
      <c r="AI181" s="450" t="n"/>
      <c r="AK181" s="45" t="n"/>
      <c r="BG181" s="120" t="n"/>
      <c r="BP181" s="473" t="n"/>
    </row>
    <row r="182" hidden="1" s="37">
      <c r="A182" s="551" t="n"/>
      <c r="B182" s="550">
        <f>B181+1</f>
        <v/>
      </c>
      <c r="C182" s="45" t="inlineStr">
        <is>
          <t>M</t>
        </is>
      </c>
      <c r="D182" s="30">
        <f>SUM(T182,AA182)</f>
        <v/>
      </c>
      <c r="L182" s="216" t="n"/>
      <c r="P182" s="59" t="n"/>
      <c r="U182" s="31">
        <f>SUM(AM182,AP182,AS182,AV182,AY182,BE182,BB182)</f>
        <v/>
      </c>
      <c r="W182" s="30" t="n"/>
      <c r="X182" s="30">
        <f>AA182-W182</f>
        <v/>
      </c>
      <c r="Y182" s="32">
        <f>'0₦'!AE181*2  + 0</f>
        <v/>
      </c>
      <c r="Z182" s="279" t="n"/>
      <c r="AA182" s="30">
        <f>SUM(E182:O182)/21*75 + IF(AM182, -(MAX((U182-1800)/10, -40)), 0)+T182 + S182 + (P182-100)*0.5+AI182 +W182</f>
        <v/>
      </c>
      <c r="AD182" s="32" t="n"/>
      <c r="AH182" s="20" t="n"/>
      <c r="AI182" s="450" t="n"/>
      <c r="AK182" s="45" t="n"/>
      <c r="AR182" s="450" t="n"/>
      <c r="BG182" s="120" t="n"/>
      <c r="BP182" s="473" t="n"/>
    </row>
    <row r="183" hidden="1" s="37">
      <c r="A183" s="551" t="n"/>
      <c r="B183" s="550">
        <f>B182+1</f>
        <v/>
      </c>
      <c r="C183" s="45" t="inlineStr">
        <is>
          <t>T</t>
        </is>
      </c>
      <c r="D183" s="30">
        <f>SUM(T183,AA183)</f>
        <v/>
      </c>
      <c r="L183" s="216" t="n"/>
      <c r="P183" s="59" t="n"/>
      <c r="U183" s="31">
        <f>SUM(AM183,AP183,AS183,AV183,AY183,BE183,BB183)</f>
        <v/>
      </c>
      <c r="W183" s="30" t="n"/>
      <c r="X183" s="30">
        <f>AA183-W183</f>
        <v/>
      </c>
      <c r="Y183" s="32">
        <f>'0₦'!AE182*2  + 0</f>
        <v/>
      </c>
      <c r="Z183" s="279" t="n"/>
      <c r="AA183" s="30">
        <f>SUM(E183:O183)/21*75 + IF(AM183, -(MAX((U183-1800)/10, -40)), 0)+T183 + S183 + (P183-100)*0.5+AI183 +W183</f>
        <v/>
      </c>
      <c r="AD183" s="32" t="n"/>
      <c r="AG183" s="450" t="n">
        <v>188</v>
      </c>
      <c r="AH183" s="20" t="n"/>
      <c r="AI183" s="450" t="n"/>
      <c r="AK183" s="45" t="n"/>
      <c r="BG183" s="120" t="n"/>
      <c r="BP183" s="473" t="n"/>
    </row>
    <row r="184" hidden="1" s="37">
      <c r="A184" s="551" t="n"/>
      <c r="B184" s="550">
        <f>B183+1</f>
        <v/>
      </c>
      <c r="C184" s="45" t="inlineStr">
        <is>
          <t>W</t>
        </is>
      </c>
      <c r="D184" s="30">
        <f>SUM(T184,AA184)</f>
        <v/>
      </c>
      <c r="L184" s="216" t="n"/>
      <c r="P184" s="59" t="n"/>
      <c r="U184" s="31">
        <f>SUM(AM184,AP184,AS184,AV184,AY184,BE184,BB184)</f>
        <v/>
      </c>
      <c r="W184" s="30" t="n"/>
      <c r="X184" s="30">
        <f>AA184-W184</f>
        <v/>
      </c>
      <c r="Y184" s="32">
        <f>'0₦'!AE183*2  + 0</f>
        <v/>
      </c>
      <c r="Z184" s="279" t="n"/>
      <c r="AA184" s="30">
        <f>SUM(E184:O184)/21*75 + IF(AM184, -(MAX((U184-1800)/10, -40)), 0)+T184 + S184 + (P184-100)*0.5+AI184 +W184</f>
        <v/>
      </c>
      <c r="AD184" s="32" t="n"/>
      <c r="AH184" s="20" t="n"/>
      <c r="AI184" s="450" t="n"/>
      <c r="AK184" s="45" t="n"/>
      <c r="BG184" s="120" t="n"/>
      <c r="BP184" s="473" t="n"/>
    </row>
    <row r="185" hidden="1" s="37">
      <c r="A185" s="551" t="n"/>
      <c r="B185" s="550">
        <f>B184+1</f>
        <v/>
      </c>
      <c r="C185" s="45" t="inlineStr">
        <is>
          <t>Th</t>
        </is>
      </c>
      <c r="D185" s="30">
        <f>SUM(T185,AA185)</f>
        <v/>
      </c>
      <c r="L185" s="216" t="n"/>
      <c r="P185" s="59" t="n"/>
      <c r="U185" s="31">
        <f>SUM(AM185,AP185,AS185,AV185,AY185,BE185,BB185)</f>
        <v/>
      </c>
      <c r="V185" s="483">
        <f>AVERAGE(U185:U191)</f>
        <v/>
      </c>
      <c r="W185" s="30" t="n"/>
      <c r="X185" s="30">
        <f>AA185-W185</f>
        <v/>
      </c>
      <c r="Y185" s="32">
        <f>'0₦'!AE184*2  + 0</f>
        <v/>
      </c>
      <c r="Z185" s="279" t="n"/>
      <c r="AA185" s="30">
        <f>SUM(E185:O185)/21*75 + IF(AM185, -(MAX((U185-1800)/10, -40)), 0)+T185 + S185 + (P185-100)*0.5+AI185 +W185</f>
        <v/>
      </c>
      <c r="AB185" s="477">
        <f>AVERAGE(AA185:AA191)</f>
        <v/>
      </c>
      <c r="AC185" s="498">
        <f>AVERAGE(Y185:Y191)</f>
        <v/>
      </c>
      <c r="AD185" s="32" t="n"/>
      <c r="AF185" s="478">
        <f>SUM(AE185:AE191)</f>
        <v/>
      </c>
      <c r="AG185" s="22" t="n"/>
      <c r="AH185" s="20" t="n"/>
      <c r="AI185" s="450" t="n"/>
      <c r="AK185" s="45" t="n"/>
      <c r="BG185" s="120" t="n"/>
      <c r="BH185" s="445" t="n"/>
      <c r="BI185" s="473" t="n"/>
      <c r="BJ185" s="445" t="n"/>
      <c r="BK185" s="472" t="n"/>
      <c r="BP185" s="473" t="n"/>
    </row>
    <row r="186" hidden="1" s="37">
      <c r="A186" s="551" t="n"/>
      <c r="B186" s="550">
        <f>B185+1</f>
        <v/>
      </c>
      <c r="C186" s="45" t="inlineStr">
        <is>
          <t>F</t>
        </is>
      </c>
      <c r="D186" s="30">
        <f>SUM(T186,AA186)</f>
        <v/>
      </c>
      <c r="L186" s="216" t="n"/>
      <c r="P186" s="59" t="n"/>
      <c r="U186" s="31">
        <f>SUM(AM186,AP186,AS186,AV186,AY186,BE186,BB186)</f>
        <v/>
      </c>
      <c r="W186" s="30" t="n"/>
      <c r="X186" s="30">
        <f>AA186-W186</f>
        <v/>
      </c>
      <c r="Y186" s="32">
        <f>'0₦'!AE185*2  + 0</f>
        <v/>
      </c>
      <c r="Z186" s="279" t="n"/>
      <c r="AA186" s="30">
        <f>SUM(E186:O186)/21*75 + IF(AM186, -(MAX((U186-1800)/10, -40)), 0)+T186 + S186 + (P186-100)*0.5+AI186 +W186</f>
        <v/>
      </c>
      <c r="AD186" s="32" t="n"/>
      <c r="AH186" s="20" t="n"/>
      <c r="AI186" s="450" t="n"/>
      <c r="AK186" s="45" t="n"/>
      <c r="BG186" s="120" t="n"/>
      <c r="BP186" s="473" t="n"/>
    </row>
    <row r="187" hidden="1" s="37">
      <c r="A187" s="552" t="n"/>
      <c r="B187" s="550">
        <f>B186+1</f>
        <v/>
      </c>
      <c r="C187" s="45" t="inlineStr">
        <is>
          <t>S</t>
        </is>
      </c>
      <c r="D187" s="30">
        <f>SUM(T187,AA187)</f>
        <v/>
      </c>
      <c r="L187" s="216" t="n"/>
      <c r="P187" s="59" t="n"/>
      <c r="U187" s="31">
        <f>SUM(AM187,AP187,AS187,AV187,AY187,BE187,BB187)</f>
        <v/>
      </c>
      <c r="W187" s="30" t="n"/>
      <c r="X187" s="30">
        <f>AA187-W187</f>
        <v/>
      </c>
      <c r="Y187" s="32">
        <f>'0₦'!AE186*2  + 0</f>
        <v/>
      </c>
      <c r="Z187" s="279" t="n"/>
      <c r="AA187" s="30">
        <f>SUM(E187:O187)/21*75 + IF(AM187, -(MAX((U187-1800)/10, -40)), 0)+T187 + S187 + (P187-100)*0.5+AI187 +W187</f>
        <v/>
      </c>
      <c r="AD187" s="32" t="n"/>
      <c r="AH187" s="20" t="n"/>
      <c r="AI187" s="450" t="n"/>
      <c r="AK187" s="45" t="n"/>
      <c r="AR187" s="450" t="n"/>
      <c r="BG187" s="120" t="n"/>
      <c r="BP187" s="473" t="n"/>
    </row>
    <row r="188" hidden="1" s="37">
      <c r="A188" s="462">
        <f>A153+1</f>
        <v/>
      </c>
      <c r="B188" s="550">
        <f>B187+1</f>
        <v/>
      </c>
      <c r="C188" s="45" t="inlineStr">
        <is>
          <t>S</t>
        </is>
      </c>
      <c r="D188" s="30">
        <f>SUM(T188,AA188)</f>
        <v/>
      </c>
      <c r="L188" s="216" t="n"/>
      <c r="P188" s="59" t="n"/>
      <c r="U188" s="31">
        <f>SUM(AM188,AP188,AS188,AV188,AY188,BE188,BB188)</f>
        <v/>
      </c>
      <c r="W188" s="30" t="n"/>
      <c r="X188" s="30">
        <f>AA188-W188</f>
        <v/>
      </c>
      <c r="Y188" s="32">
        <f>'0₦'!AE187*2  + 0</f>
        <v/>
      </c>
      <c r="Z188" s="279" t="n"/>
      <c r="AA188" s="30">
        <f>SUM(E188:O188)/21*75 + IF(AM188, -(MAX((U188-1800)/10, -40)), 0)+T188 + S188 + (P188-100)*0.5+AI188 +W188</f>
        <v/>
      </c>
      <c r="AD188" s="32" t="n"/>
      <c r="AH188" s="20" t="n"/>
      <c r="AI188" s="450" t="n"/>
      <c r="AK188" s="45" t="n"/>
      <c r="BG188" s="120" t="n"/>
      <c r="BP188" s="473" t="n"/>
    </row>
    <row r="189" hidden="1" s="37">
      <c r="A189" s="551" t="n"/>
      <c r="B189" s="550">
        <f>B188+1</f>
        <v/>
      </c>
      <c r="C189" s="45" t="inlineStr">
        <is>
          <t>M</t>
        </is>
      </c>
      <c r="D189" s="30">
        <f>SUM(T189,AA189)</f>
        <v/>
      </c>
      <c r="L189" s="216" t="n"/>
      <c r="P189" s="59" t="n"/>
      <c r="U189" s="31">
        <f>SUM(AM189,AP189,AS189,AV189,AY189,BE189,BB189)</f>
        <v/>
      </c>
      <c r="W189" s="30" t="n"/>
      <c r="X189" s="30">
        <f>AA189-W189</f>
        <v/>
      </c>
      <c r="Y189" s="32">
        <f>'0₦'!AE188*2  + 0</f>
        <v/>
      </c>
      <c r="Z189" s="279" t="n"/>
      <c r="AA189" s="30">
        <f>SUM(E189:O189)/21*75 + IF(AM189, -(MAX((U189-1800)/10, -40)), 0)+T189 + S189 + (P189-100)*0.5+AI189 +W189</f>
        <v/>
      </c>
      <c r="AD189" s="32" t="n"/>
      <c r="AH189" s="20" t="n"/>
      <c r="AI189" s="450" t="n"/>
      <c r="AK189" s="45" t="n"/>
      <c r="AR189" s="450" t="n"/>
      <c r="BG189" s="120" t="n"/>
      <c r="BP189" s="473" t="n"/>
    </row>
    <row r="190" hidden="1" s="37">
      <c r="A190" s="551" t="n"/>
      <c r="B190" s="550">
        <f>B189+1</f>
        <v/>
      </c>
      <c r="C190" s="45" t="inlineStr">
        <is>
          <t>T</t>
        </is>
      </c>
      <c r="D190" s="30">
        <f>SUM(T190,AA190)</f>
        <v/>
      </c>
      <c r="L190" s="216" t="n"/>
      <c r="P190" s="59" t="n"/>
      <c r="U190" s="31">
        <f>SUM(AM190,AP190,AS190,AV190,AY190,BE190,BB190)</f>
        <v/>
      </c>
      <c r="W190" s="30" t="n"/>
      <c r="X190" s="30">
        <f>AA190-W190</f>
        <v/>
      </c>
      <c r="Y190" s="32">
        <f>'0₦'!AE189*2  + 0</f>
        <v/>
      </c>
      <c r="Z190" s="279" t="n"/>
      <c r="AA190" s="30">
        <f>SUM(E190:O190)/21*75 + IF(AM190, -(MAX((U190-1800)/10, -40)), 0)+T190 + S190 + (P190-100)*0.5+AI190 +W190</f>
        <v/>
      </c>
      <c r="AD190" s="32" t="n"/>
      <c r="AH190" s="20" t="n"/>
      <c r="AI190" s="450" t="n"/>
      <c r="AK190" s="45" t="n"/>
      <c r="BG190" s="120" t="n"/>
      <c r="BP190" s="473" t="n"/>
    </row>
    <row r="191" hidden="1" s="37">
      <c r="A191" s="551" t="n"/>
      <c r="B191" s="550">
        <f>B190+1</f>
        <v/>
      </c>
      <c r="C191" s="45" t="inlineStr">
        <is>
          <t>W</t>
        </is>
      </c>
      <c r="D191" s="30">
        <f>SUM(T191,AA191)</f>
        <v/>
      </c>
      <c r="L191" s="216" t="n"/>
      <c r="P191" s="59" t="n"/>
      <c r="U191" s="31">
        <f>SUM(AM191,AP191,AS191,AV191,AY191,BE191,BB191)</f>
        <v/>
      </c>
      <c r="W191" s="30" t="n"/>
      <c r="X191" s="30">
        <f>AA191-W191</f>
        <v/>
      </c>
      <c r="Y191" s="32">
        <f>'0₦'!AE190*2  + 0</f>
        <v/>
      </c>
      <c r="Z191" s="279" t="n"/>
      <c r="AA191" s="30">
        <f>SUM(E191:O191)/21*75 + IF(AM191, -(MAX((U191-1800)/10, -40)), 0)+T191 + S191 + (P191-100)*0.5+AI191 +W191</f>
        <v/>
      </c>
      <c r="AD191" s="32" t="n"/>
      <c r="AH191" s="20" t="n"/>
      <c r="AI191" s="450" t="n"/>
      <c r="AK191" s="45" t="n"/>
      <c r="BG191" s="120" t="n"/>
      <c r="BP191" s="473" t="n"/>
    </row>
    <row r="192" hidden="1" s="37">
      <c r="A192" s="551" t="n"/>
      <c r="B192" s="550">
        <f>B191+1</f>
        <v/>
      </c>
      <c r="C192" s="45" t="inlineStr">
        <is>
          <t>Th</t>
        </is>
      </c>
      <c r="D192" s="30">
        <f>SUM(T192,AA192)</f>
        <v/>
      </c>
      <c r="L192" s="216" t="n"/>
      <c r="P192" s="59" t="n"/>
      <c r="U192" s="31">
        <f>SUM(AM192,AP192,AS192,AV192,AY192,BE192,BB192)</f>
        <v/>
      </c>
      <c r="V192" s="483">
        <f>AVERAGE(U192:U198)</f>
        <v/>
      </c>
      <c r="W192" s="30" t="n"/>
      <c r="X192" s="30">
        <f>AA192-W192</f>
        <v/>
      </c>
      <c r="Y192" s="32">
        <f>'0₦'!AE191*2  + 0</f>
        <v/>
      </c>
      <c r="Z192" s="279" t="n"/>
      <c r="AA192" s="30">
        <f>SUM(E192:O192)/21*75 + IF(AM192, -(MAX((U192-1800)/10, -40)), 0)+T192 + S192 + (P192-100)*0.5+AI192 +W192</f>
        <v/>
      </c>
      <c r="AB192" s="477">
        <f>AVERAGE(AA192:AA198)</f>
        <v/>
      </c>
      <c r="AC192" s="498">
        <f>AVERAGE(Y192:Y198)</f>
        <v/>
      </c>
      <c r="AD192" s="32" t="n"/>
      <c r="AF192" s="478">
        <f>SUM(AE192:AE198)</f>
        <v/>
      </c>
      <c r="AG192" s="22" t="n"/>
      <c r="AH192" s="20" t="n"/>
      <c r="AI192" s="450" t="n"/>
      <c r="AK192" s="45" t="n"/>
      <c r="BG192" s="120" t="n"/>
      <c r="BH192" s="445" t="n"/>
      <c r="BI192" s="473" t="n"/>
      <c r="BJ192" s="445" t="n"/>
      <c r="BK192" s="472" t="n"/>
      <c r="BP192" s="473" t="n"/>
    </row>
    <row r="193" hidden="1" s="37">
      <c r="A193" s="551" t="n"/>
      <c r="B193" s="550">
        <f>B192+1</f>
        <v/>
      </c>
      <c r="C193" s="45" t="inlineStr">
        <is>
          <t>F</t>
        </is>
      </c>
      <c r="D193" s="30">
        <f>SUM(T193,AA193)</f>
        <v/>
      </c>
      <c r="L193" s="216" t="n"/>
      <c r="P193" s="59" t="n"/>
      <c r="U193" s="31">
        <f>SUM(AM193,AP193,AS193,AV193,AY193,BE193,BB193)</f>
        <v/>
      </c>
      <c r="W193" s="30" t="n"/>
      <c r="X193" s="30">
        <f>AA193-W193</f>
        <v/>
      </c>
      <c r="Y193" s="32">
        <f>'0₦'!AE192*2  + 0</f>
        <v/>
      </c>
      <c r="Z193" s="279" t="n"/>
      <c r="AA193" s="30">
        <f>SUM(E193:O193)/21*75 + IF(AM193, -(MAX((U193-1800)/10, -40)), 0)+T193 + S193 + (P193-100)*0.5+AI193 +W193</f>
        <v/>
      </c>
      <c r="AD193" s="32" t="n"/>
      <c r="AH193" s="20" t="n"/>
      <c r="AI193" s="450" t="n"/>
      <c r="AK193" s="45" t="n"/>
      <c r="BG193" s="120" t="n"/>
      <c r="BP193" s="473" t="n"/>
    </row>
    <row r="194" hidden="1" s="37">
      <c r="A194" s="552" t="n"/>
      <c r="B194" s="550">
        <f>B193+1</f>
        <v/>
      </c>
      <c r="C194" s="45" t="inlineStr">
        <is>
          <t>S</t>
        </is>
      </c>
      <c r="D194" s="30">
        <f>SUM(T194,AA194)</f>
        <v/>
      </c>
      <c r="L194" s="216" t="n"/>
      <c r="P194" s="59" t="n"/>
      <c r="Q194" s="512" t="n"/>
      <c r="U194" s="31">
        <f>SUM(AM194,AP194,AS194,AV194,AY194,BE194,BB194)</f>
        <v/>
      </c>
      <c r="W194" s="30" t="n"/>
      <c r="X194" s="30">
        <f>AA194-W194</f>
        <v/>
      </c>
      <c r="Y194" s="32">
        <f>'0₦'!AE193*2  + 0</f>
        <v/>
      </c>
      <c r="Z194" s="279" t="n"/>
      <c r="AA194" s="30">
        <f>SUM(E194:O194)/21*75 + IF(AM194, -(MAX((U194-1800)/10, -40)), 0)+T194 + S194 + (P194-100)*0.5+AI194 +W194</f>
        <v/>
      </c>
      <c r="AD194" s="32" t="n"/>
      <c r="AH194" s="20" t="n"/>
      <c r="AI194" s="450" t="n"/>
      <c r="AK194" s="45" t="n"/>
      <c r="AR194" s="450" t="n"/>
      <c r="BG194" s="120" t="n"/>
    </row>
    <row r="195" hidden="1" s="37">
      <c r="A195" s="462">
        <f>A188+0.1</f>
        <v/>
      </c>
      <c r="B195" s="550">
        <f>B194+1</f>
        <v/>
      </c>
      <c r="C195" s="45" t="inlineStr">
        <is>
          <t>S</t>
        </is>
      </c>
      <c r="D195" s="30">
        <f>SUM(T195,AA195)</f>
        <v/>
      </c>
      <c r="L195" s="216" t="n"/>
      <c r="P195" s="59" t="n"/>
      <c r="U195" s="31">
        <f>SUM(AM195,AP195,AS195,AV195,AY195,BE195,BB195)</f>
        <v/>
      </c>
      <c r="W195" s="30" t="n"/>
      <c r="X195" s="30">
        <f>AA195-W195</f>
        <v/>
      </c>
      <c r="Y195" s="32">
        <f>'0₦'!AE194*2  + 0</f>
        <v/>
      </c>
      <c r="Z195" s="279" t="n"/>
      <c r="AA195" s="30">
        <f>SUM(E195:O195)/21*75 + IF(AM195, -(MAX((U195-1800)/10, -40)), 0)+T195 + S195 + (P195-100)*0.5+AI195 +W195</f>
        <v/>
      </c>
      <c r="AD195" s="32" t="n"/>
      <c r="AG195" s="450" t="n">
        <v>188</v>
      </c>
      <c r="AH195" s="20" t="n"/>
      <c r="AI195" s="450" t="n"/>
      <c r="AK195" s="45" t="n"/>
      <c r="AL195" s="199" t="n"/>
      <c r="AM195" s="199" t="n"/>
      <c r="BG195" s="120" t="n"/>
    </row>
    <row r="196" hidden="1" s="37">
      <c r="A196" s="551" t="n"/>
      <c r="B196" s="550">
        <f>B195+1</f>
        <v/>
      </c>
      <c r="C196" s="45" t="inlineStr">
        <is>
          <t>M</t>
        </is>
      </c>
      <c r="D196" s="30">
        <f>SUM(T196,AA196)</f>
        <v/>
      </c>
      <c r="L196" s="216" t="n"/>
      <c r="P196" s="59" t="n"/>
      <c r="U196" s="31">
        <f>SUM(AM196,AP196,AS196,AV196,AY196,BE196,BB196)</f>
        <v/>
      </c>
      <c r="W196" s="30" t="n"/>
      <c r="X196" s="30">
        <f>AA196-W196</f>
        <v/>
      </c>
      <c r="Y196" s="32">
        <f>'0₦'!AE195*2  + 0</f>
        <v/>
      </c>
      <c r="Z196" s="279" t="n"/>
      <c r="AA196" s="30">
        <f>SUM(E196:O196)/21*75 + IF(AM196, -(MAX((U196-1800)/10, -40)), 0)+T196 + S196 + (P196-100)*0.5+AI196 +W196</f>
        <v/>
      </c>
      <c r="AD196" s="32" t="n"/>
      <c r="AH196" s="20" t="n"/>
      <c r="AI196" s="450" t="n"/>
      <c r="AK196" s="45" t="n"/>
      <c r="AL196" s="199" t="n"/>
      <c r="AM196" s="199" t="n"/>
      <c r="AR196" s="450" t="n"/>
      <c r="BG196" s="120" t="n"/>
    </row>
    <row r="197" hidden="1" s="37">
      <c r="A197" s="551" t="n"/>
      <c r="B197" s="550">
        <f>B196+1</f>
        <v/>
      </c>
      <c r="C197" s="45" t="inlineStr">
        <is>
          <t>T</t>
        </is>
      </c>
      <c r="D197" s="30">
        <f>SUM(T197,AA197)</f>
        <v/>
      </c>
      <c r="L197" s="216" t="n"/>
      <c r="P197" s="59" t="n"/>
      <c r="U197" s="31">
        <f>SUM(AM197,AP197,AS197,AV197,AY197,BE197,BB197)</f>
        <v/>
      </c>
      <c r="W197" s="30" t="n"/>
      <c r="X197" s="30">
        <f>AA197-W197</f>
        <v/>
      </c>
      <c r="Y197" s="32">
        <f>'0₦'!AE196*2  + 0</f>
        <v/>
      </c>
      <c r="Z197" s="279" t="n"/>
      <c r="AA197" s="30">
        <f>SUM(E197:O197)/21*75 + IF(AM197, -(MAX((U197-1800)/10, -40)), 0)+T197 + S197 + (P197-100)*0.5+AI197 +W197</f>
        <v/>
      </c>
      <c r="AD197" s="32" t="n"/>
      <c r="AH197" s="20" t="n"/>
      <c r="AI197" s="450" t="n"/>
      <c r="AK197" s="45" t="n"/>
      <c r="AL197" s="199" t="n"/>
      <c r="AM197" s="199" t="n"/>
      <c r="AR197" s="376" t="n"/>
      <c r="AS197" s="199" t="n"/>
      <c r="AT197" s="199" t="n"/>
      <c r="BG197" s="120" t="n"/>
    </row>
    <row r="198" hidden="1" s="37">
      <c r="A198" s="551" t="n"/>
      <c r="B198" s="550">
        <f>B197+1</f>
        <v/>
      </c>
      <c r="C198" s="45" t="inlineStr">
        <is>
          <t>W</t>
        </is>
      </c>
      <c r="D198" s="30">
        <f>SUM(T198,AA198)</f>
        <v/>
      </c>
      <c r="L198" s="216" t="n"/>
      <c r="P198" s="59" t="n"/>
      <c r="U198" s="31">
        <f>SUM(AM198,AP198,AS198,AV198,AY198,BE198,BB198)</f>
        <v/>
      </c>
      <c r="W198" s="30" t="n"/>
      <c r="X198" s="30">
        <f>AA198-W198</f>
        <v/>
      </c>
      <c r="Y198" s="32">
        <f>'0₦'!AE197*2  + 0</f>
        <v/>
      </c>
      <c r="Z198" s="279" t="n"/>
      <c r="AA198" s="30">
        <f>SUM(E198:O198)/21*75 + IF(AM198, -(MAX((U198-1800)/10, -40)), 0)+T198 + S198 + (P198-100)*0.5+AI198 +W198</f>
        <v/>
      </c>
      <c r="AD198" s="32" t="n"/>
      <c r="AH198" s="20" t="n"/>
      <c r="AI198" s="450" t="n"/>
      <c r="AK198" s="45" t="n"/>
      <c r="AL198" s="199" t="n"/>
      <c r="AM198" s="199" t="n"/>
      <c r="AO198" s="199" t="n"/>
      <c r="AP198" s="199" t="n"/>
      <c r="AQ198" s="199" t="n"/>
      <c r="BG198" s="120" t="n"/>
    </row>
    <row r="199" hidden="1" s="37">
      <c r="A199" s="551" t="n"/>
      <c r="B199" s="550">
        <f>B198+1</f>
        <v/>
      </c>
      <c r="C199" s="45" t="inlineStr">
        <is>
          <t>Th</t>
        </is>
      </c>
      <c r="D199" s="30">
        <f>SUM(T199,AA199)</f>
        <v/>
      </c>
      <c r="L199" s="216" t="n"/>
      <c r="P199" s="59" t="n"/>
      <c r="U199" s="31">
        <f>SUM(AM199,AP199,AS199,AV199,AY199,BE199,BB199)</f>
        <v/>
      </c>
      <c r="V199" s="483">
        <f>AVERAGE(U199:U205)</f>
        <v/>
      </c>
      <c r="W199" s="30" t="n"/>
      <c r="X199" s="30">
        <f>AA199-W199</f>
        <v/>
      </c>
      <c r="Y199" s="32">
        <f>'0₦'!AE198*2  + 0</f>
        <v/>
      </c>
      <c r="Z199" s="279" t="n"/>
      <c r="AA199" s="30">
        <f>SUM(E199:O199)/21*75 + IF(AM199, -(MAX((U199-1800)/10, -40)), 0)+T199 + S199 + (P199-100)*0.5+AI199 +W199</f>
        <v/>
      </c>
      <c r="AB199" s="477">
        <f>AVERAGE(AA199:AA205)</f>
        <v/>
      </c>
      <c r="AC199" s="498">
        <f>AVERAGE(Y199:Y205)</f>
        <v/>
      </c>
      <c r="AD199" s="32" t="n"/>
      <c r="AF199" s="478">
        <f>SUM(AE199:AE205)</f>
        <v/>
      </c>
      <c r="AG199" s="22" t="n"/>
      <c r="AH199" s="480" t="n"/>
      <c r="AI199" s="450" t="n"/>
      <c r="AK199" s="45" t="n"/>
      <c r="BG199" s="120" t="n"/>
      <c r="BH199" s="445" t="n"/>
      <c r="BI199" s="473" t="n"/>
      <c r="BJ199" s="445" t="n"/>
      <c r="BK199" s="472" t="n"/>
    </row>
    <row r="200" hidden="1" s="37">
      <c r="A200" s="551" t="n"/>
      <c r="B200" s="550">
        <f>B199+1</f>
        <v/>
      </c>
      <c r="C200" s="45" t="inlineStr">
        <is>
          <t>F</t>
        </is>
      </c>
      <c r="D200" s="30">
        <f>SUM(T200,AA200)</f>
        <v/>
      </c>
      <c r="L200" s="216" t="n"/>
      <c r="P200" s="59" t="n"/>
      <c r="U200" s="31">
        <f>SUM(AM200,AP200,AS200,AV200,AY200,BE200,BB200)</f>
        <v/>
      </c>
      <c r="W200" s="30" t="n"/>
      <c r="X200" s="30">
        <f>AA200-W200</f>
        <v/>
      </c>
      <c r="Y200" s="32">
        <f>'0₦'!AE199*2  + 0</f>
        <v/>
      </c>
      <c r="Z200" s="279" t="n"/>
      <c r="AA200" s="30">
        <f>SUM(E200:O200)/21*75 + IF(AM200, -(MAX((U200-1800)/10, -40)), 0)+T200 + S200 + (P200-100)*0.5+AI200 +W200</f>
        <v/>
      </c>
      <c r="AD200" s="32" t="n"/>
      <c r="AI200" s="450" t="n"/>
      <c r="AK200" s="45" t="n"/>
      <c r="AX200" s="199" t="n"/>
      <c r="AY200" s="199" t="n"/>
      <c r="AZ200" s="199" t="n"/>
      <c r="BG200" s="120" t="n"/>
    </row>
    <row r="201" hidden="1" s="37">
      <c r="A201" s="552" t="n"/>
      <c r="B201" s="550">
        <f>B200+1</f>
        <v/>
      </c>
      <c r="C201" s="45" t="inlineStr">
        <is>
          <t>S</t>
        </is>
      </c>
      <c r="D201" s="30">
        <f>SUM(T201,AA201)</f>
        <v/>
      </c>
      <c r="L201" s="216" t="n"/>
      <c r="P201" s="59" t="n"/>
      <c r="U201" s="31">
        <f>SUM(AM201,AP201,AS201,AV201,AY201,BE201,BB201)</f>
        <v/>
      </c>
      <c r="W201" s="30" t="n"/>
      <c r="X201" s="30">
        <f>AA201-W201</f>
        <v/>
      </c>
      <c r="Y201" s="32">
        <f>'0₦'!AE200*2  + 0</f>
        <v/>
      </c>
      <c r="Z201" s="279" t="n"/>
      <c r="AA201" s="30">
        <f>SUM(E201:O201)/21*75 + IF(AM201, -(MAX((U201-1800)/10, -40)), 0)+T201 + S201 + (P201-100)*0.5+AI201 +W201</f>
        <v/>
      </c>
      <c r="AD201" s="32" t="n"/>
      <c r="AI201" s="450" t="n"/>
      <c r="AK201" s="45" t="n"/>
      <c r="AR201" s="450" t="n"/>
      <c r="BG201" s="120" t="n"/>
    </row>
    <row r="202" hidden="1" s="37">
      <c r="A202" s="462">
        <f>A195+0.1</f>
        <v/>
      </c>
      <c r="B202" s="550">
        <f>B201+1</f>
        <v/>
      </c>
      <c r="C202" s="45" t="inlineStr">
        <is>
          <t>S</t>
        </is>
      </c>
      <c r="D202" s="30">
        <f>SUM(T202,AA202)</f>
        <v/>
      </c>
      <c r="L202" s="216" t="n"/>
      <c r="P202" s="59" t="n"/>
      <c r="U202" s="31">
        <f>SUM(AM202,AP202,AS202,AV202,AY202,BE202,BB202)</f>
        <v/>
      </c>
      <c r="W202" s="30" t="n"/>
      <c r="X202" s="30">
        <f>AA202-W202</f>
        <v/>
      </c>
      <c r="Y202" s="32">
        <f>'0₦'!AE201*2  + 0</f>
        <v/>
      </c>
      <c r="Z202" s="279" t="n"/>
      <c r="AA202" s="30">
        <f>SUM(E202:O202)/21*75 + IF(AM202, -(MAX((U202-1800)/10, -40)), 0)+T202 + S202 + (P202-100)*0.5+AI202 +W202</f>
        <v/>
      </c>
      <c r="AD202" s="32" t="n"/>
      <c r="AI202" s="450" t="n"/>
      <c r="AK202" s="45" t="n"/>
      <c r="AR202" s="450" t="n"/>
      <c r="BG202" s="120" t="n"/>
    </row>
    <row r="203" hidden="1" s="37">
      <c r="A203" s="551" t="n"/>
      <c r="B203" s="550">
        <f>B202+1</f>
        <v/>
      </c>
      <c r="C203" s="45" t="inlineStr">
        <is>
          <t>M</t>
        </is>
      </c>
      <c r="D203" s="30">
        <f>SUM(T203,AA203)</f>
        <v/>
      </c>
      <c r="L203" s="216" t="n"/>
      <c r="P203" s="59" t="n"/>
      <c r="U203" s="31">
        <f>SUM(AM203,AP203,AS203,AV203,AY203,BE203,BB203)</f>
        <v/>
      </c>
      <c r="W203" s="30" t="n"/>
      <c r="X203" s="30">
        <f>AA203-W203</f>
        <v/>
      </c>
      <c r="Y203" s="32">
        <f>'0₦'!AE202*2  + 0</f>
        <v/>
      </c>
      <c r="Z203" s="279" t="n"/>
      <c r="AA203" s="30">
        <f>SUM(E203:O203)/21*75 + IF(AM203, -(MAX((U203-1800)/10, -40)), 0)+T203 + S203 + (P203-100)*0.5+AI203 +W203</f>
        <v/>
      </c>
      <c r="AD203" s="32" t="n"/>
      <c r="AI203" s="450" t="n"/>
      <c r="AK203" s="45" t="n"/>
      <c r="AR203" s="450" t="n"/>
      <c r="BG203" s="120" t="n"/>
    </row>
    <row r="204" hidden="1" s="37">
      <c r="A204" s="551" t="n"/>
      <c r="B204" s="550">
        <f>B203+1</f>
        <v/>
      </c>
      <c r="C204" s="45" t="inlineStr">
        <is>
          <t>T</t>
        </is>
      </c>
      <c r="D204" s="30">
        <f>SUM(T204,AA204)</f>
        <v/>
      </c>
      <c r="L204" s="216" t="n"/>
      <c r="P204" s="59" t="n"/>
      <c r="U204" s="31">
        <f>SUM(AM204,AP204,AS204,AV204,AY204,BE204,BB204)</f>
        <v/>
      </c>
      <c r="W204" s="30" t="n"/>
      <c r="X204" s="30">
        <f>AA204-W204</f>
        <v/>
      </c>
      <c r="Y204" s="32">
        <f>'0₦'!AE203*2  + 0</f>
        <v/>
      </c>
      <c r="Z204" s="279" t="n"/>
      <c r="AA204" s="30">
        <f>SUM(E204:O204)/21*75 + IF(AM204, -(MAX((U204-1800)/10, -40)), 0)+T204 + S204 + (P204-100)*0.5+AI204 +W204</f>
        <v/>
      </c>
      <c r="AD204" s="32" t="n"/>
      <c r="AI204" s="450" t="n"/>
      <c r="AK204" s="45" t="n"/>
      <c r="BG204" s="120" t="n"/>
    </row>
    <row r="205" hidden="1" s="37">
      <c r="A205" s="551" t="n"/>
      <c r="B205" s="550">
        <f>B204+1</f>
        <v/>
      </c>
      <c r="C205" s="45" t="inlineStr">
        <is>
          <t>W</t>
        </is>
      </c>
      <c r="D205" s="30">
        <f>SUM(T205,AA205)</f>
        <v/>
      </c>
      <c r="L205" s="216" t="n"/>
      <c r="P205" s="59" t="n"/>
      <c r="U205" s="31">
        <f>SUM(AM205,AP205,AS205,AV205,AY205,BE205,BB205)</f>
        <v/>
      </c>
      <c r="W205" s="30" t="n"/>
      <c r="X205" s="30">
        <f>AA205-W205</f>
        <v/>
      </c>
      <c r="Y205" s="32">
        <f>'0₦'!AE204*2  + 0</f>
        <v/>
      </c>
      <c r="Z205" s="279" t="n"/>
      <c r="AA205" s="30">
        <f>SUM(E205:O205)/21*75 + IF(AM205, -(MAX((U205-1800)/10, -40)), 0)+T205 + S205 + (P205-100)*0.5+AI205 +W205</f>
        <v/>
      </c>
      <c r="AD205" s="32" t="n"/>
      <c r="AI205" s="450" t="n"/>
      <c r="AK205" s="45" t="n"/>
      <c r="BG205" s="120" t="n"/>
    </row>
    <row r="206" hidden="1" s="37">
      <c r="A206" s="551" t="n"/>
      <c r="B206" s="550">
        <f>B205+1</f>
        <v/>
      </c>
      <c r="C206" s="45" t="inlineStr">
        <is>
          <t>Th</t>
        </is>
      </c>
      <c r="D206" s="30">
        <f>SUM(T206,AA206)</f>
        <v/>
      </c>
      <c r="L206" s="216" t="n"/>
      <c r="P206" s="59" t="n"/>
      <c r="U206" s="31">
        <f>SUM(AM206,AP206,AS206,AV206,AY206,BE206,BB206)</f>
        <v/>
      </c>
      <c r="V206" s="483">
        <f>AVERAGE(U206:U212)</f>
        <v/>
      </c>
      <c r="W206" s="30" t="n"/>
      <c r="X206" s="30">
        <f>AA206-W206</f>
        <v/>
      </c>
      <c r="Y206" s="32">
        <f>'0₦'!AE205*2  + 0</f>
        <v/>
      </c>
      <c r="Z206" s="279" t="n"/>
      <c r="AA206" s="30">
        <f>SUM(E206:O206)/21*75 + IF(AM206, -(MAX((U206-1800)/10, -40)), 0)+T206 + S206 + (P206-100)*0.5+AI206 +W206</f>
        <v/>
      </c>
      <c r="AB206" s="477">
        <f>AVERAGE(AA206:AA212)</f>
        <v/>
      </c>
      <c r="AC206" s="498">
        <f>AVERAGE(Y206:Y212)</f>
        <v/>
      </c>
      <c r="AD206" s="32" t="n"/>
      <c r="AF206" s="478">
        <f>SUM(AE206:AE212)</f>
        <v/>
      </c>
      <c r="AG206" s="22" t="n"/>
      <c r="AH206" s="480" t="n"/>
      <c r="AI206" s="450" t="n"/>
      <c r="AK206" s="45" t="n"/>
      <c r="BG206" s="120" t="n"/>
      <c r="BH206" s="445" t="n"/>
      <c r="BI206" s="473" t="n"/>
      <c r="BJ206" s="445" t="n"/>
      <c r="BK206" s="472" t="n"/>
    </row>
    <row r="207" hidden="1" s="37">
      <c r="A207" s="551" t="n"/>
      <c r="B207" s="550">
        <f>B206+1</f>
        <v/>
      </c>
      <c r="C207" s="45" t="inlineStr">
        <is>
          <t>F</t>
        </is>
      </c>
      <c r="D207" s="30">
        <f>SUM(T207,AA207)</f>
        <v/>
      </c>
      <c r="L207" s="216" t="n"/>
      <c r="P207" s="59" t="n"/>
      <c r="U207" s="31">
        <f>SUM(AM207,AP207,AS207,AV207,AY207,BE207,BB207)</f>
        <v/>
      </c>
      <c r="W207" s="30" t="n"/>
      <c r="X207" s="30">
        <f>AA207-W207</f>
        <v/>
      </c>
      <c r="Y207" s="32">
        <f>'0₦'!AE206*2  + 0</f>
        <v/>
      </c>
      <c r="Z207" s="279" t="n"/>
      <c r="AA207" s="30">
        <f>SUM(E207:O207)/21*75 + IF(AM207, -(MAX((U207-1800)/10, -40)), 0)+T207 + S207 + (P207-100)*0.5+AI207 +W207</f>
        <v/>
      </c>
      <c r="AD207" s="32" t="n"/>
      <c r="AI207" s="450" t="n"/>
      <c r="AK207" s="45" t="n"/>
      <c r="BG207" s="120" t="n"/>
    </row>
    <row r="208" hidden="1" s="37">
      <c r="A208" s="552" t="n"/>
      <c r="B208" s="550">
        <f>B207+1</f>
        <v/>
      </c>
      <c r="C208" s="45" t="inlineStr">
        <is>
          <t>S</t>
        </is>
      </c>
      <c r="D208" s="30">
        <f>SUM(T208,AA208)</f>
        <v/>
      </c>
      <c r="L208" s="216" t="n"/>
      <c r="P208" s="59" t="n"/>
      <c r="U208" s="31">
        <f>SUM(AM208,AP208,AS208,AV208,AY208,BE208,BB208)</f>
        <v/>
      </c>
      <c r="W208" s="30" t="n"/>
      <c r="X208" s="30">
        <f>AA208-W208</f>
        <v/>
      </c>
      <c r="Y208" s="32">
        <f>'0₦'!AE207*2  + 0</f>
        <v/>
      </c>
      <c r="Z208" s="279" t="n"/>
      <c r="AA208" s="30">
        <f>SUM(E208:O208)/21*75 + IF(AM208, -(MAX((U208-1800)/10, -40)), 0)+T208 + S208 + (P208-100)*0.5+AI208 +W208</f>
        <v/>
      </c>
      <c r="AD208" s="32" t="n"/>
      <c r="AI208" s="450" t="n"/>
      <c r="AK208" s="45" t="n"/>
      <c r="AR208" s="450" t="n"/>
      <c r="BG208" s="120" t="n"/>
    </row>
    <row r="209" hidden="1" s="37">
      <c r="A209" s="462">
        <f>A202+0.1</f>
        <v/>
      </c>
      <c r="B209" s="550">
        <f>B208+1</f>
        <v/>
      </c>
      <c r="C209" s="45" t="inlineStr">
        <is>
          <t>S</t>
        </is>
      </c>
      <c r="D209" s="30">
        <f>SUM(T209,AA209)</f>
        <v/>
      </c>
      <c r="L209" s="216" t="n"/>
      <c r="P209" s="59" t="n"/>
      <c r="U209" s="31">
        <f>SUM(AM209,AP209,AS209,AV209,AY209,BE209,BB209)</f>
        <v/>
      </c>
      <c r="W209" s="30" t="n"/>
      <c r="X209" s="30">
        <f>AA209-W209</f>
        <v/>
      </c>
      <c r="Y209" s="32">
        <f>'0₦'!AE208*2  + 0</f>
        <v/>
      </c>
      <c r="Z209" s="279" t="n"/>
      <c r="AA209" s="30">
        <f>SUM(E209:O209)/21*75 + IF(AM209, -(MAX((U209-1800)/10, -40)), 0)+T209 + S209 + (P209-100)*0.5+AI209 +W209</f>
        <v/>
      </c>
      <c r="AD209" s="32" t="n"/>
      <c r="AI209" s="450" t="n"/>
      <c r="AK209" s="45" t="n"/>
      <c r="BG209" s="120" t="n"/>
    </row>
    <row r="210" hidden="1" s="37">
      <c r="A210" s="551" t="n"/>
      <c r="B210" s="550">
        <f>B209+1</f>
        <v/>
      </c>
      <c r="C210" s="45" t="inlineStr">
        <is>
          <t>M</t>
        </is>
      </c>
      <c r="D210" s="30">
        <f>SUM(T210,AA210)</f>
        <v/>
      </c>
      <c r="L210" s="216" t="n"/>
      <c r="P210" s="59" t="n"/>
      <c r="U210" s="31">
        <f>SUM(AM210,AP210,AS210,AV210,AY210,BE210,BB210)</f>
        <v/>
      </c>
      <c r="W210" s="30" t="n"/>
      <c r="X210" s="30">
        <f>AA210-W210</f>
        <v/>
      </c>
      <c r="Y210" s="32">
        <f>'0₦'!AE209*2  + 0</f>
        <v/>
      </c>
      <c r="Z210" s="279" t="n"/>
      <c r="AA210" s="30">
        <f>SUM(E210:O210)/21*75 + IF(AM210, -(MAX((U210-1800)/10, -40)), 0)+T210 + S210 + (P210-100)*0.5+AI210 +W210</f>
        <v/>
      </c>
      <c r="AD210" s="32" t="n"/>
      <c r="AI210" s="450" t="n"/>
      <c r="AK210" s="45" t="n"/>
      <c r="AR210" s="450" t="n"/>
      <c r="BG210" s="120" t="n"/>
    </row>
    <row r="211" hidden="1" s="37">
      <c r="A211" s="551" t="n"/>
      <c r="B211" s="550">
        <f>B210+1</f>
        <v/>
      </c>
      <c r="C211" s="45" t="inlineStr">
        <is>
          <t>T</t>
        </is>
      </c>
      <c r="D211" s="30">
        <f>SUM(T211,AA211)</f>
        <v/>
      </c>
      <c r="L211" s="216" t="n"/>
      <c r="P211" s="59" t="n"/>
      <c r="U211" s="31">
        <f>SUM(AM211,AP211,AS211,AV211,AY211,BE211,BB211)</f>
        <v/>
      </c>
      <c r="W211" s="30" t="n"/>
      <c r="X211" s="30">
        <f>AA211-W211</f>
        <v/>
      </c>
      <c r="Y211" s="32">
        <f>'0₦'!AE210*2  + 0</f>
        <v/>
      </c>
      <c r="Z211" s="279" t="n"/>
      <c r="AA211" s="30">
        <f>SUM(E211:O211)/21*75 + IF(AM211, -(MAX((U211-1800)/10, -40)), 0)+T211 + S211 + (P211-100)*0.5+AI211 +W211</f>
        <v/>
      </c>
      <c r="AD211" s="32" t="n"/>
      <c r="AI211" s="450" t="n"/>
      <c r="AK211" s="45" t="n"/>
      <c r="BG211" s="120" t="n"/>
    </row>
    <row r="212" hidden="1" s="37">
      <c r="A212" s="551" t="n"/>
      <c r="B212" s="550">
        <f>B211+1</f>
        <v/>
      </c>
      <c r="C212" s="45" t="inlineStr">
        <is>
          <t>W</t>
        </is>
      </c>
      <c r="D212" s="30">
        <f>SUM(T212,AA212)</f>
        <v/>
      </c>
      <c r="L212" s="216" t="n"/>
      <c r="P212" s="59" t="n"/>
      <c r="U212" s="31">
        <f>SUM(AM212,AP212,AS212,AV212,AY212,BE212,BB212)</f>
        <v/>
      </c>
      <c r="W212" s="30" t="n"/>
      <c r="X212" s="30">
        <f>AA212-W212</f>
        <v/>
      </c>
      <c r="Y212" s="32">
        <f>'0₦'!AE211*2  + 0</f>
        <v/>
      </c>
      <c r="Z212" s="279" t="n"/>
      <c r="AA212" s="30">
        <f>SUM(E212:O212)/21*75 + IF(AM212, -(MAX((U212-1800)/10, -40)), 0)+T212 + S212 + (P212-100)*0.5+AI212 +W212</f>
        <v/>
      </c>
      <c r="AD212" s="32" t="n"/>
      <c r="AI212" s="450" t="n"/>
      <c r="AK212" s="45" t="n"/>
      <c r="BG212" s="120" t="n"/>
    </row>
    <row r="213" hidden="1" s="37">
      <c r="A213" s="551" t="n"/>
      <c r="B213" s="550">
        <f>B212+1</f>
        <v/>
      </c>
      <c r="C213" s="45" t="inlineStr">
        <is>
          <t>Th</t>
        </is>
      </c>
      <c r="D213" s="30">
        <f>SUM(T213,AA213)</f>
        <v/>
      </c>
      <c r="L213" s="216" t="n"/>
      <c r="P213" s="59" t="n"/>
      <c r="U213" s="31">
        <f>SUM(AM213,AP213,AS213,AV213,AY213,BE213,BB213)</f>
        <v/>
      </c>
      <c r="V213" s="483">
        <f>AVERAGE(U213:U219)</f>
        <v/>
      </c>
      <c r="W213" s="30" t="n"/>
      <c r="X213" s="30">
        <f>AA213-W213</f>
        <v/>
      </c>
      <c r="Y213" s="32">
        <f>'0₦'!AE212*2  + 0</f>
        <v/>
      </c>
      <c r="Z213" s="279" t="n"/>
      <c r="AA213" s="30">
        <f>SUM(E213:O213)/21*75 + IF(AM213, -(MAX((U213-1800)/10, -40)), 0)+T213 + S213 + (P213-100)*0.5+AI213 +W213</f>
        <v/>
      </c>
      <c r="AB213" s="477">
        <f>AVERAGE(AA213:AA219)</f>
        <v/>
      </c>
      <c r="AC213" s="498">
        <f>AVERAGE(Y213:Y219)</f>
        <v/>
      </c>
      <c r="AD213" s="32" t="n"/>
      <c r="AF213" s="478">
        <f>SUM(AE213:AE219)</f>
        <v/>
      </c>
      <c r="AG213" s="22" t="n"/>
      <c r="AH213" s="480" t="n"/>
      <c r="AI213" s="450" t="n"/>
      <c r="AK213" s="45" t="n"/>
      <c r="BG213" s="120" t="n"/>
      <c r="BH213" s="445" t="n"/>
      <c r="BI213" s="473" t="n"/>
      <c r="BJ213" s="445" t="n"/>
      <c r="BK213" s="472" t="n"/>
    </row>
    <row r="214" hidden="1" s="37">
      <c r="A214" s="551" t="n"/>
      <c r="B214" s="550">
        <f>B213+1</f>
        <v/>
      </c>
      <c r="C214" s="45" t="inlineStr">
        <is>
          <t>F</t>
        </is>
      </c>
      <c r="D214" s="30">
        <f>SUM(T214,AA214)</f>
        <v/>
      </c>
      <c r="L214" s="216" t="n"/>
      <c r="P214" s="59" t="n"/>
      <c r="U214" s="31">
        <f>SUM(AM214,AP214,AS214,AV214,AY214,BE214,BB214)</f>
        <v/>
      </c>
      <c r="W214" s="30" t="n"/>
      <c r="X214" s="30">
        <f>AA214-W214</f>
        <v/>
      </c>
      <c r="Y214" s="32">
        <f>'0₦'!AE213*2  + 0</f>
        <v/>
      </c>
      <c r="Z214" s="279" t="n"/>
      <c r="AA214" s="30">
        <f>SUM(E214:O214)/21*75 + IF(AM214, -(MAX((U214-1800)/10, -40)), 0)+T214 + S214 + (P214-100)*0.5+AI214 +W214</f>
        <v/>
      </c>
      <c r="AD214" s="32" t="n"/>
      <c r="AI214" s="450" t="n"/>
      <c r="AK214" s="45" t="n"/>
      <c r="BG214" s="120" t="n"/>
      <c r="BM214" s="445">
        <f>SUM(BN214:BO220)</f>
        <v/>
      </c>
      <c r="BN214" s="445">
        <f>COUNTIF('0₦'!L213:L219,"&lt;&gt;")*23</f>
        <v/>
      </c>
      <c r="BO214" s="445" t="n">
        <v>4</v>
      </c>
      <c r="BP214" s="472" t="n"/>
    </row>
    <row r="215" hidden="1" s="37">
      <c r="A215" s="552" t="n"/>
      <c r="B215" s="550">
        <f>B214+1</f>
        <v/>
      </c>
      <c r="C215" s="45" t="inlineStr">
        <is>
          <t>S</t>
        </is>
      </c>
      <c r="D215" s="30">
        <f>SUM(T215,AA215)</f>
        <v/>
      </c>
      <c r="L215" s="216" t="n"/>
      <c r="P215" s="59" t="n"/>
      <c r="U215" s="31">
        <f>SUM(AM215,AP215,AS215,AV215,AY215,BE215,BB215)</f>
        <v/>
      </c>
      <c r="W215" s="30" t="n"/>
      <c r="X215" s="30">
        <f>AA215-W215</f>
        <v/>
      </c>
      <c r="Y215" s="32">
        <f>'0₦'!AE214*2  + 0</f>
        <v/>
      </c>
      <c r="Z215" s="279" t="n"/>
      <c r="AA215" s="30">
        <f>SUM(E215:O215)/21*75 + IF(AM215, -(MAX((U215-1800)/10, -40)), 0)+T215 + S215 + (P215-100)*0.5+AI215 +W215</f>
        <v/>
      </c>
      <c r="AD215" s="32" t="n"/>
      <c r="AG215" s="450" t="n">
        <v>184.6</v>
      </c>
      <c r="AI215" s="450" t="n"/>
      <c r="AK215" s="45" t="n"/>
      <c r="AR215" s="450" t="n"/>
      <c r="BG215" s="120" t="n"/>
    </row>
    <row r="216" hidden="1" s="37">
      <c r="A216" s="462">
        <f>A188+1</f>
        <v/>
      </c>
      <c r="B216" s="550">
        <f>B215+1</f>
        <v/>
      </c>
      <c r="C216" s="45" t="inlineStr">
        <is>
          <t>S</t>
        </is>
      </c>
      <c r="D216" s="30">
        <f>SUM(T216,AA216)</f>
        <v/>
      </c>
      <c r="L216" s="216" t="n"/>
      <c r="P216" s="59" t="n"/>
      <c r="U216" s="31">
        <f>SUM(AM216,AP216,AS216,AV216,AY216,BE216,BB216)</f>
        <v/>
      </c>
      <c r="W216" s="30" t="n"/>
      <c r="X216" s="30">
        <f>AA216-W216</f>
        <v/>
      </c>
      <c r="Y216" s="32">
        <f>'0₦'!AE215*2  + 0</f>
        <v/>
      </c>
      <c r="Z216" s="279" t="n"/>
      <c r="AA216" s="30">
        <f>SUM(E216:O216)/21*75 + IF(AM216, -(MAX((U216-1800)/10, -40)), 0)+T216 + S216 + (P216-100)*0.5+AI216 +W216</f>
        <v/>
      </c>
      <c r="AD216" s="32" t="n"/>
      <c r="AI216" s="450" t="n"/>
      <c r="AK216" s="45" t="n"/>
      <c r="BG216" s="120" t="n"/>
    </row>
    <row r="217" hidden="1" s="37">
      <c r="A217" s="551" t="n"/>
      <c r="B217" s="550">
        <f>B216+1</f>
        <v/>
      </c>
      <c r="C217" s="45" t="inlineStr">
        <is>
          <t>M</t>
        </is>
      </c>
      <c r="D217" s="30">
        <f>SUM(T217,AA217)</f>
        <v/>
      </c>
      <c r="L217" s="216" t="n"/>
      <c r="P217" s="59" t="n"/>
      <c r="U217" s="31">
        <f>SUM(AM217,AP217,AS217,AV217,AY217,BE217,BB217)</f>
        <v/>
      </c>
      <c r="W217" s="30" t="n"/>
      <c r="X217" s="30">
        <f>AA217-W217</f>
        <v/>
      </c>
      <c r="Y217" s="32">
        <f>'0₦'!AE216*2  + 0</f>
        <v/>
      </c>
      <c r="Z217" s="279" t="n"/>
      <c r="AA217" s="30">
        <f>SUM(E217:O217)/21*75 + IF(AM217, -(MAX((U217-1800)/10, -40)), 0)+T217 + S217 + (P217-100)*0.5+AI217 +W217</f>
        <v/>
      </c>
      <c r="AD217" s="32" t="n"/>
      <c r="AI217" s="450" t="n"/>
      <c r="AK217" s="45" t="n"/>
      <c r="AR217" s="450" t="n"/>
      <c r="BG217" s="120" t="n"/>
    </row>
    <row r="218" hidden="1" s="37">
      <c r="A218" s="551" t="n"/>
      <c r="B218" s="550">
        <f>B217+1</f>
        <v/>
      </c>
      <c r="C218" s="45" t="inlineStr">
        <is>
          <t>T</t>
        </is>
      </c>
      <c r="D218" s="30">
        <f>SUM(T218,AA218)</f>
        <v/>
      </c>
      <c r="L218" s="216" t="n"/>
      <c r="P218" s="59" t="n"/>
      <c r="U218" s="31">
        <f>SUM(AM218,AP218,AS218,AV218,AY218,BE218,BB218)</f>
        <v/>
      </c>
      <c r="W218" s="30" t="n"/>
      <c r="X218" s="30">
        <f>AA218-W218</f>
        <v/>
      </c>
      <c r="Y218" s="32">
        <f>'0₦'!AE217*2  + 0</f>
        <v/>
      </c>
      <c r="Z218" s="279" t="n"/>
      <c r="AA218" s="30">
        <f>SUM(E218:O218)/21*75 + IF(AM218, -(MAX((U218-1800)/10, -40)), 0)+T218 + S218 + (P218-100)*0.5+AI218 +W218</f>
        <v/>
      </c>
      <c r="AD218" s="32" t="n"/>
      <c r="AI218" s="450" t="n"/>
      <c r="AK218" s="45" t="n"/>
      <c r="BG218" s="120" t="n"/>
    </row>
    <row r="219" hidden="1" s="37">
      <c r="A219" s="551" t="n"/>
      <c r="B219" s="550">
        <f>B218+1</f>
        <v/>
      </c>
      <c r="C219" s="45" t="inlineStr">
        <is>
          <t>W</t>
        </is>
      </c>
      <c r="D219" s="30">
        <f>SUM(T219,AA219)</f>
        <v/>
      </c>
      <c r="L219" s="216" t="n"/>
      <c r="P219" s="59" t="n"/>
      <c r="U219" s="31">
        <f>SUM(AM219,AP219,AS219,AV219,AY219,BE219,BB219)</f>
        <v/>
      </c>
      <c r="W219" s="30" t="n"/>
      <c r="X219" s="30">
        <f>AA219-W219</f>
        <v/>
      </c>
      <c r="Y219" s="32">
        <f>'0₦'!AE218*2  + 0</f>
        <v/>
      </c>
      <c r="Z219" s="279" t="n"/>
      <c r="AA219" s="30">
        <f>SUM(E219:O219)/21*75 + IF(AM219, -(MAX((U219-1800)/10, -40)), 0)+T219 + S219 + (P219-100)*0.5+AI219 +W219</f>
        <v/>
      </c>
      <c r="AD219" s="32" t="n"/>
      <c r="AI219" s="450" t="n"/>
      <c r="AK219" s="45" t="n"/>
      <c r="BG219" s="120" t="n"/>
    </row>
    <row r="220" hidden="1" s="37">
      <c r="A220" s="551" t="n"/>
      <c r="B220" s="550">
        <f>B219+1</f>
        <v/>
      </c>
      <c r="C220" s="45" t="inlineStr">
        <is>
          <t>Th</t>
        </is>
      </c>
      <c r="D220" s="30">
        <f>SUM(T220,AA220)</f>
        <v/>
      </c>
      <c r="L220" s="216" t="n"/>
      <c r="P220" s="59" t="n"/>
      <c r="U220" s="31">
        <f>SUM(AM220,AP220,AS220,AV220,AY220,BE220,BB220)</f>
        <v/>
      </c>
      <c r="V220" s="483">
        <f>AVERAGE(U220:U226)</f>
        <v/>
      </c>
      <c r="W220" s="30" t="n"/>
      <c r="X220" s="30">
        <f>AA220-W220</f>
        <v/>
      </c>
      <c r="Y220" s="32">
        <f>'0₦'!AE219*2  + 0</f>
        <v/>
      </c>
      <c r="Z220" s="279" t="n"/>
      <c r="AA220" s="30">
        <f>SUM(E220:O220)/21*75 + IF(AM220, -(MAX((U220-1800)/10, -40)), 0)+T220 + S220 + (P220-100)*0.5+AI220 +W220</f>
        <v/>
      </c>
      <c r="AB220" s="477">
        <f>AVERAGE(AA220:AA226)</f>
        <v/>
      </c>
      <c r="AC220" s="498">
        <f>AVERAGE(Y220:Y226)</f>
        <v/>
      </c>
      <c r="AD220" s="32" t="n"/>
      <c r="AF220" s="478">
        <f>SUM(AE220:AE226)</f>
        <v/>
      </c>
      <c r="AG220" s="22" t="n"/>
      <c r="AH220" s="480" t="n"/>
      <c r="AI220" s="450" t="n"/>
      <c r="AK220" s="45" t="n"/>
      <c r="BG220" s="120" t="n"/>
      <c r="BH220" s="445" t="n"/>
      <c r="BI220" s="473" t="n"/>
      <c r="BJ220" s="445" t="n"/>
      <c r="BK220" s="445" t="n"/>
    </row>
    <row r="221" hidden="1" s="37">
      <c r="A221" s="551" t="n"/>
      <c r="B221" s="550">
        <f>B220+1</f>
        <v/>
      </c>
      <c r="C221" s="45" t="inlineStr">
        <is>
          <t>F</t>
        </is>
      </c>
      <c r="D221" s="30">
        <f>SUM(T221,AA221)</f>
        <v/>
      </c>
      <c r="L221" s="216" t="n"/>
      <c r="P221" s="59" t="n"/>
      <c r="U221" s="31">
        <f>SUM(AM221,AP221,AS221,AV221,AY221,BE221,BB221)</f>
        <v/>
      </c>
      <c r="W221" s="30" t="n"/>
      <c r="X221" s="30">
        <f>AA221-W221</f>
        <v/>
      </c>
      <c r="Y221" s="32">
        <f>'0₦'!AE220*2  + 0</f>
        <v/>
      </c>
      <c r="Z221" s="279" t="n"/>
      <c r="AA221" s="30">
        <f>SUM(E221:O221)/21*75 + IF(AM221, -(MAX((U221-1800)/10, -40)), 0)+T221 + S221 + (P221-100)*0.5+AI221 +W221</f>
        <v/>
      </c>
      <c r="AD221" s="32" t="n"/>
      <c r="AI221" s="450" t="n"/>
      <c r="AK221" s="45" t="n"/>
      <c r="BG221" s="120" t="n"/>
      <c r="BM221" s="445">
        <f>SUM(BN221:BO227)</f>
        <v/>
      </c>
      <c r="BN221" s="445">
        <f>COUNTIF('0₦'!L220:L226,"&lt;&gt;")*23</f>
        <v/>
      </c>
      <c r="BO221" s="445" t="n">
        <v>4</v>
      </c>
      <c r="BP221" s="472" t="n"/>
    </row>
    <row r="222" hidden="1" s="37">
      <c r="A222" s="552" t="n"/>
      <c r="B222" s="550">
        <f>B221+1</f>
        <v/>
      </c>
      <c r="C222" s="45" t="inlineStr">
        <is>
          <t>S</t>
        </is>
      </c>
      <c r="D222" s="30">
        <f>SUM(T222,AA222)</f>
        <v/>
      </c>
      <c r="L222" s="216" t="n"/>
      <c r="P222" s="59" t="n"/>
      <c r="U222" s="31">
        <f>SUM(AM222,AP222,AS222,AV222,AY222,BE222,BB222)</f>
        <v/>
      </c>
      <c r="W222" s="30" t="n"/>
      <c r="X222" s="30">
        <f>AA222-W222</f>
        <v/>
      </c>
      <c r="Y222" s="32">
        <f>'0₦'!AE221*2  + 0</f>
        <v/>
      </c>
      <c r="Z222" s="279" t="n"/>
      <c r="AA222" s="30">
        <f>SUM(E222:O222)/21*75 + IF(AM222, -(MAX((U222-1800)/10, -40)), 0)+T222 + S222 + (P222-100)*0.5+AI222 +W222</f>
        <v/>
      </c>
      <c r="AD222" s="32" t="n"/>
      <c r="AI222" s="450" t="n"/>
      <c r="AK222" s="45" t="n"/>
      <c r="AR222" s="450" t="n"/>
      <c r="BG222" s="120" t="n"/>
    </row>
    <row r="223" hidden="1" s="37">
      <c r="A223" s="462">
        <f>A216+0.1</f>
        <v/>
      </c>
      <c r="B223" s="550">
        <f>B222+1</f>
        <v/>
      </c>
      <c r="C223" s="45" t="inlineStr">
        <is>
          <t>S</t>
        </is>
      </c>
      <c r="D223" s="30">
        <f>SUM(T223,AA223)</f>
        <v/>
      </c>
      <c r="L223" s="216" t="n"/>
      <c r="P223" s="59" t="n"/>
      <c r="U223" s="31">
        <f>SUM(AM223,AP223,AS223,AV223,AY223,BE223,BB223)</f>
        <v/>
      </c>
      <c r="W223" s="30" t="n"/>
      <c r="X223" s="30">
        <f>AA223-W223</f>
        <v/>
      </c>
      <c r="Y223" s="32">
        <f>'0₦'!AE222*2  + 0</f>
        <v/>
      </c>
      <c r="Z223" s="279" t="n"/>
      <c r="AA223" s="30">
        <f>SUM(E223:O223)/21*75 + IF(AM223, -(MAX((U223-1800)/10, -40)), 0)+T223 + S223 + (P223-100)*0.5+AI223 +W223</f>
        <v/>
      </c>
      <c r="AD223" s="32" t="n"/>
      <c r="AI223" s="450" t="n"/>
      <c r="AK223" s="45" t="n"/>
      <c r="BG223" s="120" t="n"/>
    </row>
    <row r="224" hidden="1" s="37">
      <c r="A224" s="551" t="n"/>
      <c r="B224" s="550">
        <f>B223+1</f>
        <v/>
      </c>
      <c r="C224" s="45" t="inlineStr">
        <is>
          <t>M</t>
        </is>
      </c>
      <c r="D224" s="30">
        <f>SUM(T224,AA224)</f>
        <v/>
      </c>
      <c r="L224" s="216" t="n"/>
      <c r="P224" s="59" t="n"/>
      <c r="U224" s="31">
        <f>SUM(AM224,AP224,AS224,AV224,AY224,BE224,BB224)</f>
        <v/>
      </c>
      <c r="W224" s="30" t="n"/>
      <c r="X224" s="30">
        <f>AA224-W224</f>
        <v/>
      </c>
      <c r="Y224" s="32">
        <f>'0₦'!AE223*2  + 0</f>
        <v/>
      </c>
      <c r="Z224" s="279" t="n"/>
      <c r="AA224" s="30">
        <f>SUM(E224:O224)/21*75 + IF(AM224, -(MAX((U224-1800)/10, -40)), 0)+T224 + S224 + (P224-100)*0.5+AI224 +W224</f>
        <v/>
      </c>
      <c r="AD224" s="32" t="n"/>
      <c r="AG224" s="450" t="n">
        <v>188.6</v>
      </c>
      <c r="AI224" s="450" t="n"/>
      <c r="AK224" s="45" t="n"/>
      <c r="AR224" s="450" t="n"/>
      <c r="BG224" s="120" t="n"/>
    </row>
    <row r="225" hidden="1" s="37">
      <c r="A225" s="551" t="n"/>
      <c r="B225" s="550">
        <f>B224+1</f>
        <v/>
      </c>
      <c r="C225" s="45" t="inlineStr">
        <is>
          <t>T</t>
        </is>
      </c>
      <c r="D225" s="30">
        <f>SUM(T225,AA225)</f>
        <v/>
      </c>
      <c r="L225" s="216" t="n"/>
      <c r="P225" s="59" t="n"/>
      <c r="U225" s="31">
        <f>SUM(AM225,AP225,AS225,AV225,AY225,BE225,BB225)</f>
        <v/>
      </c>
      <c r="W225" s="30" t="n"/>
      <c r="X225" s="30">
        <f>AA225-W225</f>
        <v/>
      </c>
      <c r="Y225" s="32">
        <f>'0₦'!AE224*2  + 0</f>
        <v/>
      </c>
      <c r="Z225" s="279" t="n"/>
      <c r="AA225" s="30">
        <f>SUM(E225:O225)/21*75 + IF(AM225, -(MAX((U225-1800)/10, -40)), 0)+T225 + S225 + (P225-100)*0.5+AI225 +W225</f>
        <v/>
      </c>
      <c r="AD225" s="32" t="n"/>
      <c r="AI225" s="450" t="n"/>
      <c r="AK225" s="45" t="n"/>
      <c r="BG225" s="120" t="n"/>
    </row>
    <row r="226" hidden="1" s="37">
      <c r="A226" s="551" t="n"/>
      <c r="B226" s="550">
        <f>B225+1</f>
        <v/>
      </c>
      <c r="C226" s="45" t="inlineStr">
        <is>
          <t>W</t>
        </is>
      </c>
      <c r="D226" s="30">
        <f>SUM(T226,AA226)</f>
        <v/>
      </c>
      <c r="L226" s="216" t="n"/>
      <c r="P226" s="59" t="n"/>
      <c r="U226" s="31">
        <f>SUM(AM226,AP226,AS226,AV226,AY226,BE226,BB226)</f>
        <v/>
      </c>
      <c r="W226" s="30" t="n"/>
      <c r="X226" s="30">
        <f>AA226-W226</f>
        <v/>
      </c>
      <c r="Y226" s="32">
        <f>'0₦'!AE225*2  + 0</f>
        <v/>
      </c>
      <c r="Z226" s="279" t="n"/>
      <c r="AA226" s="30">
        <f>SUM(E226:O226)/21*75 + IF(AM226, -(MAX((U226-1800)/10, -40)), 0)+T226 + S226 + (P226-100)*0.5+AI226 +W226</f>
        <v/>
      </c>
      <c r="AD226" s="32" t="n"/>
      <c r="AI226" s="450" t="n"/>
      <c r="AK226" s="45" t="n"/>
      <c r="BG226" s="120" t="n"/>
    </row>
    <row r="227" hidden="1" s="37">
      <c r="A227" s="551" t="n"/>
      <c r="B227" s="550">
        <f>B226+1</f>
        <v/>
      </c>
      <c r="C227" s="45" t="inlineStr">
        <is>
          <t>Th</t>
        </is>
      </c>
      <c r="D227" s="30">
        <f>SUM(T227,AA227)</f>
        <v/>
      </c>
      <c r="L227" s="216" t="n"/>
      <c r="P227" s="59" t="n"/>
      <c r="U227" s="31">
        <f>SUM(AM227,AP227,AS227,AV227,AY227,BE227,BB227)</f>
        <v/>
      </c>
      <c r="V227" s="483">
        <f>AVERAGE(U227:U233)</f>
        <v/>
      </c>
      <c r="W227" s="30" t="n"/>
      <c r="X227" s="30">
        <f>AA227-W227</f>
        <v/>
      </c>
      <c r="Y227" s="32">
        <f>'0₦'!AE226*2  + 0</f>
        <v/>
      </c>
      <c r="Z227" s="279" t="n"/>
      <c r="AA227" s="30">
        <f>SUM(E227:O227)/21*75 + IF(AM227, -(MAX((U227-1800)/10, -40)), 0)+T227 + S227 + (P227-100)*0.5+AI227 +W227</f>
        <v/>
      </c>
      <c r="AB227" s="564">
        <f>AVERAGE(AA227:AA233)</f>
        <v/>
      </c>
      <c r="AC227" s="565">
        <f>AVERAGE(Y227:Y233)</f>
        <v/>
      </c>
      <c r="AD227" s="32" t="n"/>
      <c r="AF227" s="478">
        <f>SUM(AE227:AE233)</f>
        <v/>
      </c>
      <c r="AG227" s="22" t="n"/>
      <c r="AH227" s="480" t="n"/>
      <c r="AI227" s="450" t="n"/>
      <c r="AK227" s="45" t="n"/>
      <c r="BG227" s="120" t="n"/>
      <c r="BH227" s="445" t="n"/>
      <c r="BI227" s="473" t="n"/>
      <c r="BJ227" s="445" t="n"/>
      <c r="BK227" s="445" t="n"/>
    </row>
    <row r="228" hidden="1" s="37">
      <c r="A228" s="551" t="n"/>
      <c r="B228" s="550">
        <f>B227+1</f>
        <v/>
      </c>
      <c r="C228" s="45" t="inlineStr">
        <is>
          <t>F</t>
        </is>
      </c>
      <c r="D228" s="30">
        <f>SUM(T228,AA228)</f>
        <v/>
      </c>
      <c r="L228" s="216" t="n"/>
      <c r="P228" s="59" t="n"/>
      <c r="U228" s="31">
        <f>SUM(AM228,AP228,AS228,AV228,AY228,BE228,BB228)</f>
        <v/>
      </c>
      <c r="W228" s="30" t="n"/>
      <c r="X228" s="30">
        <f>AA228-W228</f>
        <v/>
      </c>
      <c r="Y228" s="32">
        <f>'0₦'!AE227*2  + 0</f>
        <v/>
      </c>
      <c r="Z228" s="279" t="n"/>
      <c r="AA228" s="30">
        <f>SUM(E228:O228)/21*75 + IF(AM228, -(MAX((U228-1800)/10, -40)), 0)+T228 + S228 + (P228-100)*0.5+AI228 +W228</f>
        <v/>
      </c>
      <c r="AB228" s="184" t="n"/>
      <c r="AD228" s="32" t="n"/>
      <c r="AG228" s="450" t="n">
        <v>186</v>
      </c>
      <c r="AI228" s="450" t="n"/>
      <c r="AK228" s="45" t="n"/>
      <c r="BG228" s="120" t="n"/>
      <c r="BM228" s="445">
        <f>SUM(BN228:BO234)</f>
        <v/>
      </c>
      <c r="BN228" s="445">
        <f>COUNTIF('0₦'!L227:L233,"&lt;&gt;")*23</f>
        <v/>
      </c>
      <c r="BO228" s="445" t="n">
        <v>4</v>
      </c>
      <c r="BP228" s="472" t="n"/>
    </row>
    <row r="229" hidden="1" s="37">
      <c r="A229" s="552" t="n"/>
      <c r="B229" s="550">
        <f>B228+1</f>
        <v/>
      </c>
      <c r="C229" s="45" t="inlineStr">
        <is>
          <t>S</t>
        </is>
      </c>
      <c r="D229" s="30">
        <f>SUM(T229,AA229)</f>
        <v/>
      </c>
      <c r="L229" s="216" t="n"/>
      <c r="P229" s="59" t="n"/>
      <c r="U229" s="31">
        <f>SUM(AM229,AP229,AS229,AV229,AY229,BE229,BB229)</f>
        <v/>
      </c>
      <c r="W229" s="30" t="n"/>
      <c r="X229" s="30">
        <f>AA229-W229</f>
        <v/>
      </c>
      <c r="Y229" s="32">
        <f>'0₦'!AE228*2  + 0</f>
        <v/>
      </c>
      <c r="Z229" s="279" t="n"/>
      <c r="AA229" s="30">
        <f>SUM(E229:O229)/21*75 + IF(AM229, -(MAX((U229-1800)/10, -40)), 0)+T229 + S229 + (P229-100)*0.5+AI229 +W229</f>
        <v/>
      </c>
      <c r="AB229" s="184" t="n"/>
      <c r="AD229" s="32" t="n"/>
      <c r="AI229" s="450" t="n"/>
      <c r="AK229" s="45" t="n"/>
      <c r="BG229" s="120" t="n"/>
    </row>
    <row r="230" hidden="1" s="37">
      <c r="A230" s="462">
        <f>A223+0.1</f>
        <v/>
      </c>
      <c r="B230" s="550">
        <f>B229+1</f>
        <v/>
      </c>
      <c r="C230" s="45" t="inlineStr">
        <is>
          <t>S</t>
        </is>
      </c>
      <c r="D230" s="30">
        <f>SUM(T230,AA230)</f>
        <v/>
      </c>
      <c r="L230" s="216" t="n"/>
      <c r="P230" s="59" t="n"/>
      <c r="U230" s="31">
        <f>SUM(AM230,AP230,AS230,AV230,AY230,BE230,BB230)</f>
        <v/>
      </c>
      <c r="W230" s="30" t="n"/>
      <c r="X230" s="30">
        <f>AA230-W230</f>
        <v/>
      </c>
      <c r="Y230" s="32">
        <f>'0₦'!AE229*2  + 0</f>
        <v/>
      </c>
      <c r="Z230" s="279" t="n"/>
      <c r="AA230" s="30">
        <f>SUM(E230:O230)/21*75 + IF(AM230, -(MAX((U230-1800)/10, -40)), 0)+T230 + S230 + (P230-100)*0.5+AI230 +W230</f>
        <v/>
      </c>
      <c r="AB230" s="184" t="n"/>
      <c r="AD230" s="32" t="n"/>
      <c r="AI230" s="450" t="n"/>
      <c r="AK230" s="45" t="n"/>
      <c r="BG230" s="120" t="n"/>
    </row>
    <row r="231" hidden="1" s="37">
      <c r="A231" s="551" t="n"/>
      <c r="B231" s="550">
        <f>B230+1</f>
        <v/>
      </c>
      <c r="C231" s="45" t="inlineStr">
        <is>
          <t>M</t>
        </is>
      </c>
      <c r="D231" s="30">
        <f>SUM(T231,AA231)</f>
        <v/>
      </c>
      <c r="L231" s="216" t="n"/>
      <c r="P231" s="59" t="n"/>
      <c r="U231" s="31">
        <f>SUM(AM231,AP231,AS231,AV231,AY231,BE231,BB231)</f>
        <v/>
      </c>
      <c r="W231" s="30" t="n"/>
      <c r="X231" s="30">
        <f>AA231-W231</f>
        <v/>
      </c>
      <c r="Y231" s="32">
        <f>'0₦'!AE230*2  + 0</f>
        <v/>
      </c>
      <c r="Z231" s="279" t="n"/>
      <c r="AA231" s="30">
        <f>SUM(E231:O231)/21*75 + IF(AM231, -(MAX((U231-1800)/10, -40)), 0)+T231 + S231 + (P231-100)*0.5+AI231 +W231</f>
        <v/>
      </c>
      <c r="AB231" s="184" t="n"/>
      <c r="AD231" s="32" t="n"/>
      <c r="AI231" s="450" t="n"/>
      <c r="AK231" s="45" t="n"/>
      <c r="AR231" s="450" t="n"/>
      <c r="BG231" s="120" t="n"/>
    </row>
    <row r="232" hidden="1" s="37">
      <c r="A232" s="551" t="n"/>
      <c r="B232" s="550">
        <f>B231+1</f>
        <v/>
      </c>
      <c r="C232" s="45" t="inlineStr">
        <is>
          <t>T</t>
        </is>
      </c>
      <c r="D232" s="30">
        <f>SUM(T232,AA232)</f>
        <v/>
      </c>
      <c r="L232" s="216" t="n"/>
      <c r="P232" s="59" t="n"/>
      <c r="U232" s="31">
        <f>SUM(AM232,AP232,AS232,AV232,AY232,BE232,BB232)</f>
        <v/>
      </c>
      <c r="W232" s="30" t="n"/>
      <c r="X232" s="30">
        <f>AA232-W232</f>
        <v/>
      </c>
      <c r="Y232" s="32">
        <f>'0₦'!AE231*2  + 0</f>
        <v/>
      </c>
      <c r="Z232" s="279" t="n"/>
      <c r="AA232" s="30">
        <f>SUM(E232:O232)/21*75 + IF(AM232, -(MAX((U232-1800)/10, -40)), 0)+T232 + S232 + (P232-100)*0.5+AI232 +W232</f>
        <v/>
      </c>
      <c r="AB232" s="184" t="n"/>
      <c r="AD232" s="32" t="n"/>
      <c r="AI232" s="450" t="n"/>
      <c r="AK232" s="45" t="n"/>
      <c r="BG232" s="120" t="n"/>
    </row>
    <row r="233" hidden="1" s="37">
      <c r="A233" s="551" t="n"/>
      <c r="B233" s="550">
        <f>B232+1</f>
        <v/>
      </c>
      <c r="C233" s="45" t="inlineStr">
        <is>
          <t>W</t>
        </is>
      </c>
      <c r="D233" s="30">
        <f>SUM(T233,AA233)</f>
        <v/>
      </c>
      <c r="L233" s="216" t="n"/>
      <c r="P233" s="59" t="n"/>
      <c r="U233" s="31">
        <f>SUM(AM233,AP233,AS233,AV233,AY233,BE233,BB233)</f>
        <v/>
      </c>
      <c r="W233" s="30" t="n"/>
      <c r="X233" s="30">
        <f>AA233-W233</f>
        <v/>
      </c>
      <c r="Y233" s="32">
        <f>'0₦'!AE232*2  + 0</f>
        <v/>
      </c>
      <c r="Z233" s="279" t="n"/>
      <c r="AA233" s="30">
        <f>SUM(E233:O233)/21*75 + IF(AM233, -(MAX((U233-1800)/10, -40)), 0)+T233 + S233 + (P233-100)*0.5+AI233 +W233</f>
        <v/>
      </c>
      <c r="AB233" s="566" t="n"/>
      <c r="AC233" s="547" t="n"/>
      <c r="AD233" s="32" t="n"/>
      <c r="AI233" s="450" t="n"/>
      <c r="AK233" s="45" t="n"/>
      <c r="BG233" s="120" t="n"/>
    </row>
    <row r="234" hidden="1" s="37">
      <c r="A234" s="551" t="n"/>
      <c r="B234" s="550">
        <f>B233+1</f>
        <v/>
      </c>
      <c r="C234" s="45" t="inlineStr">
        <is>
          <t>Th</t>
        </is>
      </c>
      <c r="D234" s="30">
        <f>SUM(T234,AA234)</f>
        <v/>
      </c>
      <c r="L234" s="216" t="n"/>
      <c r="P234" s="59" t="n"/>
      <c r="U234" s="31">
        <f>SUM(AM234,AP234,AS234,AV234,AY234,BE234,BB234)</f>
        <v/>
      </c>
      <c r="V234" s="483">
        <f>AVERAGE(U234:U240)</f>
        <v/>
      </c>
      <c r="W234" s="30" t="n"/>
      <c r="X234" s="30">
        <f>AA234-W234</f>
        <v/>
      </c>
      <c r="Y234" s="32">
        <f>'0₦'!AE233*2  + 0</f>
        <v/>
      </c>
      <c r="Z234" s="279" t="n"/>
      <c r="AA234" s="30">
        <f>SUM(E234:O234)/21*75 + IF(AM234, -(MAX((U234-1800)/10, -40)), 0)+T234 + S234 + (P234-100)*0.5+AI234 +W234</f>
        <v/>
      </c>
      <c r="AB234" s="477">
        <f>AVERAGE(AA234:AA240)</f>
        <v/>
      </c>
      <c r="AC234" s="511">
        <f>AVERAGE(Y234:Y240)</f>
        <v/>
      </c>
      <c r="AD234" s="32" t="n"/>
      <c r="AF234" s="478">
        <f>SUM(AE234:AE240)</f>
        <v/>
      </c>
      <c r="AG234" s="22" t="n"/>
      <c r="AH234" s="480" t="n"/>
      <c r="AI234" s="450" t="n"/>
      <c r="AK234" s="45" t="n"/>
      <c r="BG234" s="120" t="n"/>
      <c r="BH234" s="445" t="n"/>
      <c r="BI234" s="473" t="n"/>
      <c r="BJ234" s="445" t="n"/>
      <c r="BK234" s="445" t="n"/>
    </row>
    <row r="235" hidden="1" s="37">
      <c r="A235" s="551" t="n"/>
      <c r="B235" s="550">
        <f>B234+1</f>
        <v/>
      </c>
      <c r="C235" s="45" t="inlineStr">
        <is>
          <t>F</t>
        </is>
      </c>
      <c r="D235" s="30">
        <f>SUM(T235,AA235)</f>
        <v/>
      </c>
      <c r="L235" s="216" t="n"/>
      <c r="P235" s="59" t="n"/>
      <c r="U235" s="31">
        <f>SUM(AM235,AP235,AS235,AV235,AY235,BE235,BB235)</f>
        <v/>
      </c>
      <c r="W235" s="30" t="n"/>
      <c r="X235" s="30">
        <f>AA235-W235</f>
        <v/>
      </c>
      <c r="Y235" s="32">
        <f>'0₦'!AE234*2  + 0</f>
        <v/>
      </c>
      <c r="Z235" s="279" t="n"/>
      <c r="AA235" s="30">
        <f>SUM(E235:O235)/21*75 + IF(AM235, -(MAX((U235-1800)/10, -40)), 0)+T235 + S235 + (P235-100)*0.5+AI235 +W235</f>
        <v/>
      </c>
      <c r="AC235" s="184" t="n"/>
      <c r="AD235" s="32" t="n"/>
      <c r="AI235" s="450" t="n"/>
      <c r="AK235" s="45" t="n"/>
      <c r="BG235" s="120" t="n"/>
      <c r="BM235" s="445">
        <f>SUM(BN235:BO241)</f>
        <v/>
      </c>
      <c r="BN235" s="445">
        <f>COUNTIF('0₦'!L234:L240,"&lt;&gt;")*23</f>
        <v/>
      </c>
      <c r="BO235" s="445" t="n">
        <v>4</v>
      </c>
      <c r="BP235" s="472" t="n"/>
    </row>
    <row r="236" hidden="1" s="37">
      <c r="A236" s="552" t="n"/>
      <c r="B236" s="550">
        <f>B235+1</f>
        <v/>
      </c>
      <c r="C236" s="45" t="inlineStr">
        <is>
          <t>S</t>
        </is>
      </c>
      <c r="D236" s="30">
        <f>SUM(T236,AA236)</f>
        <v/>
      </c>
      <c r="L236" s="216" t="n"/>
      <c r="P236" s="59" t="n"/>
      <c r="U236" s="31">
        <f>SUM(AM236,AP236,AS236,AV236,AY236,BE236,BB236)</f>
        <v/>
      </c>
      <c r="W236" s="30" t="n"/>
      <c r="X236" s="30">
        <f>AA236-W236</f>
        <v/>
      </c>
      <c r="Y236" s="32">
        <f>'0₦'!AE235*2  + 0</f>
        <v/>
      </c>
      <c r="Z236" s="279" t="n"/>
      <c r="AA236" s="30">
        <f>SUM(E236:O236)/21*75 + IF(AM236, -(MAX((U236-1800)/10, -40)), 0)+T236 + S236 + (P236-100)*0.5+AI236 +W236</f>
        <v/>
      </c>
      <c r="AC236" s="184" t="n"/>
      <c r="AD236" s="32" t="n"/>
      <c r="AI236" s="450" t="n"/>
      <c r="AK236" s="45" t="n"/>
      <c r="AR236" s="450" t="n"/>
      <c r="BG236" s="120" t="n"/>
    </row>
    <row r="237" hidden="1" s="37">
      <c r="A237" s="462">
        <f>A230+0.1</f>
        <v/>
      </c>
      <c r="B237" s="550">
        <f>B236+1</f>
        <v/>
      </c>
      <c r="C237" s="45" t="inlineStr">
        <is>
          <t>S</t>
        </is>
      </c>
      <c r="D237" s="30">
        <f>SUM(T237,AA237)</f>
        <v/>
      </c>
      <c r="L237" s="216" t="n"/>
      <c r="P237" s="59" t="n"/>
      <c r="U237" s="31">
        <f>SUM(AM237,AP237,AS237,AV237,AY237,BE237,BB237)</f>
        <v/>
      </c>
      <c r="W237" s="30" t="n"/>
      <c r="X237" s="30">
        <f>AA237-W237</f>
        <v/>
      </c>
      <c r="Y237" s="32">
        <f>'0₦'!AE236*2  + 0</f>
        <v/>
      </c>
      <c r="Z237" s="279" t="n"/>
      <c r="AA237" s="30">
        <f>SUM(E237:O237)/21*75 + IF(AM237, -(MAX((U237-1800)/10, -40)), 0)+T237 + S237 + (P237-100)*0.5+AI237 +W237</f>
        <v/>
      </c>
      <c r="AC237" s="184" t="n"/>
      <c r="AD237" s="32" t="n"/>
      <c r="AI237" s="450" t="n"/>
      <c r="AK237" s="45" t="n"/>
      <c r="BG237" s="120" t="n"/>
    </row>
    <row r="238" hidden="1" s="37">
      <c r="A238" s="551" t="n"/>
      <c r="B238" s="550">
        <f>B237+1</f>
        <v/>
      </c>
      <c r="C238" s="45" t="inlineStr">
        <is>
          <t>M</t>
        </is>
      </c>
      <c r="D238" s="30">
        <f>SUM(T238,AA238)</f>
        <v/>
      </c>
      <c r="L238" s="216" t="n"/>
      <c r="P238" s="59" t="n"/>
      <c r="U238" s="31">
        <f>SUM(AM238,AP238,AS238,AV238,AY238,BE238,BB238)</f>
        <v/>
      </c>
      <c r="W238" s="30" t="n"/>
      <c r="X238" s="30">
        <f>AA238-W238</f>
        <v/>
      </c>
      <c r="Y238" s="32">
        <f>'0₦'!AE237*2  + 0</f>
        <v/>
      </c>
      <c r="Z238" s="279" t="n"/>
      <c r="AA238" s="30">
        <f>SUM(E238:O238)/21*75 + IF(AM238, -(MAX((U238-1800)/10, -40)), 0)+T238 + S238 + (P238-100)*0.5+AI238 +W238</f>
        <v/>
      </c>
      <c r="AC238" s="184" t="n"/>
      <c r="AD238" s="32" t="n"/>
      <c r="AI238" s="450" t="n"/>
      <c r="AK238" s="45" t="n"/>
      <c r="AR238" s="450" t="n"/>
      <c r="BG238" s="120" t="n"/>
    </row>
    <row r="239" hidden="1" s="37">
      <c r="A239" s="551" t="n"/>
      <c r="B239" s="550">
        <f>B238+1</f>
        <v/>
      </c>
      <c r="C239" s="45" t="inlineStr">
        <is>
          <t>T</t>
        </is>
      </c>
      <c r="D239" s="30">
        <f>SUM(T239,AA239)</f>
        <v/>
      </c>
      <c r="L239" s="216" t="n"/>
      <c r="P239" s="59" t="n"/>
      <c r="U239" s="31">
        <f>SUM(AM239,AP239,AS239,AV239,AY239,BE239,BB239)</f>
        <v/>
      </c>
      <c r="W239" s="30" t="n"/>
      <c r="X239" s="30">
        <f>AA239-W239</f>
        <v/>
      </c>
      <c r="Y239" s="32">
        <f>'0₦'!AE238*2  + 0</f>
        <v/>
      </c>
      <c r="Z239" s="279" t="n"/>
      <c r="AA239" s="30">
        <f>SUM(E239:O239)/21*75 + IF(AM239, -(MAX((U239-1800)/10, -40)), 0)+T239 + S239 + (P239-100)*0.5+AI239 +W239</f>
        <v/>
      </c>
      <c r="AC239" s="184" t="n"/>
      <c r="AD239" s="32" t="n"/>
      <c r="AI239" s="450" t="n"/>
      <c r="AK239" s="45" t="n"/>
      <c r="BG239" s="120" t="n"/>
    </row>
    <row r="240" hidden="1" s="37">
      <c r="A240" s="551" t="n"/>
      <c r="B240" s="550">
        <f>B239+1</f>
        <v/>
      </c>
      <c r="C240" s="45" t="inlineStr">
        <is>
          <t>W</t>
        </is>
      </c>
      <c r="D240" s="30">
        <f>SUM(T240,AA240)</f>
        <v/>
      </c>
      <c r="L240" s="216" t="n"/>
      <c r="P240" s="59" t="n"/>
      <c r="U240" s="31">
        <f>SUM(AM240,AP240,AS240,AV240,AY240,BE240,BB240)</f>
        <v/>
      </c>
      <c r="W240" s="30" t="n"/>
      <c r="X240" s="30">
        <f>AA240-W240</f>
        <v/>
      </c>
      <c r="Y240" s="32">
        <f>'0₦'!AE239*2  + 0</f>
        <v/>
      </c>
      <c r="Z240" s="279" t="n"/>
      <c r="AA240" s="30">
        <f>SUM(E240:O240)/21*75 + IF(AM240, -(MAX((U240-1800)/10, -40)), 0)+T240 + S240 + (P240-100)*0.5+AI240 +W240</f>
        <v/>
      </c>
      <c r="AC240" s="184" t="n"/>
      <c r="AD240" s="32" t="n"/>
      <c r="AI240" s="450" t="n"/>
      <c r="AK240" s="45" t="n"/>
      <c r="BG240" s="120" t="n"/>
    </row>
    <row r="241" hidden="1" s="37">
      <c r="A241" s="551" t="n"/>
      <c r="B241" s="550">
        <f>B240+1</f>
        <v/>
      </c>
      <c r="C241" s="45" t="inlineStr">
        <is>
          <t>Th</t>
        </is>
      </c>
      <c r="D241" s="30">
        <f>SUM(T241,AA241)</f>
        <v/>
      </c>
      <c r="L241" s="216" t="n"/>
      <c r="P241" s="59" t="n"/>
      <c r="U241" s="31">
        <f>SUM(AM241,AP241,AS241,AV241,AY241,BE241,BB241)</f>
        <v/>
      </c>
      <c r="V241" s="483">
        <f>AVERAGE(U241:U247)</f>
        <v/>
      </c>
      <c r="W241" s="30" t="n"/>
      <c r="X241" s="30">
        <f>AA241-W241</f>
        <v/>
      </c>
      <c r="Y241" s="32">
        <f>'0₦'!AE240*2  + 0</f>
        <v/>
      </c>
      <c r="Z241" s="279" t="n"/>
      <c r="AA241" s="30">
        <f>SUM(E241:O241)/21*75 + IF(AM241, -(MAX((U241-1800)/10, -40)), 0)+T241 + S241 + (P241-100)*0.5+AI241 +W241</f>
        <v/>
      </c>
      <c r="AB241" s="477">
        <f>AVERAGE(AA241:AA247)</f>
        <v/>
      </c>
      <c r="AC241" s="476">
        <f>AVERAGE(Y241:Y247)</f>
        <v/>
      </c>
      <c r="AD241" s="32" t="n"/>
      <c r="AF241" s="567">
        <f>SUM(AE241:AE247)</f>
        <v/>
      </c>
      <c r="AG241" s="22" t="n"/>
      <c r="AH241" s="509" t="n"/>
      <c r="AI241" s="450" t="n"/>
      <c r="AK241" s="45" t="n"/>
      <c r="BG241" s="120" t="n"/>
      <c r="BH241" s="445" t="n"/>
      <c r="BI241" s="473" t="n"/>
      <c r="BJ241" s="445" t="n"/>
      <c r="BK241" s="445" t="n"/>
    </row>
    <row r="242" hidden="1" s="37">
      <c r="A242" s="551" t="n"/>
      <c r="B242" s="550">
        <f>B241+1</f>
        <v/>
      </c>
      <c r="C242" s="45" t="inlineStr">
        <is>
          <t>F</t>
        </is>
      </c>
      <c r="D242" s="30">
        <f>SUM(T242,AA242)</f>
        <v/>
      </c>
      <c r="L242" s="216" t="n"/>
      <c r="P242" s="59" t="n"/>
      <c r="U242" s="31">
        <f>SUM(AM242,AP242,AS242,AV242,AY242,BE242,BB242)</f>
        <v/>
      </c>
      <c r="W242" s="30" t="n"/>
      <c r="X242" s="30">
        <f>AA242-W242</f>
        <v/>
      </c>
      <c r="Y242" s="32">
        <f>'0₦'!AE241*2  + 0</f>
        <v/>
      </c>
      <c r="Z242" s="279" t="n"/>
      <c r="AA242" s="30">
        <f>SUM(E242:O242)/21*75 + IF(AM242, -(MAX((U242-1800)/10, -40)), 0)+T242 + S242 + (P242-100)*0.5+AI242 +W242</f>
        <v/>
      </c>
      <c r="AD242" s="32" t="n"/>
      <c r="AI242" s="450" t="n"/>
      <c r="AK242" s="45" t="n"/>
      <c r="BG242" s="120" t="n"/>
      <c r="BM242" s="445">
        <f>SUM(BN242:BO248)</f>
        <v/>
      </c>
      <c r="BN242" s="445">
        <f>COUNTIF('0₦'!L241:L247,"&lt;&gt;")*23</f>
        <v/>
      </c>
      <c r="BO242" s="445" t="n">
        <v>4</v>
      </c>
      <c r="BP242" s="472" t="n"/>
    </row>
    <row r="243" hidden="1" s="37">
      <c r="A243" s="552" t="n"/>
      <c r="B243" s="550">
        <f>B242+1</f>
        <v/>
      </c>
      <c r="C243" s="45" t="inlineStr">
        <is>
          <t>S</t>
        </is>
      </c>
      <c r="D243" s="30">
        <f>SUM(T243,AA243)</f>
        <v/>
      </c>
      <c r="L243" s="216" t="n"/>
      <c r="P243" s="59" t="n"/>
      <c r="U243" s="31">
        <f>SUM(AM243,AP243,AS243,AV243,AY243,BE243,BB243)</f>
        <v/>
      </c>
      <c r="W243" s="30" t="n"/>
      <c r="X243" s="30">
        <f>AA243-W243</f>
        <v/>
      </c>
      <c r="Y243" s="32">
        <f>'0₦'!AE242*2  + 0</f>
        <v/>
      </c>
      <c r="Z243" s="279" t="n"/>
      <c r="AA243" s="30">
        <f>SUM(E243:O243)/21*75 + IF(AM243, -(MAX((U243-1800)/10, -40)), 0)+T243 + S243 + (P243-100)*0.5+AI243 +W243</f>
        <v/>
      </c>
      <c r="AD243" s="32" t="n"/>
      <c r="AI243" s="450" t="n"/>
      <c r="AK243" s="45" t="n"/>
      <c r="AR243" s="450" t="n"/>
      <c r="BG243" s="120" t="n"/>
    </row>
    <row r="244" hidden="1" s="37">
      <c r="A244" s="462">
        <f>A216+1</f>
        <v/>
      </c>
      <c r="B244" s="550">
        <f>B243+1</f>
        <v/>
      </c>
      <c r="C244" s="45" t="inlineStr">
        <is>
          <t>S</t>
        </is>
      </c>
      <c r="D244" s="30">
        <f>SUM(T244,AA244)</f>
        <v/>
      </c>
      <c r="L244" s="216" t="n"/>
      <c r="P244" s="59" t="n"/>
      <c r="U244" s="31">
        <f>SUM(AM244,AP244,AS244,AV244,AY244,BE244,BB244)</f>
        <v/>
      </c>
      <c r="W244" s="30" t="n"/>
      <c r="X244" s="30">
        <f>AA244-W244</f>
        <v/>
      </c>
      <c r="Y244" s="32">
        <f>'0₦'!AE243*2  + 0</f>
        <v/>
      </c>
      <c r="Z244" s="279" t="n"/>
      <c r="AA244" s="30">
        <f>SUM(E244:O244)/21*75 + IF(AM244, -(MAX((U244-1800)/10, -40)), 0)+T244 + S244 + (P244-100)*0.5+AI244 +W244</f>
        <v/>
      </c>
      <c r="AD244" s="32" t="n"/>
      <c r="AI244" s="450" t="n"/>
      <c r="AK244" s="45" t="n"/>
      <c r="BG244" s="120" t="n"/>
    </row>
    <row r="245" hidden="1" s="37">
      <c r="A245" s="551" t="n"/>
      <c r="B245" s="550">
        <f>B244+1</f>
        <v/>
      </c>
      <c r="C245" s="45" t="inlineStr">
        <is>
          <t>M</t>
        </is>
      </c>
      <c r="D245" s="30">
        <f>SUM(T245,AA245)</f>
        <v/>
      </c>
      <c r="L245" s="216" t="n"/>
      <c r="P245" s="59" t="n"/>
      <c r="U245" s="31">
        <f>SUM(AM245,AP245,AS245,AV245,AY245,BE245,BB245)</f>
        <v/>
      </c>
      <c r="W245" s="30" t="n"/>
      <c r="X245" s="30">
        <f>AA245-W245</f>
        <v/>
      </c>
      <c r="Y245" s="32">
        <f>'0₦'!AE244*2  + 0</f>
        <v/>
      </c>
      <c r="Z245" s="279" t="n"/>
      <c r="AA245" s="30">
        <f>SUM(E245:O245)/21*75 + IF(AM245, -(MAX((U245-1800)/10, -40)), 0)+T245 + S245 + (P245-100)*0.5+AI245 +W245</f>
        <v/>
      </c>
      <c r="AD245" s="32" t="n"/>
      <c r="AI245" s="450" t="n"/>
      <c r="AK245" s="45" t="n"/>
      <c r="AR245" s="450" t="n"/>
      <c r="BG245" s="120" t="n"/>
    </row>
    <row r="246" hidden="1" s="37">
      <c r="A246" s="551" t="n"/>
      <c r="B246" s="550">
        <f>B245+1</f>
        <v/>
      </c>
      <c r="C246" s="45" t="inlineStr">
        <is>
          <t>T</t>
        </is>
      </c>
      <c r="D246" s="30">
        <f>SUM(T246,AA246)</f>
        <v/>
      </c>
      <c r="L246" s="216" t="n"/>
      <c r="P246" s="59" t="n"/>
      <c r="U246" s="31">
        <f>SUM(AM246,AP246,AS246,AV246,AY246,BE246,BB246)</f>
        <v/>
      </c>
      <c r="W246" s="30" t="n"/>
      <c r="X246" s="30">
        <f>AA246-W246</f>
        <v/>
      </c>
      <c r="Y246" s="32">
        <f>'0₦'!AE245*2  + 0</f>
        <v/>
      </c>
      <c r="Z246" s="279" t="n"/>
      <c r="AA246" s="30">
        <f>SUM(E246:O246)/21*75 + IF(AM246, -(MAX((U246-1800)/10, -40)), 0)+T246 + S246 + (P246-100)*0.5+AI246 +W246</f>
        <v/>
      </c>
      <c r="AD246" s="32" t="n"/>
      <c r="AI246" s="450" t="n"/>
      <c r="AK246" s="45" t="n"/>
      <c r="BG246" s="120" t="n"/>
    </row>
    <row r="247" hidden="1" s="37">
      <c r="A247" s="551" t="n"/>
      <c r="B247" s="550">
        <f>B246+1</f>
        <v/>
      </c>
      <c r="C247" s="45" t="inlineStr">
        <is>
          <t>W</t>
        </is>
      </c>
      <c r="D247" s="30">
        <f>SUM(T247,AA247)</f>
        <v/>
      </c>
      <c r="L247" s="216" t="n"/>
      <c r="P247" s="59" t="n"/>
      <c r="U247" s="31">
        <f>SUM(AM247,AP247,AS247,AV247,AY247,BE247,BB247)</f>
        <v/>
      </c>
      <c r="W247" s="30" t="n"/>
      <c r="X247" s="30">
        <f>AA247-W247</f>
        <v/>
      </c>
      <c r="Y247" s="32">
        <f>'0₦'!AE246*2  + 0</f>
        <v/>
      </c>
      <c r="Z247" s="279" t="n"/>
      <c r="AA247" s="30">
        <f>SUM(E247:O247)/21*75 + IF(AM247, -(MAX((U247-1800)/10, -40)), 0)+T247 + S247 + (P247-100)*0.5+AI247 +W247</f>
        <v/>
      </c>
      <c r="AD247" s="32" t="n"/>
      <c r="AF247" s="568" t="n"/>
      <c r="AG247" s="265" t="n"/>
      <c r="AI247" s="450" t="n"/>
      <c r="AK247" s="45" t="n"/>
      <c r="BG247" s="120" t="n"/>
    </row>
    <row r="248" hidden="1" s="37">
      <c r="A248" s="551" t="n"/>
      <c r="B248" s="550">
        <f>B247+1</f>
        <v/>
      </c>
      <c r="C248" s="45" t="inlineStr">
        <is>
          <t>Th</t>
        </is>
      </c>
      <c r="D248" s="30">
        <f>SUM(T248,AA248)</f>
        <v/>
      </c>
      <c r="L248" s="216" t="n"/>
      <c r="P248" s="59" t="n"/>
      <c r="U248" s="31">
        <f>SUM(AM248,AP248,AS248,AV248,AY248,BE248,BB248)</f>
        <v/>
      </c>
      <c r="V248" s="483">
        <f>AVERAGE(U248:U254)</f>
        <v/>
      </c>
      <c r="W248" s="30" t="n"/>
      <c r="X248" s="30">
        <f>AA248-W248</f>
        <v/>
      </c>
      <c r="Y248" s="32">
        <f>'0₦'!AE247*2  + 0</f>
        <v/>
      </c>
      <c r="Z248" s="279" t="n"/>
      <c r="AA248" s="30">
        <f>SUM(E248:O248)/21*75 + IF(AM248, -(MAX((U248-1800)/10, -40)), 0)+T248 + S248 + (P248-100)*0.5+AI248 +W248</f>
        <v/>
      </c>
      <c r="AB248" s="477">
        <f>AVERAGE(AA248:AA254)</f>
        <v/>
      </c>
      <c r="AC248" s="476">
        <f>AVERAGE(Y248:Y254)</f>
        <v/>
      </c>
      <c r="AD248" s="32" t="n"/>
      <c r="AF248" s="478">
        <f>SUM(AE248:AE254)</f>
        <v/>
      </c>
      <c r="AG248" s="22" t="n"/>
      <c r="AH248" s="509" t="n"/>
      <c r="AI248" s="450" t="n"/>
      <c r="AK248" s="45" t="n"/>
      <c r="BG248" s="120" t="n"/>
      <c r="BH248" s="445" t="n"/>
      <c r="BI248" s="473" t="n"/>
      <c r="BJ248" s="445" t="n"/>
      <c r="BK248" s="445" t="n"/>
    </row>
    <row r="249" hidden="1" s="37">
      <c r="A249" s="551" t="n"/>
      <c r="B249" s="550">
        <f>B248+1</f>
        <v/>
      </c>
      <c r="C249" s="45" t="inlineStr">
        <is>
          <t>F</t>
        </is>
      </c>
      <c r="D249" s="30">
        <f>SUM(T249,AA249)</f>
        <v/>
      </c>
      <c r="L249" s="216" t="n"/>
      <c r="P249" s="59" t="n"/>
      <c r="U249" s="31">
        <f>SUM(AM249,AP249,AS249,AV249,AY249,BE249,BB249)</f>
        <v/>
      </c>
      <c r="W249" s="30" t="n"/>
      <c r="X249" s="30">
        <f>AA249-W249</f>
        <v/>
      </c>
      <c r="Y249" s="32">
        <f>'0₦'!AE248*2  + 0</f>
        <v/>
      </c>
      <c r="Z249" s="279" t="n"/>
      <c r="AA249" s="30">
        <f>SUM(E249:O249)/21*75 + IF(AM249, -(MAX((U249-1800)/10, -40)), 0)+T249 + S249 + (P249-100)*0.5+AI249 +W249</f>
        <v/>
      </c>
      <c r="AD249" s="32" t="n"/>
      <c r="AI249" s="450" t="n"/>
      <c r="AK249" s="45" t="n"/>
      <c r="BG249" s="120" t="n"/>
      <c r="BM249" s="445">
        <f>SUM(BN249:BO255)</f>
        <v/>
      </c>
      <c r="BN249" s="445">
        <f>COUNTIF('0₦'!L248:L254,"&lt;&gt;")*23</f>
        <v/>
      </c>
      <c r="BO249" s="445" t="n">
        <v>4</v>
      </c>
    </row>
    <row r="250" hidden="1" s="37">
      <c r="A250" s="552" t="n"/>
      <c r="B250" s="550">
        <f>B249+1</f>
        <v/>
      </c>
      <c r="C250" s="45" t="inlineStr">
        <is>
          <t>S</t>
        </is>
      </c>
      <c r="D250" s="30">
        <f>SUM(T250,AA250)</f>
        <v/>
      </c>
      <c r="L250" s="216" t="n"/>
      <c r="P250" s="59" t="n"/>
      <c r="U250" s="31">
        <f>SUM(AM250,AP250,AS250,AV250,AY250,BE250,BB250)</f>
        <v/>
      </c>
      <c r="W250" s="30" t="n"/>
      <c r="X250" s="30">
        <f>AA250-W250</f>
        <v/>
      </c>
      <c r="Y250" s="32">
        <f>'0₦'!AE249*2  + 0</f>
        <v/>
      </c>
      <c r="Z250" s="279" t="n"/>
      <c r="AA250" s="30">
        <f>SUM(E250:O250)/21*75 + IF(AM250, -(MAX((U250-1800)/10, -40)), 0)+T250 + S250 + (P250-100)*0.5+AI250 +W250</f>
        <v/>
      </c>
      <c r="AD250" s="32" t="n"/>
      <c r="AI250" s="450" t="n"/>
      <c r="AK250" s="45" t="n"/>
      <c r="AR250" s="450" t="n"/>
      <c r="BG250" s="120" t="n"/>
    </row>
    <row r="251" hidden="1" s="37">
      <c r="A251" s="462">
        <f>A244+0.1</f>
        <v/>
      </c>
      <c r="B251" s="550">
        <f>B250+1</f>
        <v/>
      </c>
      <c r="C251" s="45" t="inlineStr">
        <is>
          <t>S</t>
        </is>
      </c>
      <c r="D251" s="30">
        <f>SUM(T251,AA251)</f>
        <v/>
      </c>
      <c r="L251" s="216" t="n"/>
      <c r="P251" s="59" t="n"/>
      <c r="U251" s="31">
        <f>SUM(AM251,AP251,AS251,AV251,AY251,BE251,BB251)</f>
        <v/>
      </c>
      <c r="W251" s="30" t="n"/>
      <c r="X251" s="30">
        <f>AA251-W251</f>
        <v/>
      </c>
      <c r="Y251" s="32">
        <f>'0₦'!AE250*2  + 0</f>
        <v/>
      </c>
      <c r="Z251" s="279" t="n"/>
      <c r="AA251" s="30">
        <f>SUM(E251:O251)/21*75 + IF(AM251, -(MAX((U251-1800)/10, -40)), 0)+T251 + S251 + (P251-100)*0.5+AI251 +W251</f>
        <v/>
      </c>
      <c r="AD251" s="32" t="n"/>
      <c r="AI251" s="450" t="n"/>
      <c r="AK251" s="45" t="n"/>
      <c r="BG251" s="120" t="n"/>
    </row>
    <row r="252" hidden="1" s="37">
      <c r="A252" s="551" t="n"/>
      <c r="B252" s="550">
        <f>B251+1</f>
        <v/>
      </c>
      <c r="C252" s="45" t="inlineStr">
        <is>
          <t>M</t>
        </is>
      </c>
      <c r="D252" s="30">
        <f>SUM(T252,AA252)</f>
        <v/>
      </c>
      <c r="L252" s="216" t="n"/>
      <c r="P252" s="59" t="n"/>
      <c r="U252" s="31">
        <f>SUM(AM252,AP252,AS252,AV252,AY252,BE252,BB252)</f>
        <v/>
      </c>
      <c r="W252" s="30" t="n"/>
      <c r="X252" s="30">
        <f>AA252-W252</f>
        <v/>
      </c>
      <c r="Y252" s="32">
        <f>'0₦'!AE251*2  + 0</f>
        <v/>
      </c>
      <c r="Z252" s="279" t="n"/>
      <c r="AA252" s="30">
        <f>SUM(E252:O252)/21*75 + IF(AM252, -(MAX((U252-1800)/10, -40)), 0)+T252 + S252 + (P252-100)*0.5+AI252 +W252</f>
        <v/>
      </c>
      <c r="AD252" s="32" t="n"/>
      <c r="AI252" s="450" t="n"/>
      <c r="AK252" s="45" t="n"/>
      <c r="AR252" s="450" t="n"/>
      <c r="BG252" s="120" t="n"/>
    </row>
    <row r="253" hidden="1" s="37">
      <c r="A253" s="551" t="n"/>
      <c r="B253" s="550">
        <f>B252+1</f>
        <v/>
      </c>
      <c r="C253" s="45" t="inlineStr">
        <is>
          <t>T</t>
        </is>
      </c>
      <c r="D253" s="30">
        <f>SUM(T253,AA253)</f>
        <v/>
      </c>
      <c r="L253" s="216" t="n"/>
      <c r="P253" s="59" t="n"/>
      <c r="U253" s="31">
        <f>SUM(AM253,AP253,AS253,AV253,AY253,BE253,BB253)</f>
        <v/>
      </c>
      <c r="W253" s="30" t="n"/>
      <c r="X253" s="30">
        <f>AA253-W253</f>
        <v/>
      </c>
      <c r="Y253" s="32">
        <f>'0₦'!AE252*2  + 0</f>
        <v/>
      </c>
      <c r="Z253" s="279" t="n"/>
      <c r="AA253" s="30">
        <f>SUM(E253:O253)/21*75 + IF(AM253, -(MAX((U253-1800)/10, -40)), 0)+T253 + S253 + (P253-100)*0.5+AI253 +W253</f>
        <v/>
      </c>
      <c r="AD253" s="32" t="n"/>
      <c r="AI253" s="450" t="n"/>
      <c r="AK253" s="45" t="n"/>
      <c r="BG253" s="120" t="n"/>
    </row>
    <row r="254" hidden="1" s="37">
      <c r="A254" s="551" t="n"/>
      <c r="B254" s="550">
        <f>B253+1</f>
        <v/>
      </c>
      <c r="C254" s="45" t="inlineStr">
        <is>
          <t>W</t>
        </is>
      </c>
      <c r="D254" s="30">
        <f>SUM(T254,AA254)</f>
        <v/>
      </c>
      <c r="L254" s="216" t="n"/>
      <c r="P254" s="59" t="n"/>
      <c r="U254" s="31">
        <f>SUM(AM254,AP254,AS254,AV254,AY254,BE254,BB254)</f>
        <v/>
      </c>
      <c r="W254" s="30" t="n"/>
      <c r="X254" s="30">
        <f>AA254-W254</f>
        <v/>
      </c>
      <c r="Y254" s="32">
        <f>'0₦'!AE253*2  + 0</f>
        <v/>
      </c>
      <c r="Z254" s="279" t="n"/>
      <c r="AA254" s="30">
        <f>SUM(E254:O254)/21*75 + IF(AM254, -(MAX((U254-1800)/10, -40)), 0)+T254 + S254 + (P254-100)*0.5+AI254 +W254</f>
        <v/>
      </c>
      <c r="AD254" s="32" t="n"/>
      <c r="AI254" s="450" t="n"/>
      <c r="AK254" s="45" t="n"/>
      <c r="BG254" s="120" t="n"/>
    </row>
    <row r="255" hidden="1" s="37">
      <c r="A255" s="551" t="n"/>
      <c r="B255" s="550">
        <f>B254+1</f>
        <v/>
      </c>
      <c r="C255" s="45" t="inlineStr">
        <is>
          <t>Th</t>
        </is>
      </c>
      <c r="D255" s="30">
        <f>SUM(T255,AA255)</f>
        <v/>
      </c>
      <c r="L255" s="216" t="n"/>
      <c r="P255" s="59" t="n"/>
      <c r="U255" s="31">
        <f>SUM(AM255,AP255,AS255,AV255,AY255,BE255,BB255)</f>
        <v/>
      </c>
      <c r="V255" s="483">
        <f>AVERAGE(U255:U261)</f>
        <v/>
      </c>
      <c r="W255" s="30" t="n"/>
      <c r="X255" s="30">
        <f>AA255-W255</f>
        <v/>
      </c>
      <c r="Y255" s="32">
        <f>'0₦'!AE254*2  + 0</f>
        <v/>
      </c>
      <c r="Z255" s="279" t="n"/>
      <c r="AA255" s="30">
        <f>SUM(E255:O255)/21*75 + IF(AM255, -(MAX((U255-1800)/10, -40)), 0)+T255 + S255 + (P255-100)*0.5+AI255 +W255</f>
        <v/>
      </c>
      <c r="AB255" s="477">
        <f>AVERAGE(AA255:AA261)</f>
        <v/>
      </c>
      <c r="AC255" s="476">
        <f>AVERAGE(Y255:Y261)</f>
        <v/>
      </c>
      <c r="AD255" s="32" t="n"/>
      <c r="AF255" s="569">
        <f>SUM(AE255:AE261)</f>
        <v/>
      </c>
      <c r="AG255" s="22" t="n"/>
      <c r="AH255" s="480" t="n"/>
      <c r="AI255" s="450" t="n"/>
      <c r="AK255" s="45" t="n"/>
      <c r="BG255" s="120" t="n"/>
      <c r="BH255" s="445" t="n"/>
      <c r="BI255" s="473" t="n"/>
      <c r="BJ255" s="445" t="n"/>
      <c r="BK255" s="445" t="n"/>
    </row>
    <row r="256" hidden="1" s="37">
      <c r="A256" s="551" t="n"/>
      <c r="B256" s="550">
        <f>B255+1</f>
        <v/>
      </c>
      <c r="C256" s="45" t="inlineStr">
        <is>
          <t>F</t>
        </is>
      </c>
      <c r="D256" s="30">
        <f>SUM(T256,AA256)</f>
        <v/>
      </c>
      <c r="L256" s="216" t="n"/>
      <c r="P256" s="59" t="n"/>
      <c r="U256" s="31">
        <f>SUM(AM256,AP256,AS256,AV256,AY256,BE256,BB256)</f>
        <v/>
      </c>
      <c r="W256" s="30" t="n"/>
      <c r="X256" s="30">
        <f>AA256-W256</f>
        <v/>
      </c>
      <c r="Y256" s="32">
        <f>'0₦'!AE255*2  + 0</f>
        <v/>
      </c>
      <c r="Z256" s="279" t="n"/>
      <c r="AA256" s="30">
        <f>SUM(E256:O256)/21*75 + IF(AM256, -(MAX((U256-1800)/10, -40)), 0)+T256 + S256 + (P256-100)*0.5+AI256 +W256</f>
        <v/>
      </c>
      <c r="AD256" s="32" t="n"/>
      <c r="AF256" s="570" t="n"/>
      <c r="AI256" s="450" t="n"/>
      <c r="AK256" s="45" t="n"/>
      <c r="BG256" s="120" t="n"/>
      <c r="BM256" s="445">
        <f>SUM(BN256:BO262)</f>
        <v/>
      </c>
      <c r="BN256" s="445">
        <f>COUNTIF('0₦'!L255:L261,"&lt;&gt;")*23</f>
        <v/>
      </c>
      <c r="BO256" s="445" t="n">
        <v>4</v>
      </c>
    </row>
    <row r="257" hidden="1" s="37">
      <c r="A257" s="552" t="n"/>
      <c r="B257" s="550">
        <f>B256+1</f>
        <v/>
      </c>
      <c r="C257" s="45" t="inlineStr">
        <is>
          <t>S</t>
        </is>
      </c>
      <c r="D257" s="30">
        <f>SUM(T257,AA257)</f>
        <v/>
      </c>
      <c r="L257" s="216" t="n"/>
      <c r="P257" s="59" t="n"/>
      <c r="U257" s="31">
        <f>SUM(AM257,AP257,AS257,AV257,AY257,BE257,BB257)</f>
        <v/>
      </c>
      <c r="W257" s="30" t="n"/>
      <c r="X257" s="30">
        <f>AA257-W257</f>
        <v/>
      </c>
      <c r="Y257" s="32">
        <f>'0₦'!AE256*2  + 0</f>
        <v/>
      </c>
      <c r="Z257" s="279" t="n"/>
      <c r="AA257" s="30">
        <f>SUM(E257:O257)/21*75 + IF(AM257, -(MAX((U257-1800)/10, -40)), 0)+T257 + S257 + (P257-100)*0.5+AI257 +W257</f>
        <v/>
      </c>
      <c r="AD257" s="32" t="n"/>
      <c r="AF257" s="570" t="n"/>
      <c r="AI257" s="450" t="n"/>
      <c r="AK257" s="45" t="n"/>
      <c r="AR257" s="450" t="n"/>
      <c r="BG257" s="120" t="n"/>
    </row>
    <row r="258" hidden="1" s="37">
      <c r="A258" s="462">
        <f>A251+0.1</f>
        <v/>
      </c>
      <c r="B258" s="550">
        <f>B257+1</f>
        <v/>
      </c>
      <c r="C258" s="45" t="inlineStr">
        <is>
          <t>S</t>
        </is>
      </c>
      <c r="D258" s="30">
        <f>SUM(T258,AA258)</f>
        <v/>
      </c>
      <c r="L258" s="216" t="n"/>
      <c r="P258" s="59" t="n"/>
      <c r="U258" s="31">
        <f>SUM(AM258,AP258,AS258,AV258,AY258,BE258,BB258)</f>
        <v/>
      </c>
      <c r="W258" s="30" t="n"/>
      <c r="X258" s="30">
        <f>AA258-W258</f>
        <v/>
      </c>
      <c r="Y258" s="32">
        <f>'0₦'!AE257*2  + 0</f>
        <v/>
      </c>
      <c r="Z258" s="279" t="n"/>
      <c r="AA258" s="30">
        <f>SUM(E258:O258)/21*75 + IF(AM258, -(MAX((U258-1800)/10, -40)), 0)+T258 + S258 + (P258-100)*0.5+AI258 +W258</f>
        <v/>
      </c>
      <c r="AD258" s="32" t="n"/>
      <c r="AF258" s="570" t="n"/>
      <c r="AI258" s="450" t="n"/>
      <c r="AK258" s="45" t="n"/>
      <c r="BG258" s="120" t="n"/>
    </row>
    <row r="259" hidden="1" s="37">
      <c r="A259" s="551" t="n"/>
      <c r="B259" s="550">
        <f>B258+1</f>
        <v/>
      </c>
      <c r="C259" s="45" t="inlineStr">
        <is>
          <t>M</t>
        </is>
      </c>
      <c r="D259" s="30">
        <f>SUM(T259,AA259)</f>
        <v/>
      </c>
      <c r="L259" s="216" t="n"/>
      <c r="P259" s="59" t="n"/>
      <c r="U259" s="31">
        <f>SUM(AM259,AP259,AS259,AV259,AY259,BE259,BB259)</f>
        <v/>
      </c>
      <c r="W259" s="30" t="n"/>
      <c r="X259" s="30">
        <f>AA259-W259</f>
        <v/>
      </c>
      <c r="Y259" s="32">
        <f>'0₦'!AE258*2  + 0</f>
        <v/>
      </c>
      <c r="Z259" s="279" t="n"/>
      <c r="AA259" s="30">
        <f>SUM(E259:O259)/21*75 + IF(AM259, -(MAX((U259-1800)/10, -40)), 0)+T259 + S259 + (P259-100)*0.5+AI259 +W259</f>
        <v/>
      </c>
      <c r="AD259" s="32" t="n"/>
      <c r="AF259" s="570" t="n"/>
      <c r="AI259" s="450" t="n"/>
      <c r="AK259" s="45" t="n"/>
      <c r="AR259" s="450" t="n"/>
      <c r="BG259" s="120" t="n"/>
    </row>
    <row r="260" hidden="1" s="37">
      <c r="A260" s="551" t="n"/>
      <c r="B260" s="550">
        <f>B259+1</f>
        <v/>
      </c>
      <c r="C260" s="45" t="inlineStr">
        <is>
          <t>T</t>
        </is>
      </c>
      <c r="D260" s="30">
        <f>SUM(T260,AA260)</f>
        <v/>
      </c>
      <c r="L260" s="216" t="n"/>
      <c r="P260" s="59" t="n"/>
      <c r="U260" s="31">
        <f>SUM(AM260,AP260,AS260,AV260,AY260,BE260,BB260)</f>
        <v/>
      </c>
      <c r="W260" s="30" t="n"/>
      <c r="X260" s="30">
        <f>AA260-W260</f>
        <v/>
      </c>
      <c r="Y260" s="32">
        <f>'0₦'!AE259*2  + 0</f>
        <v/>
      </c>
      <c r="Z260" s="279" t="n"/>
      <c r="AA260" s="30">
        <f>SUM(E260:O260)/21*75 + IF(AM260, -(MAX((U260-1800)/10, -40)), 0)+T260 + S260 + (P260-100)*0.5+AI260 +W260</f>
        <v/>
      </c>
      <c r="AD260" s="32" t="n"/>
      <c r="AF260" s="570" t="n"/>
      <c r="AI260" s="450" t="n"/>
      <c r="AK260" s="45" t="n"/>
      <c r="BG260" s="120" t="n"/>
    </row>
    <row r="261" hidden="1" s="37">
      <c r="A261" s="551" t="n"/>
      <c r="B261" s="550">
        <f>B260+1</f>
        <v/>
      </c>
      <c r="C261" s="45" t="inlineStr">
        <is>
          <t>W</t>
        </is>
      </c>
      <c r="D261" s="30">
        <f>SUM(T261,AA261)</f>
        <v/>
      </c>
      <c r="L261" s="216" t="n"/>
      <c r="P261" s="59" t="n"/>
      <c r="U261" s="31">
        <f>SUM(AM261,AP261,AS261,AV261,AY261,BE261,BB261)</f>
        <v/>
      </c>
      <c r="W261" s="30" t="n"/>
      <c r="X261" s="30">
        <f>AA261-W261</f>
        <v/>
      </c>
      <c r="Y261" s="32">
        <f>'0₦'!AE260*2  + 0</f>
        <v/>
      </c>
      <c r="Z261" s="279" t="n"/>
      <c r="AA261" s="30">
        <f>SUM(E261:O261)/21*75 + IF(AM261, -(MAX((U261-1800)/10, -40)), 0)+T261 + S261 + (P261-100)*0.5+AI261 +W261</f>
        <v/>
      </c>
      <c r="AD261" s="32" t="n"/>
      <c r="AF261" s="571" t="n"/>
      <c r="AI261" s="450" t="n"/>
      <c r="AK261" s="45" t="n"/>
      <c r="BG261" s="120" t="n"/>
    </row>
    <row r="262" hidden="1" s="37">
      <c r="A262" s="551" t="n"/>
      <c r="B262" s="550">
        <f>B261+1</f>
        <v/>
      </c>
      <c r="C262" s="45" t="inlineStr">
        <is>
          <t>Th</t>
        </is>
      </c>
      <c r="D262" s="30">
        <f>SUM(T262,AA262)</f>
        <v/>
      </c>
      <c r="L262" s="216" t="n"/>
      <c r="P262" s="59" t="n"/>
      <c r="U262" s="31">
        <f>SUM(AM262,AP262,AS262,AV262,AY262,BE262,BB262)</f>
        <v/>
      </c>
      <c r="V262" s="483">
        <f>AVERAGE(U262:U268)</f>
        <v/>
      </c>
      <c r="W262" s="30" t="n"/>
      <c r="X262" s="30">
        <f>AA262-W262</f>
        <v/>
      </c>
      <c r="Y262" s="32">
        <f>'0₦'!AE261*2  + 0</f>
        <v/>
      </c>
      <c r="Z262" s="279" t="n"/>
      <c r="AA262" s="30">
        <f>SUM(E262:O262)/21*75 + IF(AM262, -(MAX((U262-1800)/10, -40)), 0)+T262 + S262 + (P262-100)*0.5+AI262 +W262</f>
        <v/>
      </c>
      <c r="AB262" s="477">
        <f>AVERAGE(AA262:AA268)</f>
        <v/>
      </c>
      <c r="AC262" s="476">
        <f>AVERAGE(Y262:Y268)</f>
        <v/>
      </c>
      <c r="AD262" s="32" t="n"/>
      <c r="AF262" s="567">
        <f>SUM(AE262:AE268)</f>
        <v/>
      </c>
      <c r="AG262" s="22" t="n"/>
      <c r="AH262" s="480" t="n"/>
      <c r="AI262" s="450" t="n"/>
      <c r="AK262" s="45" t="n"/>
      <c r="BG262" s="120" t="n"/>
      <c r="BH262" s="445" t="n"/>
      <c r="BI262" s="473" t="n"/>
      <c r="BJ262" s="445" t="n"/>
      <c r="BK262" s="445" t="n"/>
    </row>
    <row r="263" hidden="1" s="37">
      <c r="A263" s="551" t="n"/>
      <c r="B263" s="550">
        <f>B262+1</f>
        <v/>
      </c>
      <c r="C263" s="45" t="inlineStr">
        <is>
          <t>F</t>
        </is>
      </c>
      <c r="D263" s="30">
        <f>SUM(T263,AA263)</f>
        <v/>
      </c>
      <c r="L263" s="216" t="n"/>
      <c r="P263" s="59" t="n"/>
      <c r="U263" s="31">
        <f>SUM(AM263,AP263,AS263,AV263,AY263,BE263,BB263)</f>
        <v/>
      </c>
      <c r="W263" s="30" t="n"/>
      <c r="X263" s="30">
        <f>AA263-W263</f>
        <v/>
      </c>
      <c r="Y263" s="32">
        <f>'0₦'!AE262*2  + 0</f>
        <v/>
      </c>
      <c r="Z263" s="279" t="n"/>
      <c r="AA263" s="30">
        <f>SUM(E263:O263)/21*75 + IF(AM263, -(MAX((U263-1800)/10, -40)), 0)+T263 + S263 + (P263-100)*0.5+AI263 +W263</f>
        <v/>
      </c>
      <c r="AD263" s="32" t="n"/>
      <c r="AI263" s="450" t="n"/>
      <c r="AK263" s="45" t="n"/>
      <c r="AR263" s="450" t="n"/>
      <c r="BG263" s="120" t="n"/>
      <c r="BM263" s="445">
        <f>SUM(BN263:BO269)</f>
        <v/>
      </c>
      <c r="BN263" s="445">
        <f>COUNTIF('0₦'!L262:L268,"&lt;&gt;")*23</f>
        <v/>
      </c>
      <c r="BO263" s="445" t="n">
        <v>4</v>
      </c>
    </row>
    <row r="264" hidden="1" s="37">
      <c r="A264" s="552" t="n"/>
      <c r="B264" s="550">
        <f>B263+1</f>
        <v/>
      </c>
      <c r="C264" s="45" t="inlineStr">
        <is>
          <t>S</t>
        </is>
      </c>
      <c r="D264" s="30">
        <f>SUM(T264,AA264)</f>
        <v/>
      </c>
      <c r="L264" s="216" t="n"/>
      <c r="P264" s="59" t="n"/>
      <c r="U264" s="31">
        <f>SUM(AM264,AP264,AS264,AV264,AY264,BE264,BB264)</f>
        <v/>
      </c>
      <c r="W264" s="30" t="n"/>
      <c r="X264" s="30">
        <f>AA264-W264</f>
        <v/>
      </c>
      <c r="Y264" s="32">
        <f>'0₦'!AE263*2  + 0</f>
        <v/>
      </c>
      <c r="Z264" s="279" t="n"/>
      <c r="AA264" s="30">
        <f>SUM(E264:O264)/21*75 + IF(AM264, -(MAX((U264-1800)/10, -40)), 0)+T264 + S264 + (P264-100)*0.5+AI264 +W264</f>
        <v/>
      </c>
      <c r="AD264" s="32" t="n"/>
      <c r="AI264" s="450" t="n"/>
      <c r="AK264" s="45" t="n"/>
      <c r="AR264" s="450" t="n"/>
      <c r="BG264" s="120" t="n"/>
    </row>
    <row r="265" hidden="1" s="37">
      <c r="A265" s="462">
        <f>A258+0.1</f>
        <v/>
      </c>
      <c r="B265" s="550">
        <f>B264+1</f>
        <v/>
      </c>
      <c r="C265" s="45" t="inlineStr">
        <is>
          <t>S</t>
        </is>
      </c>
      <c r="D265" s="30">
        <f>SUM(T265,AA265)</f>
        <v/>
      </c>
      <c r="L265" s="216" t="n"/>
      <c r="P265" s="59" t="n"/>
      <c r="U265" s="31">
        <f>SUM(AM265,AP265,AS265,AV265,AY265,BE265,BB265)</f>
        <v/>
      </c>
      <c r="W265" s="30" t="n"/>
      <c r="X265" s="30">
        <f>AA265-W265</f>
        <v/>
      </c>
      <c r="Y265" s="32">
        <f>'0₦'!AE264*2  + 0</f>
        <v/>
      </c>
      <c r="Z265" s="279" t="n"/>
      <c r="AA265" s="30">
        <f>SUM(E265:O265)/21*75 + IF(AM265, -(MAX((U265-1800)/10, -40)), 0)+T265 + S265 + (P265-100)*0.5+AI265 +W265</f>
        <v/>
      </c>
      <c r="AD265" s="32" t="n"/>
      <c r="AI265" s="450" t="n"/>
      <c r="AK265" s="45" t="n"/>
      <c r="BG265" s="120" t="n"/>
    </row>
    <row r="266" hidden="1" s="37">
      <c r="A266" s="551" t="n"/>
      <c r="B266" s="550">
        <f>B265+1</f>
        <v/>
      </c>
      <c r="C266" s="45" t="inlineStr">
        <is>
          <t>M</t>
        </is>
      </c>
      <c r="D266" s="30">
        <f>SUM(T266,AA266)</f>
        <v/>
      </c>
      <c r="L266" s="216" t="n"/>
      <c r="P266" s="59" t="n"/>
      <c r="U266" s="31">
        <f>SUM(AM266,AP266,AS266,AV266,AY266,BE266,BB266)</f>
        <v/>
      </c>
      <c r="W266" s="30" t="n"/>
      <c r="X266" s="30">
        <f>AA266-W266</f>
        <v/>
      </c>
      <c r="Y266" s="32">
        <f>'0₦'!AE265*2  + 0</f>
        <v/>
      </c>
      <c r="Z266" s="279" t="n"/>
      <c r="AA266" s="30">
        <f>SUM(E266:O266)/21*75 + IF(AM266, -(MAX((U266-1800)/10, -40)), 0)+T266 + S266 + (P266-100)*0.5+AI266 +W266</f>
        <v/>
      </c>
      <c r="AD266" s="32" t="n"/>
      <c r="AI266" s="450" t="n"/>
      <c r="AK266" s="45" t="n"/>
      <c r="AR266" s="450" t="n"/>
      <c r="BG266" s="120" t="n"/>
    </row>
    <row r="267" hidden="1" s="37">
      <c r="A267" s="551" t="n"/>
      <c r="B267" s="550">
        <f>B266+1</f>
        <v/>
      </c>
      <c r="C267" s="45" t="inlineStr">
        <is>
          <t>T</t>
        </is>
      </c>
      <c r="D267" s="30">
        <f>SUM(T267,AA267)</f>
        <v/>
      </c>
      <c r="L267" s="216" t="n"/>
      <c r="P267" s="59" t="n"/>
      <c r="U267" s="31">
        <f>SUM(AM267,AP267,AS267,AV267,AY267,BE267,BB267)</f>
        <v/>
      </c>
      <c r="W267" s="30" t="n"/>
      <c r="X267" s="30">
        <f>AA267-W267</f>
        <v/>
      </c>
      <c r="Y267" s="32">
        <f>'0₦'!AE266*2  + 0</f>
        <v/>
      </c>
      <c r="Z267" s="279" t="n"/>
      <c r="AA267" s="30">
        <f>SUM(E267:O267)/21*75 + IF(AM267, -(MAX((U267-1800)/10, -40)), 0)+T267 + S267 + (P267-100)*0.5+AI267 +W267</f>
        <v/>
      </c>
      <c r="AD267" s="32" t="n"/>
      <c r="AI267" s="450" t="n"/>
      <c r="AK267" s="45" t="n"/>
      <c r="BG267" s="120" t="n"/>
    </row>
    <row r="268" hidden="1" s="37">
      <c r="A268" s="551" t="n"/>
      <c r="B268" s="550">
        <f>B267+1</f>
        <v/>
      </c>
      <c r="C268" s="45" t="inlineStr">
        <is>
          <t>W</t>
        </is>
      </c>
      <c r="D268" s="30">
        <f>SUM(T268,AA268)</f>
        <v/>
      </c>
      <c r="L268" s="216" t="n"/>
      <c r="P268" s="59" t="n"/>
      <c r="U268" s="31">
        <f>SUM(AM268,AP268,AS268,AV268,AY268,BE268,BB268)</f>
        <v/>
      </c>
      <c r="W268" s="30" t="n"/>
      <c r="X268" s="30">
        <f>AA268-W268</f>
        <v/>
      </c>
      <c r="Y268" s="32">
        <f>'0₦'!AE267*2  + 0</f>
        <v/>
      </c>
      <c r="Z268" s="279" t="n"/>
      <c r="AA268" s="30">
        <f>SUM(E268:O268)/21*75 + IF(AM268, -(MAX((U268-1800)/10, -40)), 0)+T268 + S268 + (P268-100)*0.5+AI268 +W268</f>
        <v/>
      </c>
      <c r="AD268" s="32" t="n"/>
      <c r="AF268" s="568" t="n"/>
      <c r="AG268" s="265" t="n"/>
      <c r="AI268" s="450" t="n"/>
      <c r="AK268" s="45" t="n"/>
      <c r="BG268" s="120" t="n"/>
    </row>
    <row r="269" hidden="1" s="37">
      <c r="A269" s="551" t="n"/>
      <c r="B269" s="550">
        <f>B268+1</f>
        <v/>
      </c>
      <c r="C269" s="45" t="inlineStr">
        <is>
          <t>Th</t>
        </is>
      </c>
      <c r="D269" s="30">
        <f>SUM(T269,AA269)</f>
        <v/>
      </c>
      <c r="L269" s="216" t="n"/>
      <c r="P269" s="59" t="n"/>
      <c r="U269" s="31">
        <f>SUM(AM269,AP269,AS269,AV269,AY269,BE269,BB269)</f>
        <v/>
      </c>
      <c r="V269" s="483">
        <f>AVERAGE(U269:U275)</f>
        <v/>
      </c>
      <c r="W269" s="30" t="n"/>
      <c r="X269" s="30">
        <f>AA269-W269</f>
        <v/>
      </c>
      <c r="Y269" s="32">
        <f>'0₦'!AE268*2  + 0</f>
        <v/>
      </c>
      <c r="Z269" s="279" t="n"/>
      <c r="AA269" s="30">
        <f>SUM(E269:O269)/21*75 + IF(AM269, -(MAX((U269-1800)/10, -40)), 0)+T269 + S269 + (P269-100)*0.5+AI269 +W269</f>
        <v/>
      </c>
      <c r="AB269" s="477">
        <f>AVERAGE(AA269:AA275)</f>
        <v/>
      </c>
      <c r="AC269" s="476">
        <f>AVERAGE(Y269:Y275)</f>
        <v/>
      </c>
      <c r="AD269" s="32" t="n"/>
      <c r="AF269" s="478">
        <f>SUM(AE269:AE275)</f>
        <v/>
      </c>
      <c r="AG269" s="22" t="n"/>
      <c r="AH269" s="480" t="n"/>
      <c r="AI269" s="450" t="n"/>
      <c r="AK269" s="45" t="n"/>
      <c r="BG269" s="120" t="n"/>
      <c r="BH269" s="445" t="n"/>
      <c r="BI269" s="473" t="n"/>
      <c r="BJ269" s="445" t="n"/>
      <c r="BK269" s="445" t="n"/>
    </row>
    <row r="270" hidden="1" s="37">
      <c r="A270" s="551" t="n"/>
      <c r="B270" s="550">
        <f>B269+1</f>
        <v/>
      </c>
      <c r="C270" s="45" t="inlineStr">
        <is>
          <t>F</t>
        </is>
      </c>
      <c r="D270" s="30">
        <f>SUM(T270,AA270)</f>
        <v/>
      </c>
      <c r="L270" s="216" t="n"/>
      <c r="P270" s="59" t="n"/>
      <c r="U270" s="31">
        <f>SUM(AM270,AP270,AS270,AV270,AY270,BE270,BB270)</f>
        <v/>
      </c>
      <c r="W270" s="30" t="n"/>
      <c r="X270" s="30">
        <f>AA270-W270</f>
        <v/>
      </c>
      <c r="Y270" s="32">
        <f>'0₦'!AE269*2  + 0</f>
        <v/>
      </c>
      <c r="Z270" s="279" t="n"/>
      <c r="AA270" s="30">
        <f>SUM(E270:O270)/21*75 + IF(AM270, -(MAX((U270-1800)/10, -40)), 0)+T270 + S270 + (P270-100)*0.5+AI270 +W270</f>
        <v/>
      </c>
      <c r="AD270" s="32" t="n"/>
      <c r="AI270" s="450" t="n"/>
      <c r="AK270" s="45" t="n"/>
      <c r="BG270" s="120" t="n"/>
      <c r="BM270" s="445">
        <f>SUM(BN270:BO276)</f>
        <v/>
      </c>
      <c r="BN270" s="445">
        <f>COUNTIF('0₦'!L269:L275,"&lt;&gt;")*23</f>
        <v/>
      </c>
      <c r="BO270" s="445" t="n">
        <v>4</v>
      </c>
      <c r="BP270" s="473" t="n"/>
    </row>
    <row r="271" hidden="1" s="37">
      <c r="A271" s="552" t="n"/>
      <c r="B271" s="550">
        <f>B270+1</f>
        <v/>
      </c>
      <c r="C271" s="45" t="inlineStr">
        <is>
          <t>S</t>
        </is>
      </c>
      <c r="D271" s="30">
        <f>SUM(T271,AA271)</f>
        <v/>
      </c>
      <c r="L271" s="216" t="n"/>
      <c r="P271" s="59" t="n"/>
      <c r="U271" s="31">
        <f>SUM(AM271,AP271,AS271,AV271,AY271,BE271,BB271)</f>
        <v/>
      </c>
      <c r="W271" s="30" t="n"/>
      <c r="X271" s="30">
        <f>AA271-W271</f>
        <v/>
      </c>
      <c r="Y271" s="32">
        <f>'0₦'!AE270*2  + 0</f>
        <v/>
      </c>
      <c r="Z271" s="279" t="n"/>
      <c r="AA271" s="30">
        <f>SUM(E271:O271)/21*75 + IF(AM271, -(MAX((U271-1800)/10, -40)), 0)+T271 + S271 + (P271-100)*0.5+AI271 +W271</f>
        <v/>
      </c>
      <c r="AD271" s="32" t="n"/>
      <c r="AI271" s="450" t="n"/>
      <c r="AK271" s="45" t="n"/>
      <c r="AR271" s="450" t="n"/>
      <c r="BG271" s="120" t="n"/>
    </row>
    <row r="272" hidden="1" s="37">
      <c r="A272" s="462">
        <f>A265+0.1</f>
        <v/>
      </c>
      <c r="B272" s="550">
        <f>B271+1</f>
        <v/>
      </c>
      <c r="C272" s="45" t="inlineStr">
        <is>
          <t>S</t>
        </is>
      </c>
      <c r="D272" s="30">
        <f>SUM(T272,AA272)</f>
        <v/>
      </c>
      <c r="L272" s="216" t="n"/>
      <c r="P272" s="59" t="n"/>
      <c r="U272" s="31">
        <f>SUM(AM272,AP272,AS272,AV272,AY272,BE272,BB272)</f>
        <v/>
      </c>
      <c r="W272" s="30" t="n"/>
      <c r="X272" s="30">
        <f>AA272-W272</f>
        <v/>
      </c>
      <c r="Y272" s="32">
        <f>'0₦'!AE271*2  + 0</f>
        <v/>
      </c>
      <c r="Z272" s="279" t="n"/>
      <c r="AA272" s="30">
        <f>SUM(E272:O272)/21*75 + IF(AM272, -(MAX((U272-1800)/10, -40)), 0)+T272 + S272 + (P272-100)*0.5+AI272 +W272</f>
        <v/>
      </c>
      <c r="AD272" s="32" t="n"/>
      <c r="AI272" s="450" t="n"/>
      <c r="AK272" s="45" t="n"/>
      <c r="BG272" s="120" t="n"/>
    </row>
    <row r="273" hidden="1" s="37">
      <c r="A273" s="551" t="n"/>
      <c r="B273" s="550">
        <f>B272+1</f>
        <v/>
      </c>
      <c r="C273" s="45" t="inlineStr">
        <is>
          <t>M</t>
        </is>
      </c>
      <c r="D273" s="30">
        <f>SUM(T273,AA273)</f>
        <v/>
      </c>
      <c r="L273" s="216" t="n"/>
      <c r="P273" s="59" t="n"/>
      <c r="U273" s="31">
        <f>SUM(AM273,AP273,AS273,AV273,AY273,BE273,BB273)</f>
        <v/>
      </c>
      <c r="W273" s="30" t="n"/>
      <c r="X273" s="30">
        <f>AA273-W273</f>
        <v/>
      </c>
      <c r="Y273" s="32">
        <f>'0₦'!AE272*2  + 0</f>
        <v/>
      </c>
      <c r="Z273" s="279" t="n"/>
      <c r="AA273" s="30">
        <f>SUM(E273:O273)/21*75 + IF(AM273, -(MAX((U273-1800)/10, -40)), 0)+T273 + S273 + (P273-100)*0.5+AI273 +W273</f>
        <v/>
      </c>
      <c r="AD273" s="32" t="n"/>
      <c r="AI273" s="450" t="n"/>
      <c r="AK273" s="45" t="n"/>
      <c r="AR273" s="450" t="n"/>
      <c r="BG273" s="120" t="n"/>
    </row>
    <row r="274" hidden="1" s="37">
      <c r="A274" s="551" t="n"/>
      <c r="B274" s="550">
        <f>B273+1</f>
        <v/>
      </c>
      <c r="C274" s="45" t="inlineStr">
        <is>
          <t>T</t>
        </is>
      </c>
      <c r="D274" s="30">
        <f>SUM(T274,AA274)</f>
        <v/>
      </c>
      <c r="L274" s="216" t="n"/>
      <c r="P274" s="59" t="n"/>
      <c r="U274" s="31">
        <f>SUM(AM274,AP274,AS274,AV274,AY274,BE274,BB274)</f>
        <v/>
      </c>
      <c r="W274" s="30" t="n"/>
      <c r="X274" s="30">
        <f>AA274-W274</f>
        <v/>
      </c>
      <c r="Y274" s="32">
        <f>'0₦'!AE273*2  + 0</f>
        <v/>
      </c>
      <c r="Z274" s="279" t="n"/>
      <c r="AA274" s="30">
        <f>SUM(E274:O274)/21*75 + IF(AM274, -(MAX((U274-1800)/10, -40)), 0)+T274 + S274 + (P274-100)*0.5+AI274 +W274</f>
        <v/>
      </c>
      <c r="AD274" s="32" t="n"/>
      <c r="AI274" s="450" t="n"/>
      <c r="AK274" s="45" t="n"/>
      <c r="BG274" s="120" t="n"/>
    </row>
    <row r="275" hidden="1" s="37">
      <c r="A275" s="551" t="n"/>
      <c r="B275" s="550">
        <f>B274+1</f>
        <v/>
      </c>
      <c r="C275" s="45" t="inlineStr">
        <is>
          <t>W</t>
        </is>
      </c>
      <c r="D275" s="30">
        <f>SUM(T275,AA275)</f>
        <v/>
      </c>
      <c r="L275" s="216" t="n"/>
      <c r="P275" s="59" t="n"/>
      <c r="U275" s="31">
        <f>SUM(AM275,AP275,AS275,AV275,AY275,BE275,BB275)</f>
        <v/>
      </c>
      <c r="W275" s="30" t="n"/>
      <c r="X275" s="30">
        <f>AA275-W275</f>
        <v/>
      </c>
      <c r="Y275" s="32">
        <f>'0₦'!AE274*2  + 0</f>
        <v/>
      </c>
      <c r="Z275" s="279" t="n"/>
      <c r="AA275" s="30">
        <f>SUM(E275:O275)/21*75 + IF(AM275, -(MAX((U275-1800)/10, -40)), 0)+T275 + S275 + (P275-100)*0.5+AI275 +W275</f>
        <v/>
      </c>
      <c r="AD275" s="32" t="n"/>
      <c r="AI275" s="450" t="n"/>
      <c r="AK275" s="45" t="n"/>
      <c r="BG275" s="120" t="n"/>
    </row>
    <row r="276" hidden="1" s="37">
      <c r="A276" s="551" t="n"/>
      <c r="B276" s="550">
        <f>B275+1</f>
        <v/>
      </c>
      <c r="C276" s="45" t="inlineStr">
        <is>
          <t>Th</t>
        </is>
      </c>
      <c r="D276" s="30">
        <f>SUM(T276,AA276)</f>
        <v/>
      </c>
      <c r="L276" s="216" t="n"/>
      <c r="P276" s="59" t="n"/>
      <c r="U276" s="31">
        <f>SUM(AM276,AP276,AS276,AV276,AY276,BE276,BB276)</f>
        <v/>
      </c>
      <c r="V276" s="483">
        <f>AVERAGE(U276:U282)</f>
        <v/>
      </c>
      <c r="W276" s="30" t="n"/>
      <c r="X276" s="30">
        <f>AA276-W276</f>
        <v/>
      </c>
      <c r="Y276" s="32">
        <f>'0₦'!AE275*2  + 0</f>
        <v/>
      </c>
      <c r="Z276" s="279" t="n"/>
      <c r="AA276" s="30">
        <f>SUM(E276:O276)/21*75 + IF(AM276, -(MAX((U276-1800)/10, -40)), 0)+T276 + S276 + (P276-100)*0.5+AI276 +W276</f>
        <v/>
      </c>
      <c r="AB276" s="477">
        <f>AVERAGE(AA276:AA282)</f>
        <v/>
      </c>
      <c r="AC276" s="476">
        <f>AVERAGE(Y276:Y282)</f>
        <v/>
      </c>
      <c r="AD276" s="32" t="n"/>
      <c r="AF276" s="478">
        <f>SUM(AE276:AE282)</f>
        <v/>
      </c>
      <c r="AG276" s="22" t="n"/>
      <c r="AH276" s="480" t="n"/>
      <c r="AI276" s="450" t="n"/>
      <c r="AK276" s="45" t="n"/>
      <c r="BG276" s="120" t="n"/>
      <c r="BH276" s="445" t="n"/>
      <c r="BI276" s="473" t="n"/>
      <c r="BJ276" s="445" t="n"/>
      <c r="BK276" s="445" t="n"/>
    </row>
    <row r="277" hidden="1" s="37">
      <c r="A277" s="551" t="n"/>
      <c r="B277" s="550">
        <f>B276+1</f>
        <v/>
      </c>
      <c r="C277" s="45" t="inlineStr">
        <is>
          <t>F</t>
        </is>
      </c>
      <c r="D277" s="30">
        <f>SUM(T277,AA277)</f>
        <v/>
      </c>
      <c r="L277" s="216" t="n"/>
      <c r="P277" s="59" t="n"/>
      <c r="U277" s="31">
        <f>SUM(AM277,AP277,AS277,AV277,AY277,BE277,BB277)</f>
        <v/>
      </c>
      <c r="W277" s="30" t="n"/>
      <c r="X277" s="30">
        <f>AA277-W277</f>
        <v/>
      </c>
      <c r="Y277" s="32">
        <f>'0₦'!AE276*2  + 0</f>
        <v/>
      </c>
      <c r="Z277" s="279" t="n"/>
      <c r="AA277" s="30">
        <f>SUM(E277:O277)/21*75 + IF(AM277, -(MAX((U277-1800)/10, -40)), 0)+T277 + S277 + (P277-100)*0.5+AI277 +W277</f>
        <v/>
      </c>
      <c r="AD277" s="32" t="n"/>
      <c r="AI277" s="450" t="n"/>
      <c r="AK277" s="45" t="n"/>
      <c r="BG277" s="120" t="n"/>
      <c r="BM277" s="445">
        <f>SUM(BN277:BO283)</f>
        <v/>
      </c>
      <c r="BN277" s="445">
        <f>COUNTIF('0₦'!L276:L282,"&lt;&gt;")*23</f>
        <v/>
      </c>
      <c r="BO277" s="445" t="n">
        <v>4</v>
      </c>
      <c r="BP277" s="473" t="n"/>
    </row>
    <row r="278" hidden="1" s="37">
      <c r="A278" s="552" t="n"/>
      <c r="B278" s="550">
        <f>B277+1</f>
        <v/>
      </c>
      <c r="C278" s="45" t="inlineStr">
        <is>
          <t>S</t>
        </is>
      </c>
      <c r="D278" s="30">
        <f>SUM(T278,AA278)</f>
        <v/>
      </c>
      <c r="L278" s="216" t="n"/>
      <c r="P278" s="59" t="n"/>
      <c r="U278" s="31">
        <f>SUM(AM278,AP278,AS278,AV278,AY278,BE278,BB278)</f>
        <v/>
      </c>
      <c r="W278" s="30" t="n"/>
      <c r="X278" s="30">
        <f>AA278-W278</f>
        <v/>
      </c>
      <c r="Y278" s="32">
        <f>'0₦'!AE277*2  + 0</f>
        <v/>
      </c>
      <c r="Z278" s="279" t="n"/>
      <c r="AA278" s="30">
        <f>SUM(E278:O278)/21*75 + IF(AM278, -(MAX((U278-1800)/10, -40)), 0)+T278 + S278 + (P278-100)*0.5+AI278 +W278</f>
        <v/>
      </c>
      <c r="AD278" s="32" t="n"/>
      <c r="AI278" s="450" t="n"/>
      <c r="AK278" s="45" t="n"/>
      <c r="AR278" s="450" t="n"/>
      <c r="BG278" s="120" t="n"/>
    </row>
    <row r="279" hidden="1" s="37">
      <c r="A279" s="462">
        <f>A244+1</f>
        <v/>
      </c>
      <c r="B279" s="550">
        <f>B278+1</f>
        <v/>
      </c>
      <c r="C279" s="45" t="inlineStr">
        <is>
          <t>S</t>
        </is>
      </c>
      <c r="D279" s="30">
        <f>SUM(T279,AA279)</f>
        <v/>
      </c>
      <c r="L279" s="216" t="n"/>
      <c r="P279" s="59" t="n"/>
      <c r="U279" s="31">
        <f>SUM(AM279,AP279,AS279,AV279,AY279,BE279,BB279)</f>
        <v/>
      </c>
      <c r="W279" s="30" t="n"/>
      <c r="X279" s="30">
        <f>AA279-W279</f>
        <v/>
      </c>
      <c r="Y279" s="32">
        <f>'0₦'!AE278*2  + 0</f>
        <v/>
      </c>
      <c r="Z279" s="279" t="n"/>
      <c r="AA279" s="30">
        <f>SUM(E279:O279)/21*75 + IF(AM279, -(MAX((U279-1800)/10, -40)), 0)+T279 + S279 + (P279-100)*0.5+AI279 +W279</f>
        <v/>
      </c>
      <c r="AD279" s="32" t="n"/>
      <c r="AI279" s="450" t="n"/>
      <c r="AK279" s="45" t="n"/>
      <c r="BG279" s="120" t="n"/>
    </row>
    <row r="280" hidden="1" s="37">
      <c r="A280" s="551" t="n"/>
      <c r="B280" s="550">
        <f>B279+1</f>
        <v/>
      </c>
      <c r="C280" s="45" t="inlineStr">
        <is>
          <t>M</t>
        </is>
      </c>
      <c r="D280" s="30">
        <f>SUM(T280,AA280)</f>
        <v/>
      </c>
      <c r="L280" s="216" t="n"/>
      <c r="P280" s="59" t="n"/>
      <c r="U280" s="31">
        <f>SUM(AM280,AP280,AS280,AV280,AY280,BE280,BB280)</f>
        <v/>
      </c>
      <c r="W280" s="30" t="n"/>
      <c r="X280" s="30">
        <f>AA280-W280</f>
        <v/>
      </c>
      <c r="Y280" s="32">
        <f>'0₦'!AE279*2  + 0</f>
        <v/>
      </c>
      <c r="Z280" s="279" t="n"/>
      <c r="AA280" s="30">
        <f>SUM(E280:O280)/21*75 + IF(AM280, -(MAX((U280-1800)/10, -40)), 0)+T280 + S280 + (P280-100)*0.5+AI280 +W280</f>
        <v/>
      </c>
      <c r="AD280" s="32" t="n"/>
      <c r="AI280" s="450" t="n"/>
      <c r="AK280" s="45" t="n"/>
      <c r="AR280" s="450" t="n"/>
      <c r="BG280" s="120" t="n"/>
    </row>
    <row r="281" hidden="1" s="37">
      <c r="A281" s="551" t="n"/>
      <c r="B281" s="550">
        <f>B280+1</f>
        <v/>
      </c>
      <c r="C281" s="45" t="inlineStr">
        <is>
          <t>T</t>
        </is>
      </c>
      <c r="D281" s="30">
        <f>SUM(T281,AA281)</f>
        <v/>
      </c>
      <c r="L281" s="216" t="n"/>
      <c r="P281" s="59" t="n"/>
      <c r="U281" s="31">
        <f>SUM(AM281,AP281,AS281,AV281,AY281,BE281,BB281)</f>
        <v/>
      </c>
      <c r="W281" s="30" t="n"/>
      <c r="X281" s="30">
        <f>AA281-W281</f>
        <v/>
      </c>
      <c r="Y281" s="32">
        <f>'0₦'!AE280*2  + 0</f>
        <v/>
      </c>
      <c r="Z281" s="279" t="n"/>
      <c r="AA281" s="30">
        <f>SUM(E281:O281)/21*75 + IF(AM281, -(MAX((U281-1800)/10, -40)), 0)+T281 + S281 + (P281-100)*0.5+AI281 +W281</f>
        <v/>
      </c>
      <c r="AD281" s="32" t="n"/>
      <c r="AI281" s="450" t="n"/>
      <c r="AK281" s="45" t="n"/>
      <c r="BG281" s="120" t="n"/>
    </row>
    <row r="282" hidden="1" s="37">
      <c r="A282" s="551" t="n"/>
      <c r="B282" s="550">
        <f>B281+1</f>
        <v/>
      </c>
      <c r="C282" s="45" t="inlineStr">
        <is>
          <t>W</t>
        </is>
      </c>
      <c r="D282" s="30">
        <f>SUM(T282,AA282)</f>
        <v/>
      </c>
      <c r="L282" s="216" t="n"/>
      <c r="P282" s="59" t="n"/>
      <c r="U282" s="31">
        <f>SUM(AM282,AP282,AS282,AV282,AY282,BE282,BB282)</f>
        <v/>
      </c>
      <c r="W282" s="30" t="n"/>
      <c r="X282" s="30">
        <f>AA282-W282</f>
        <v/>
      </c>
      <c r="Y282" s="32">
        <f>'0₦'!AE281*2  + 0</f>
        <v/>
      </c>
      <c r="Z282" s="279" t="n"/>
      <c r="AA282" s="30">
        <f>SUM(E282:O282)/21*75 + IF(AM282, -(MAX((U282-1800)/10, -40)), 0)+T282 + S282 + (P282-100)*0.5+AI282 +W282</f>
        <v/>
      </c>
      <c r="AD282" s="32" t="n"/>
      <c r="AI282" s="450" t="n"/>
      <c r="AK282" s="45" t="n"/>
      <c r="BG282" s="120" t="n"/>
    </row>
    <row r="283" hidden="1" s="37">
      <c r="A283" s="551" t="n"/>
      <c r="B283" s="550">
        <f>B282+1</f>
        <v/>
      </c>
      <c r="C283" s="45" t="inlineStr">
        <is>
          <t>Th</t>
        </is>
      </c>
      <c r="D283" s="30">
        <f>SUM(T283,AA283)</f>
        <v/>
      </c>
      <c r="L283" s="216" t="n"/>
      <c r="P283" s="59" t="n"/>
      <c r="U283" s="31">
        <f>SUM(AM283,AP283,AS283,AV283,AY283,BE283,BB283)</f>
        <v/>
      </c>
      <c r="V283" s="483">
        <f>AVERAGE(U283:U289)</f>
        <v/>
      </c>
      <c r="W283" s="30" t="n"/>
      <c r="X283" s="30">
        <f>AA283-W283</f>
        <v/>
      </c>
      <c r="Y283" s="32">
        <f>'0₦'!AE282*2  + 0</f>
        <v/>
      </c>
      <c r="Z283" s="279" t="n"/>
      <c r="AA283" s="30">
        <f>SUM(E283:O283)/21*75 + IF(AM283, -(MAX((U283-1800)/10, -40)), 0)+T283 + S283 + (P283-100)*0.5+AI283 +W283</f>
        <v/>
      </c>
      <c r="AB283" s="477">
        <f>AVERAGE(AA283:AA289)</f>
        <v/>
      </c>
      <c r="AC283" s="476">
        <f>AVERAGE(Y283:Y289)</f>
        <v/>
      </c>
      <c r="AD283" s="32" t="n"/>
      <c r="AF283" s="478">
        <f>SUM(AE283:AE289)</f>
        <v/>
      </c>
      <c r="AG283" s="22" t="n"/>
      <c r="AH283" s="480" t="n"/>
      <c r="AI283" s="450" t="n"/>
      <c r="AK283" s="45" t="n"/>
      <c r="BG283" s="120" t="n"/>
      <c r="BH283" s="445" t="n"/>
      <c r="BI283" s="473" t="n"/>
      <c r="BJ283" s="445" t="n"/>
      <c r="BK283" s="445" t="n"/>
    </row>
    <row r="284" hidden="1" s="37">
      <c r="A284" s="551" t="n"/>
      <c r="B284" s="550">
        <f>B283+1</f>
        <v/>
      </c>
      <c r="C284" s="45" t="inlineStr">
        <is>
          <t>F</t>
        </is>
      </c>
      <c r="D284" s="30">
        <f>SUM(T284,AA284)</f>
        <v/>
      </c>
      <c r="L284" s="216" t="n"/>
      <c r="P284" s="59" t="n"/>
      <c r="U284" s="31">
        <f>SUM(AM284,AP284,AS284,AV284,AY284,BE284,BB284)</f>
        <v/>
      </c>
      <c r="W284" s="30" t="n"/>
      <c r="X284" s="30">
        <f>AA284-W284</f>
        <v/>
      </c>
      <c r="Y284" s="32">
        <f>'0₦'!AE283*2  + 0</f>
        <v/>
      </c>
      <c r="Z284" s="279" t="n"/>
      <c r="AA284" s="30">
        <f>SUM(E284:O284)/21*75 + IF(AM284, -(MAX((U284-1800)/10, -40)), 0)+T284 + S284 + (P284-100)*0.5+AI284 +W284</f>
        <v/>
      </c>
      <c r="AD284" s="32" t="n"/>
      <c r="AI284" s="450" t="n"/>
      <c r="AK284" s="45" t="n"/>
      <c r="BG284" s="120" t="n"/>
      <c r="BM284" s="445">
        <f>SUM(BN284:BO290)</f>
        <v/>
      </c>
      <c r="BN284" s="445">
        <f>COUNTIF('0₦'!L283:L289,"&lt;&gt;")*23</f>
        <v/>
      </c>
      <c r="BO284" s="445" t="n">
        <v>4</v>
      </c>
      <c r="BP284" s="473" t="n"/>
    </row>
    <row r="285" hidden="1" s="37">
      <c r="A285" s="552" t="n"/>
      <c r="B285" s="550">
        <f>B284+1</f>
        <v/>
      </c>
      <c r="C285" s="45" t="inlineStr">
        <is>
          <t>S</t>
        </is>
      </c>
      <c r="D285" s="30">
        <f>SUM(T285,AA285)</f>
        <v/>
      </c>
      <c r="L285" s="216" t="n"/>
      <c r="P285" s="59" t="n"/>
      <c r="U285" s="31">
        <f>SUM(AM285,AP285,AS285,AV285,AY285,BE285,BB285)</f>
        <v/>
      </c>
      <c r="W285" s="30" t="n"/>
      <c r="X285" s="30">
        <f>AA285-W285</f>
        <v/>
      </c>
      <c r="Y285" s="32">
        <f>'0₦'!AE284*2  + 0</f>
        <v/>
      </c>
      <c r="Z285" s="279" t="n"/>
      <c r="AA285" s="30">
        <f>SUM(E285:O285)/21*75 + IF(AM285, -(MAX((U285-1800)/10, -40)), 0)+T285 + S285 + (P285-100)*0.5+AI285 +W285</f>
        <v/>
      </c>
      <c r="AD285" s="32" t="n"/>
      <c r="AI285" s="450" t="n"/>
      <c r="AK285" s="45" t="n"/>
      <c r="AR285" s="450" t="n"/>
      <c r="BG285" s="120" t="n"/>
    </row>
    <row r="286" hidden="1" s="37">
      <c r="A286" s="462">
        <f>A279+0.1</f>
        <v/>
      </c>
      <c r="B286" s="550">
        <f>B285+1</f>
        <v/>
      </c>
      <c r="C286" s="45" t="inlineStr">
        <is>
          <t>S</t>
        </is>
      </c>
      <c r="D286" s="30">
        <f>SUM(T286,AA286)</f>
        <v/>
      </c>
      <c r="L286" s="216" t="n"/>
      <c r="P286" s="59" t="n"/>
      <c r="U286" s="31">
        <f>SUM(AM286,AP286,AS286,AV286,AY286,BE286,BB286)</f>
        <v/>
      </c>
      <c r="W286" s="30" t="n"/>
      <c r="X286" s="30">
        <f>AA286-W286</f>
        <v/>
      </c>
      <c r="Y286" s="32">
        <f>'0₦'!AE285*2  + 0</f>
        <v/>
      </c>
      <c r="Z286" s="279" t="n"/>
      <c r="AA286" s="30">
        <f>SUM(E286:O286)/21*75 + IF(AM286, -(MAX((U286-1800)/10, -40)), 0)+T286 + S286 + (P286-100)*0.5+AI286 +W286</f>
        <v/>
      </c>
      <c r="AD286" s="32" t="n"/>
      <c r="AI286" s="450" t="n"/>
      <c r="AK286" s="45" t="n"/>
      <c r="BG286" s="120" t="n"/>
    </row>
    <row r="287" hidden="1" s="37">
      <c r="A287" s="551" t="n"/>
      <c r="B287" s="550">
        <f>B286+1</f>
        <v/>
      </c>
      <c r="C287" s="45" t="inlineStr">
        <is>
          <t>M</t>
        </is>
      </c>
      <c r="D287" s="30">
        <f>SUM(T287,AA287)</f>
        <v/>
      </c>
      <c r="L287" s="216" t="n"/>
      <c r="P287" s="59" t="n"/>
      <c r="U287" s="31">
        <f>SUM(AM287,AP287,AS287,AV287,AY287,BE287,BB287)</f>
        <v/>
      </c>
      <c r="W287" s="30" t="n"/>
      <c r="X287" s="30">
        <f>AA287-W287</f>
        <v/>
      </c>
      <c r="Y287" s="32">
        <f>'0₦'!AE286*2  + 0</f>
        <v/>
      </c>
      <c r="Z287" s="279" t="n"/>
      <c r="AA287" s="30">
        <f>SUM(E287:O287)/21*75 + IF(AM287, -(MAX((U287-1800)/10, -40)), 0)+T287 + S287 + (P287-100)*0.5+AI287 +W287</f>
        <v/>
      </c>
      <c r="AD287" s="32" t="n"/>
      <c r="AI287" s="450" t="n"/>
      <c r="AK287" s="45" t="n"/>
      <c r="AR287" s="450" t="n"/>
      <c r="BG287" s="120" t="n"/>
    </row>
    <row r="288" hidden="1" s="37">
      <c r="A288" s="551" t="n"/>
      <c r="B288" s="550">
        <f>B287+1</f>
        <v/>
      </c>
      <c r="C288" s="45" t="inlineStr">
        <is>
          <t>T</t>
        </is>
      </c>
      <c r="D288" s="30">
        <f>SUM(T288,AA288)</f>
        <v/>
      </c>
      <c r="L288" s="216" t="n"/>
      <c r="P288" s="59" t="n"/>
      <c r="U288" s="31">
        <f>SUM(AM288,AP288,AS288,AV288,AY288,BE288,BB288)</f>
        <v/>
      </c>
      <c r="W288" s="30" t="n"/>
      <c r="X288" s="30">
        <f>AA288-W288</f>
        <v/>
      </c>
      <c r="Y288" s="32">
        <f>'0₦'!AE287*2  + 0</f>
        <v/>
      </c>
      <c r="Z288" s="279" t="n"/>
      <c r="AA288" s="30">
        <f>SUM(E288:O288)/21*75 + IF(AM288, -(MAX((U288-1800)/10, -40)), 0)+T288 + S288 + (P288-100)*0.5+AI288 +W288</f>
        <v/>
      </c>
      <c r="AD288" s="32" t="n"/>
      <c r="AI288" s="450" t="n"/>
      <c r="AK288" s="45" t="n"/>
      <c r="BG288" s="120" t="n"/>
    </row>
    <row r="289" hidden="1" s="37">
      <c r="A289" s="551" t="n"/>
      <c r="B289" s="550">
        <f>B288+1</f>
        <v/>
      </c>
      <c r="C289" s="45" t="inlineStr">
        <is>
          <t>W</t>
        </is>
      </c>
      <c r="D289" s="30">
        <f>SUM(T289,AA289)</f>
        <v/>
      </c>
      <c r="L289" s="216" t="n"/>
      <c r="P289" s="59" t="n"/>
      <c r="U289" s="31">
        <f>SUM(AM289,AP289,AS289,AV289,AY289,BE289,BB289)</f>
        <v/>
      </c>
      <c r="W289" s="30" t="n"/>
      <c r="X289" s="30">
        <f>AA289-W289</f>
        <v/>
      </c>
      <c r="Y289" s="32">
        <f>'0₦'!AE288*2  + 0</f>
        <v/>
      </c>
      <c r="Z289" s="279" t="n"/>
      <c r="AA289" s="30">
        <f>SUM(E289:O289)/21*75 + IF(AM289, -(MAX((U289-1800)/10, -40)), 0)+T289 + S289 + (P289-100)*0.5+AI289 +W289</f>
        <v/>
      </c>
      <c r="AD289" s="32" t="n"/>
      <c r="AI289" s="450" t="n"/>
      <c r="AK289" s="45" t="n"/>
      <c r="BG289" s="120" t="n"/>
    </row>
    <row r="290" hidden="1" s="37">
      <c r="A290" s="551" t="n"/>
      <c r="B290" s="550">
        <f>B289+1</f>
        <v/>
      </c>
      <c r="C290" s="45" t="inlineStr">
        <is>
          <t>Th</t>
        </is>
      </c>
      <c r="D290" s="30">
        <f>SUM(T290,AA290)</f>
        <v/>
      </c>
      <c r="L290" s="216" t="n"/>
      <c r="P290" s="59" t="n"/>
      <c r="U290" s="31">
        <f>SUM(AM290,AP290,AS290,AV290,AY290,BE290,BB290)</f>
        <v/>
      </c>
      <c r="V290" s="483">
        <f>AVERAGE(U290:U296)</f>
        <v/>
      </c>
      <c r="W290" s="30" t="n"/>
      <c r="X290" s="30">
        <f>AA290-W290</f>
        <v/>
      </c>
      <c r="Y290" s="32">
        <f>'0₦'!AE289*2  + 0</f>
        <v/>
      </c>
      <c r="Z290" s="279" t="n"/>
      <c r="AA290" s="30">
        <f>SUM(E290:O290)/21*75 + IF(AM290, -(MAX((U290-1800)/10, -40)), 0)+T290 + S290 + (P290-100)*0.5+AI290 +W290</f>
        <v/>
      </c>
      <c r="AB290" s="477">
        <f>AVERAGE(AA290:AA296)</f>
        <v/>
      </c>
      <c r="AC290" s="476">
        <f>AVERAGE(Y290:Y296)</f>
        <v/>
      </c>
      <c r="AD290" s="32" t="n"/>
      <c r="AF290" s="478">
        <f>SUM(AE290:AE296)</f>
        <v/>
      </c>
      <c r="AG290" s="22" t="n"/>
      <c r="AH290" s="480" t="n"/>
      <c r="AI290" s="450" t="n"/>
      <c r="AK290" s="45" t="n"/>
      <c r="BG290" s="120" t="n"/>
      <c r="BH290" s="445" t="n"/>
      <c r="BI290" s="473" t="n"/>
      <c r="BJ290" s="445" t="n"/>
      <c r="BK290" s="445" t="n"/>
    </row>
    <row r="291" hidden="1" s="37">
      <c r="A291" s="551" t="n"/>
      <c r="B291" s="550">
        <f>B290+1</f>
        <v/>
      </c>
      <c r="C291" s="45" t="inlineStr">
        <is>
          <t>F</t>
        </is>
      </c>
      <c r="D291" s="30">
        <f>SUM(T291,AA291)</f>
        <v/>
      </c>
      <c r="L291" s="216" t="n"/>
      <c r="P291" s="59" t="n"/>
      <c r="U291" s="31">
        <f>SUM(AM291,AP291,AS291,AV291,AY291,BE291,BB291)</f>
        <v/>
      </c>
      <c r="W291" s="30" t="n"/>
      <c r="X291" s="30">
        <f>AA291-W291</f>
        <v/>
      </c>
      <c r="Y291" s="32">
        <f>'0₦'!AE290*2  + 0</f>
        <v/>
      </c>
      <c r="Z291" s="279" t="n"/>
      <c r="AA291" s="30">
        <f>SUM(E291:O291)/21*75 + IF(AM291, -(MAX((U291-1800)/10, -40)), 0)+T291 + S291 + (P291-100)*0.5+AI291 +W291</f>
        <v/>
      </c>
      <c r="AD291" s="32" t="n"/>
      <c r="AI291" s="450" t="n"/>
      <c r="AK291" s="45" t="n"/>
      <c r="BG291" s="120" t="n"/>
      <c r="BM291" s="445">
        <f>SUM(BN291:BO297)</f>
        <v/>
      </c>
      <c r="BN291" s="445">
        <f>COUNTIF('0₦'!L290:L296,"&lt;&gt;")*23</f>
        <v/>
      </c>
      <c r="BO291" s="445" t="n">
        <v>4</v>
      </c>
      <c r="BP291" s="472" t="n"/>
    </row>
    <row r="292" hidden="1" s="37">
      <c r="A292" s="552" t="n"/>
      <c r="B292" s="550">
        <f>B291+1</f>
        <v/>
      </c>
      <c r="C292" s="45" t="inlineStr">
        <is>
          <t>S</t>
        </is>
      </c>
      <c r="D292" s="30">
        <f>SUM(T292,AA292)</f>
        <v/>
      </c>
      <c r="L292" s="216" t="n"/>
      <c r="P292" s="59" t="n"/>
      <c r="U292" s="31">
        <f>SUM(AM292,AP292,AS292,AV292,AY292,BE292,BB292)</f>
        <v/>
      </c>
      <c r="W292" s="30" t="n"/>
      <c r="X292" s="30">
        <f>AA292-W292</f>
        <v/>
      </c>
      <c r="Y292" s="32">
        <f>'0₦'!AE291*2  + 0</f>
        <v/>
      </c>
      <c r="Z292" s="279" t="n"/>
      <c r="AA292" s="30">
        <f>SUM(E292:O292)/21*75 + IF(AM292, -(MAX((U292-1800)/10, -40)), 0)+T292 + S292 + (P292-100)*0.5+AI292 +W292</f>
        <v/>
      </c>
      <c r="AD292" s="32" t="n"/>
      <c r="AI292" s="450" t="n"/>
      <c r="AK292" s="45" t="n"/>
      <c r="BG292" s="120" t="n"/>
    </row>
    <row r="293" hidden="1" s="37">
      <c r="A293" s="462">
        <f>A286+0.1</f>
        <v/>
      </c>
      <c r="B293" s="550">
        <f>B292+1</f>
        <v/>
      </c>
      <c r="C293" s="45" t="inlineStr">
        <is>
          <t>S</t>
        </is>
      </c>
      <c r="D293" s="30">
        <f>SUM(T293,AA293)</f>
        <v/>
      </c>
      <c r="L293" s="216" t="n"/>
      <c r="P293" s="59" t="n"/>
      <c r="U293" s="31">
        <f>SUM(AM293,AP293,AS293,AV293,AY293,BE293,BB293)</f>
        <v/>
      </c>
      <c r="W293" s="30" t="n"/>
      <c r="X293" s="30">
        <f>AA293-W293</f>
        <v/>
      </c>
      <c r="Y293" s="32">
        <f>'0₦'!AE292*2  + 0</f>
        <v/>
      </c>
      <c r="Z293" s="279" t="n"/>
      <c r="AA293" s="30">
        <f>SUM(E293:O293)/21*75 + IF(AM293, -(MAX((U293-1800)/10, -40)), 0)+T293 + S293 + (P293-100)*0.5+AI293 +W293</f>
        <v/>
      </c>
      <c r="AD293" s="32" t="n"/>
      <c r="AI293" s="450" t="n"/>
      <c r="AK293" s="45" t="n"/>
      <c r="BG293" s="120" t="n"/>
    </row>
    <row r="294" hidden="1" s="37">
      <c r="A294" s="551" t="n"/>
      <c r="B294" s="550">
        <f>B293+1</f>
        <v/>
      </c>
      <c r="C294" s="45" t="inlineStr">
        <is>
          <t>M</t>
        </is>
      </c>
      <c r="D294" s="30">
        <f>SUM(T294,AA294)</f>
        <v/>
      </c>
      <c r="L294" s="216" t="n"/>
      <c r="P294" s="59" t="n"/>
      <c r="U294" s="31">
        <f>SUM(AM294,AP294,AS294,AV294,AY294,BE294,BB294)</f>
        <v/>
      </c>
      <c r="W294" s="30" t="n"/>
      <c r="X294" s="30">
        <f>AA294-W294</f>
        <v/>
      </c>
      <c r="Y294" s="32">
        <f>'0₦'!AE293*2  + 0</f>
        <v/>
      </c>
      <c r="Z294" s="279" t="n"/>
      <c r="AA294" s="30">
        <f>SUM(E294:O294)/21*75 + IF(AM294, -(MAX((U294-1800)/10, -40)), 0)+T294 + S294 + (P294-100)*0.5+AI294 +W294</f>
        <v/>
      </c>
      <c r="AD294" s="32" t="n"/>
      <c r="AI294" s="450" t="n"/>
      <c r="AK294" s="45" t="n"/>
      <c r="AL294" s="57" t="n"/>
      <c r="AR294" s="450" t="n"/>
      <c r="BG294" s="120" t="n"/>
    </row>
    <row r="295" hidden="1" s="37">
      <c r="A295" s="551" t="n"/>
      <c r="B295" s="550">
        <f>B294+1</f>
        <v/>
      </c>
      <c r="C295" s="45" t="inlineStr">
        <is>
          <t>T</t>
        </is>
      </c>
      <c r="D295" s="30">
        <f>SUM(T295,AA295)</f>
        <v/>
      </c>
      <c r="L295" s="216" t="n"/>
      <c r="P295" s="59" t="n"/>
      <c r="U295" s="31">
        <f>SUM(AM295,AP295,AS295,AV295,AY295,BE295,BB295)</f>
        <v/>
      </c>
      <c r="W295" s="30" t="n"/>
      <c r="X295" s="30">
        <f>AA295-W295</f>
        <v/>
      </c>
      <c r="Y295" s="32">
        <f>'0₦'!AE294*2  + 0</f>
        <v/>
      </c>
      <c r="Z295" s="279" t="n"/>
      <c r="AA295" s="30">
        <f>SUM(E295:O295)/21*75 + IF(AM295, -(MAX((U295-1800)/10, -40)), 0)+T295 + S295 + (P295-100)*0.5+AI295 +W295</f>
        <v/>
      </c>
      <c r="AD295" s="32" t="n"/>
      <c r="AI295" s="450" t="n"/>
      <c r="AK295" s="45" t="n"/>
      <c r="BG295" s="120" t="n"/>
    </row>
    <row r="296" hidden="1" s="37">
      <c r="A296" s="551" t="n"/>
      <c r="B296" s="550">
        <f>B295+1</f>
        <v/>
      </c>
      <c r="C296" s="45" t="inlineStr">
        <is>
          <t>W</t>
        </is>
      </c>
      <c r="D296" s="30">
        <f>SUM(T296,AA296)</f>
        <v/>
      </c>
      <c r="L296" s="216" t="n"/>
      <c r="P296" s="59" t="n"/>
      <c r="U296" s="31">
        <f>SUM(AM296,AP296,AS296,AV296,AY296,BE296,BB296)</f>
        <v/>
      </c>
      <c r="W296" s="30" t="n"/>
      <c r="X296" s="30">
        <f>AA296-W296</f>
        <v/>
      </c>
      <c r="Y296" s="32">
        <f>'0₦'!AE295*2  + 0</f>
        <v/>
      </c>
      <c r="Z296" s="279" t="n"/>
      <c r="AA296" s="30">
        <f>SUM(E296:O296)/21*75 + IF(AM296, -(MAX((U296-1800)/10, -40)), 0)+T296 + S296 + (P296-100)*0.5+AI296 +W296</f>
        <v/>
      </c>
      <c r="AD296" s="32" t="n"/>
      <c r="AI296" s="450" t="n"/>
      <c r="AK296" s="45" t="n"/>
      <c r="BG296" s="120" t="n"/>
    </row>
    <row r="297" hidden="1" s="37">
      <c r="A297" s="551" t="n"/>
      <c r="B297" s="550">
        <f>B296+1</f>
        <v/>
      </c>
      <c r="C297" s="45" t="inlineStr">
        <is>
          <t>Th</t>
        </is>
      </c>
      <c r="D297" s="30">
        <f>SUM(T297,AA297)</f>
        <v/>
      </c>
      <c r="L297" s="216" t="n"/>
      <c r="P297" s="59" t="n"/>
      <c r="U297" s="31">
        <f>SUM(AM297,AP297,AS297,AV297,AY297,BE297,BB297)</f>
        <v/>
      </c>
      <c r="V297" s="483">
        <f>AVERAGE(U297:U303)</f>
        <v/>
      </c>
      <c r="W297" s="30" t="n"/>
      <c r="X297" s="30">
        <f>AA297-W297</f>
        <v/>
      </c>
      <c r="Y297" s="32">
        <f>'0₦'!AE296*2  + 0</f>
        <v/>
      </c>
      <c r="Z297" s="279" t="n"/>
      <c r="AA297" s="30">
        <f>SUM(E297:O297)/21*75 + IF(AM297, -(MAX((U297-1800)/10, -40)), 0)+T297 + S297 + (P297-100)*0.5+AI297 +W297</f>
        <v/>
      </c>
      <c r="AB297" s="477">
        <f>AVERAGE(AA297:AA303)</f>
        <v/>
      </c>
      <c r="AC297" s="476">
        <f>AVERAGE(Y297:Y303)</f>
        <v/>
      </c>
      <c r="AD297" s="32" t="n"/>
      <c r="AF297" s="478">
        <f>SUM(AE297:AE303)</f>
        <v/>
      </c>
      <c r="AG297" s="22" t="n"/>
      <c r="AH297" s="480" t="n"/>
      <c r="AI297" s="450" t="n"/>
      <c r="AK297" s="45" t="n"/>
      <c r="BG297" s="120" t="n"/>
      <c r="BH297" s="445" t="n"/>
      <c r="BI297" s="473" t="n"/>
      <c r="BJ297" s="445" t="n"/>
      <c r="BK297" s="445" t="n"/>
    </row>
    <row r="298" hidden="1" s="37">
      <c r="A298" s="551" t="n"/>
      <c r="B298" s="550">
        <f>B297+1</f>
        <v/>
      </c>
      <c r="C298" s="45" t="inlineStr">
        <is>
          <t>F</t>
        </is>
      </c>
      <c r="D298" s="30">
        <f>SUM(T298,AA298)</f>
        <v/>
      </c>
      <c r="L298" s="216" t="n"/>
      <c r="P298" s="59" t="n"/>
      <c r="U298" s="31">
        <f>SUM(AM298,AP298,AS298,AV298,AY298,BE298,BB298)</f>
        <v/>
      </c>
      <c r="W298" s="30" t="n"/>
      <c r="X298" s="30">
        <f>AA298-W298</f>
        <v/>
      </c>
      <c r="Y298" s="32">
        <f>'0₦'!AE297*2  + 0</f>
        <v/>
      </c>
      <c r="Z298" s="279" t="n"/>
      <c r="AA298" s="30">
        <f>SUM(E298:O298)/21*75 + IF(AM298, -(MAX((U298-1800)/10, -40)), 0)+T298 + S298 + (P298-100)*0.5+AI298 +W298</f>
        <v/>
      </c>
      <c r="AD298" s="32" t="n"/>
      <c r="AI298" s="450" t="n"/>
      <c r="AK298" s="45" t="n"/>
      <c r="BG298" s="120" t="n"/>
      <c r="BM298" s="445">
        <f>SUM(BN298:BO304)</f>
        <v/>
      </c>
      <c r="BN298" s="445">
        <f>COUNTIF('0₦'!L297:L303,"&lt;&gt;")*23</f>
        <v/>
      </c>
      <c r="BO298" s="445" t="n">
        <v>4</v>
      </c>
      <c r="BP298" s="472" t="n"/>
    </row>
    <row r="299" hidden="1" s="37">
      <c r="A299" s="552" t="n"/>
      <c r="B299" s="550">
        <f>B298+1</f>
        <v/>
      </c>
      <c r="C299" s="45" t="inlineStr">
        <is>
          <t>S</t>
        </is>
      </c>
      <c r="D299" s="30">
        <f>SUM(T299,AA299)</f>
        <v/>
      </c>
      <c r="L299" s="216" t="n"/>
      <c r="P299" s="59" t="n"/>
      <c r="U299" s="31">
        <f>SUM(AM299,AP299,AS299,AV299,AY299,BE299,BB299)</f>
        <v/>
      </c>
      <c r="W299" s="30" t="n"/>
      <c r="X299" s="30">
        <f>AA299-W299</f>
        <v/>
      </c>
      <c r="Y299" s="32">
        <f>'0₦'!AE298*2  + 0</f>
        <v/>
      </c>
      <c r="Z299" s="279" t="n"/>
      <c r="AA299" s="30">
        <f>SUM(E299:O299)/21*75 + IF(AM299, -(MAX((U299-1800)/10, -40)), 0)+T299 + S299 + (P299-100)*0.5+AI299 +W299</f>
        <v/>
      </c>
      <c r="AD299" s="32" t="n"/>
      <c r="AI299" s="450" t="n"/>
      <c r="AK299" s="45" t="n"/>
      <c r="AR299" s="450" t="n"/>
      <c r="BG299" s="120" t="n"/>
    </row>
    <row r="300" hidden="1" s="37">
      <c r="A300" s="462">
        <f>A293+0.1</f>
        <v/>
      </c>
      <c r="B300" s="550">
        <f>B299+1</f>
        <v/>
      </c>
      <c r="C300" s="45" t="inlineStr">
        <is>
          <t>S</t>
        </is>
      </c>
      <c r="D300" s="30">
        <f>SUM(T300,AA300)</f>
        <v/>
      </c>
      <c r="L300" s="216" t="n"/>
      <c r="P300" s="59" t="n"/>
      <c r="U300" s="31">
        <f>SUM(AM300,AP300,AS300,AV300,AY300,BE300,BB300)</f>
        <v/>
      </c>
      <c r="W300" s="30" t="n"/>
      <c r="X300" s="30">
        <f>AA300-W300</f>
        <v/>
      </c>
      <c r="Y300" s="32">
        <f>'0₦'!AE299*2  + 0</f>
        <v/>
      </c>
      <c r="Z300" s="279" t="n"/>
      <c r="AA300" s="30">
        <f>SUM(E300:O300)/21*75 + IF(AM300, -(MAX((U300-1800)/10, -40)), 0)+T300 + S300 + (P300-100)*0.5+AI300 +W300</f>
        <v/>
      </c>
      <c r="AD300" s="32" t="n"/>
      <c r="AI300" s="450" t="n"/>
      <c r="AK300" s="45" t="n"/>
      <c r="BG300" s="120" t="n"/>
    </row>
    <row r="301" hidden="1" s="37">
      <c r="A301" s="551" t="n"/>
      <c r="B301" s="550">
        <f>B300+1</f>
        <v/>
      </c>
      <c r="C301" s="45" t="inlineStr">
        <is>
          <t>M</t>
        </is>
      </c>
      <c r="D301" s="30">
        <f>SUM(T301,AA301)</f>
        <v/>
      </c>
      <c r="L301" s="216" t="n"/>
      <c r="P301" s="59" t="n"/>
      <c r="U301" s="31">
        <f>SUM(AM301,AP301,AS301,AV301,AY301,BE301,BB301)</f>
        <v/>
      </c>
      <c r="W301" s="30" t="n"/>
      <c r="X301" s="30">
        <f>AA301-W301</f>
        <v/>
      </c>
      <c r="Y301" s="32">
        <f>'0₦'!AE300*2  + 0</f>
        <v/>
      </c>
      <c r="Z301" s="279" t="n"/>
      <c r="AA301" s="30">
        <f>SUM(E301:O301)/21*75 + IF(AM301, -(MAX((U301-1800)/10, -40)), 0)+T301 + S301 + (P301-100)*0.5+AI301 +W301</f>
        <v/>
      </c>
      <c r="AD301" s="32" t="n"/>
      <c r="AI301" s="450" t="n"/>
      <c r="AK301" s="45" t="n"/>
      <c r="AR301" s="450" t="n"/>
      <c r="BG301" s="120" t="n"/>
    </row>
    <row r="302" hidden="1" s="37">
      <c r="A302" s="551" t="n"/>
      <c r="B302" s="550">
        <f>B301+1</f>
        <v/>
      </c>
      <c r="C302" s="45" t="inlineStr">
        <is>
          <t>T</t>
        </is>
      </c>
      <c r="D302" s="30">
        <f>SUM(T302,AA302)</f>
        <v/>
      </c>
      <c r="L302" s="216" t="n"/>
      <c r="P302" s="59" t="n"/>
      <c r="U302" s="31">
        <f>SUM(AM302,AP302,AS302,AV302,AY302,BE302,BB302)</f>
        <v/>
      </c>
      <c r="W302" s="30" t="n"/>
      <c r="X302" s="30">
        <f>AA302-W302</f>
        <v/>
      </c>
      <c r="Y302" s="32">
        <f>'0₦'!AE301*2  + 0</f>
        <v/>
      </c>
      <c r="Z302" s="279" t="n"/>
      <c r="AA302" s="30">
        <f>SUM(E302:O302)/21*75 + IF(AM302, -(MAX((U302-1800)/10, -40)), 0)+T302 + S302 + (P302-100)*0.5+AI302 +W302</f>
        <v/>
      </c>
      <c r="AD302" s="32" t="n"/>
      <c r="AI302" s="450" t="n"/>
      <c r="AK302" s="45" t="n"/>
      <c r="BG302" s="120" t="n"/>
    </row>
    <row r="303" hidden="1" s="37">
      <c r="A303" s="551" t="n"/>
      <c r="B303" s="550">
        <f>B302+1</f>
        <v/>
      </c>
      <c r="C303" s="45" t="inlineStr">
        <is>
          <t>W</t>
        </is>
      </c>
      <c r="D303" s="30">
        <f>SUM(T303,AA303)</f>
        <v/>
      </c>
      <c r="L303" s="216" t="n"/>
      <c r="P303" s="59" t="n"/>
      <c r="U303" s="31">
        <f>SUM(AM303,AP303,AS303,AV303,AY303,BE303,BB303)</f>
        <v/>
      </c>
      <c r="W303" s="30" t="n"/>
      <c r="X303" s="30">
        <f>AA303-W303</f>
        <v/>
      </c>
      <c r="Y303" s="32">
        <f>'0₦'!AE302*2  + 0</f>
        <v/>
      </c>
      <c r="Z303" s="279" t="n"/>
      <c r="AA303" s="30">
        <f>SUM(E303:O303)/21*75 + IF(AM303, -(MAX((U303-1800)/10, -40)), 0)+T303 + S303 + (P303-100)*0.5+AI303 +W303</f>
        <v/>
      </c>
      <c r="AD303" s="32" t="n"/>
      <c r="AI303" s="450" t="n"/>
      <c r="AK303" s="45" t="n"/>
      <c r="BG303" s="120" t="n"/>
    </row>
    <row r="304" hidden="1" s="37">
      <c r="A304" s="551" t="n"/>
      <c r="B304" s="550">
        <f>B303+1</f>
        <v/>
      </c>
      <c r="C304" s="45" t="inlineStr">
        <is>
          <t>Th</t>
        </is>
      </c>
      <c r="D304" s="30">
        <f>SUM(T304,AA304)</f>
        <v/>
      </c>
      <c r="L304" s="216" t="n"/>
      <c r="P304" s="59" t="n"/>
      <c r="U304" s="31">
        <f>SUM(AM304,AP304,AS304,AV304,AY304,BE304,BB304)</f>
        <v/>
      </c>
      <c r="V304" s="483">
        <f>AVERAGE(U304:U310)</f>
        <v/>
      </c>
      <c r="W304" s="30" t="n"/>
      <c r="X304" s="30">
        <f>AA304-W304</f>
        <v/>
      </c>
      <c r="Y304" s="32">
        <f>'0₦'!AE303*2  + 0</f>
        <v/>
      </c>
      <c r="Z304" s="279" t="n"/>
      <c r="AA304" s="30">
        <f>SUM(E304:O304)/21*75 + IF(AM304, -(MAX((U304-1800)/10, -40)), 0)+T304 + S304 + (P304-100)*0.5+AI304 +W304</f>
        <v/>
      </c>
      <c r="AB304" s="477">
        <f>AVERAGE(AA304:AA310)</f>
        <v/>
      </c>
      <c r="AC304" s="476">
        <f>AVERAGE(Y304:Y310)</f>
        <v/>
      </c>
      <c r="AD304" s="32" t="n"/>
      <c r="AF304" s="478">
        <f>SUM(AE304:AE310)</f>
        <v/>
      </c>
      <c r="AG304" s="22" t="n"/>
      <c r="AH304" s="480" t="n"/>
      <c r="AI304" s="450" t="n"/>
      <c r="AK304" s="45" t="n"/>
      <c r="BG304" s="120" t="n"/>
      <c r="BH304" s="445" t="n"/>
      <c r="BI304" s="473" t="n"/>
      <c r="BJ304" s="445" t="n"/>
      <c r="BK304" s="445" t="n"/>
    </row>
    <row r="305" hidden="1" s="37">
      <c r="A305" s="551" t="n"/>
      <c r="B305" s="550">
        <f>B304+1</f>
        <v/>
      </c>
      <c r="C305" s="45" t="inlineStr">
        <is>
          <t>F</t>
        </is>
      </c>
      <c r="D305" s="30">
        <f>SUM(T305,AA305)</f>
        <v/>
      </c>
      <c r="L305" s="216" t="n"/>
      <c r="P305" s="59" t="n"/>
      <c r="U305" s="31">
        <f>SUM(AM305,AP305,AS305,AV305,AY305,BE305,BB305)</f>
        <v/>
      </c>
      <c r="W305" s="30" t="n"/>
      <c r="X305" s="30">
        <f>AA305-W305</f>
        <v/>
      </c>
      <c r="Y305" s="32">
        <f>'0₦'!AE304*2  + 0</f>
        <v/>
      </c>
      <c r="Z305" s="279" t="n"/>
      <c r="AA305" s="30">
        <f>SUM(E305:O305)/21*75 + IF(AM305, -(MAX((U305-1800)/10, -40)), 0)+T305 + S305 + (P305-100)*0.5+AI305 +W305</f>
        <v/>
      </c>
      <c r="AD305" s="32" t="n"/>
      <c r="AI305" s="450" t="n"/>
      <c r="AK305" s="45" t="n"/>
      <c r="BG305" s="120" t="n"/>
      <c r="BM305" s="445">
        <f>SUM(BN305:BO311)</f>
        <v/>
      </c>
      <c r="BN305" s="445">
        <f>COUNTIF('0₦'!L304:L310,"&lt;&gt;")*23</f>
        <v/>
      </c>
      <c r="BO305" s="445" t="n">
        <v>4</v>
      </c>
      <c r="BP305" s="472" t="n"/>
    </row>
    <row r="306" hidden="1" s="37">
      <c r="A306" s="552" t="n"/>
      <c r="B306" s="550">
        <f>B305+1</f>
        <v/>
      </c>
      <c r="C306" s="45" t="inlineStr">
        <is>
          <t>S</t>
        </is>
      </c>
      <c r="D306" s="30">
        <f>SUM(T306,AA306)</f>
        <v/>
      </c>
      <c r="L306" s="216" t="n"/>
      <c r="P306" s="59" t="n"/>
      <c r="U306" s="31">
        <f>SUM(AM306,AP306,AS306,AV306,AY306,BE306,BB306)</f>
        <v/>
      </c>
      <c r="W306" s="30" t="n"/>
      <c r="X306" s="30">
        <f>AA306-W306</f>
        <v/>
      </c>
      <c r="Y306" s="32">
        <f>'0₦'!AE305*2  + 0</f>
        <v/>
      </c>
      <c r="Z306" s="279" t="n"/>
      <c r="AA306" s="30">
        <f>SUM(E306:O306)/21*75 + IF(AM306, -(MAX((U306-1800)/10, -40)), 0)+T306 + S306 + (P306-100)*0.5+AI306 +W306</f>
        <v/>
      </c>
      <c r="AD306" s="32" t="n"/>
      <c r="AI306" s="450" t="n"/>
      <c r="AK306" s="45" t="n"/>
      <c r="AR306" s="450" t="n"/>
      <c r="BG306" s="120" t="n"/>
    </row>
    <row r="307" hidden="1" s="37">
      <c r="A307" s="462">
        <f>A279+1</f>
        <v/>
      </c>
      <c r="B307" s="550">
        <f>B306+1</f>
        <v/>
      </c>
      <c r="C307" s="45" t="inlineStr">
        <is>
          <t>S</t>
        </is>
      </c>
      <c r="D307" s="30">
        <f>SUM(T307,AA307)</f>
        <v/>
      </c>
      <c r="L307" s="216" t="n"/>
      <c r="P307" s="59" t="n"/>
      <c r="U307" s="31">
        <f>SUM(AM307,AP307,AS307,AV307,AY307,BE307,BB307)</f>
        <v/>
      </c>
      <c r="W307" s="30" t="n"/>
      <c r="X307" s="30">
        <f>AA307-W307</f>
        <v/>
      </c>
      <c r="Y307" s="32">
        <f>'0₦'!AE306*2  + 0</f>
        <v/>
      </c>
      <c r="Z307" s="279" t="n"/>
      <c r="AA307" s="30">
        <f>SUM(E307:O307)/21*75 + IF(AM307, -(MAX((U307-1800)/10, -40)), 0)+T307 + S307 + (P307-100)*0.5+AI307 +W307</f>
        <v/>
      </c>
      <c r="AD307" s="32" t="n"/>
      <c r="AI307" s="450" t="n"/>
      <c r="AK307" s="45" t="n"/>
      <c r="BG307" s="120" t="n"/>
    </row>
    <row r="308" hidden="1" s="37">
      <c r="A308" s="551" t="n"/>
      <c r="B308" s="550">
        <f>B307+1</f>
        <v/>
      </c>
      <c r="C308" s="45" t="inlineStr">
        <is>
          <t>M</t>
        </is>
      </c>
      <c r="D308" s="30">
        <f>SUM(T308,AA308)</f>
        <v/>
      </c>
      <c r="K308" s="41" t="n"/>
      <c r="L308" s="216" t="n"/>
      <c r="P308" s="59" t="n"/>
      <c r="U308" s="31">
        <f>SUM(AM308,AP308,AS308,AV308,AY308,BE308,BB308)</f>
        <v/>
      </c>
      <c r="W308" s="30" t="n"/>
      <c r="X308" s="30">
        <f>AA308-W308</f>
        <v/>
      </c>
      <c r="Y308" s="32">
        <f>'0₦'!AE307*2  + 0</f>
        <v/>
      </c>
      <c r="Z308" s="279" t="n"/>
      <c r="AA308" s="30">
        <f>SUM(E308:O308)/21*75 + IF(AM308, -(MAX((U308-1800)/10, -40)), 0)+T308 + S308 + (P308-100)*0.5+AI308 +W308</f>
        <v/>
      </c>
      <c r="AD308" s="32" t="n"/>
      <c r="AI308" s="450" t="n"/>
      <c r="AK308" s="45" t="n"/>
      <c r="AR308" s="450" t="n"/>
      <c r="BG308" s="120" t="n"/>
    </row>
    <row r="309" hidden="1" s="37">
      <c r="A309" s="551" t="n"/>
      <c r="B309" s="550">
        <f>B308+1</f>
        <v/>
      </c>
      <c r="C309" s="45" t="inlineStr">
        <is>
          <t>T</t>
        </is>
      </c>
      <c r="D309" s="30">
        <f>SUM(T309,AA309)</f>
        <v/>
      </c>
      <c r="L309" s="216" t="n"/>
      <c r="P309" s="59" t="n"/>
      <c r="U309" s="31">
        <f>SUM(AM309,AP309,AS309,AV309,AY309,BE309,BB309)</f>
        <v/>
      </c>
      <c r="W309" s="30" t="n"/>
      <c r="X309" s="30">
        <f>AA309-W309</f>
        <v/>
      </c>
      <c r="Y309" s="32">
        <f>'0₦'!AE308*2  + 0</f>
        <v/>
      </c>
      <c r="Z309" s="279" t="n"/>
      <c r="AA309" s="30">
        <f>SUM(E309:O309)/21*75 + IF(AM309, -(MAX((U309-1800)/10, -40)), 0)+T309 + S309 + (P309-100)*0.5+AI309 +W309</f>
        <v/>
      </c>
      <c r="AD309" s="32" t="n"/>
      <c r="AI309" s="450" t="n"/>
      <c r="AK309" s="45" t="n"/>
      <c r="BG309" s="120" t="n"/>
    </row>
    <row r="310" hidden="1" s="37">
      <c r="A310" s="551" t="n"/>
      <c r="B310" s="550">
        <f>B309+1</f>
        <v/>
      </c>
      <c r="C310" s="45" t="inlineStr">
        <is>
          <t>W</t>
        </is>
      </c>
      <c r="D310" s="30">
        <f>SUM(T310,AA310)</f>
        <v/>
      </c>
      <c r="L310" s="216" t="n"/>
      <c r="P310" s="59" t="n"/>
      <c r="U310" s="31">
        <f>SUM(AM310,AP310,AS310,AV310,AY310,BE310,BB310)</f>
        <v/>
      </c>
      <c r="W310" s="30" t="n"/>
      <c r="X310" s="30">
        <f>AA310-W310</f>
        <v/>
      </c>
      <c r="Y310" s="32">
        <f>'0₦'!AE309*2  + 0</f>
        <v/>
      </c>
      <c r="Z310" s="279" t="n"/>
      <c r="AA310" s="30">
        <f>SUM(E310:O310)/21*75 + IF(AM310, -(MAX((U310-1800)/10, -40)), 0)+T310 + S310 + (P310-100)*0.5+AI310 +W310</f>
        <v/>
      </c>
      <c r="AD310" s="32" t="n"/>
      <c r="AI310" s="450" t="n"/>
      <c r="AK310" s="45" t="n"/>
      <c r="BG310" s="120" t="n"/>
    </row>
    <row r="311" hidden="1" s="37">
      <c r="A311" s="551" t="n"/>
      <c r="B311" s="550">
        <f>B310+1</f>
        <v/>
      </c>
      <c r="C311" s="45" t="inlineStr">
        <is>
          <t>Th</t>
        </is>
      </c>
      <c r="D311" s="30">
        <f>SUM(T311,AA311)</f>
        <v/>
      </c>
      <c r="L311" s="216" t="n"/>
      <c r="P311" s="59" t="n"/>
      <c r="U311" s="31">
        <f>SUM(AM311,AP311,AS311,AV311,AY311,BE311,BB311)</f>
        <v/>
      </c>
      <c r="V311" s="483">
        <f>AVERAGE(U311:U317)</f>
        <v/>
      </c>
      <c r="W311" s="30" t="n"/>
      <c r="X311" s="30">
        <f>AA311-W311</f>
        <v/>
      </c>
      <c r="Y311" s="32">
        <f>'0₦'!AE310*2  + 0</f>
        <v/>
      </c>
      <c r="Z311" s="279" t="n"/>
      <c r="AA311" s="30">
        <f>SUM(E311:O311)/21*75 + IF(AM311, -(MAX((U311-1800)/10, -40)), 0)+T311 + S311 + (P311-100)*0.5+AI311 +W311</f>
        <v/>
      </c>
      <c r="AB311" s="477">
        <f>AVERAGE(AA311:AA317)</f>
        <v/>
      </c>
      <c r="AC311" s="476">
        <f>AVERAGE(Y311:Y317)</f>
        <v/>
      </c>
      <c r="AD311" s="32" t="n"/>
      <c r="AF311" s="478">
        <f>SUM(AE311:AE317)</f>
        <v/>
      </c>
      <c r="AG311" s="22" t="n"/>
      <c r="AH311" s="480" t="n"/>
      <c r="AI311" s="450" t="n"/>
      <c r="AK311" s="45" t="n"/>
      <c r="BG311" s="120" t="n"/>
      <c r="BH311" s="445" t="n"/>
      <c r="BI311" s="473" t="n"/>
      <c r="BJ311" s="445" t="n"/>
      <c r="BK311" s="445" t="n"/>
    </row>
    <row r="312" hidden="1" s="37">
      <c r="A312" s="551" t="n"/>
      <c r="B312" s="550">
        <f>B311+1</f>
        <v/>
      </c>
      <c r="C312" s="45" t="inlineStr">
        <is>
          <t>F</t>
        </is>
      </c>
      <c r="D312" s="30">
        <f>SUM(T312,AA312)</f>
        <v/>
      </c>
      <c r="L312" s="216" t="n"/>
      <c r="P312" s="59" t="n"/>
      <c r="U312" s="31">
        <f>SUM(AM312,AP312,AS312,AV312,AY312,BE312,BB312)</f>
        <v/>
      </c>
      <c r="W312" s="30" t="n"/>
      <c r="X312" s="30">
        <f>AA312-W312</f>
        <v/>
      </c>
      <c r="Y312" s="32">
        <f>'0₦'!AE311*2  + 0</f>
        <v/>
      </c>
      <c r="Z312" s="279" t="n"/>
      <c r="AA312" s="30">
        <f>SUM(E312:O312)/21*75 + IF(AM312, -(MAX((U312-1800)/10, -40)), 0)+T312 + S312 + (P312-100)*0.5+AI312 +W312</f>
        <v/>
      </c>
      <c r="AD312" s="32" t="n"/>
      <c r="AI312" s="450" t="n"/>
      <c r="AK312" s="45" t="n"/>
      <c r="BG312" s="120" t="n"/>
      <c r="BM312" s="445">
        <f>SUM(BN312:BO318)</f>
        <v/>
      </c>
      <c r="BN312" s="445">
        <f>COUNTIF('0₦'!L311:L317,"&lt;&gt;")*23</f>
        <v/>
      </c>
      <c r="BO312" s="445" t="n">
        <v>4</v>
      </c>
      <c r="BP312" s="472" t="n"/>
    </row>
    <row r="313" hidden="1" s="37">
      <c r="A313" s="552" t="n"/>
      <c r="B313" s="550">
        <f>B312+1</f>
        <v/>
      </c>
      <c r="C313" s="45" t="inlineStr">
        <is>
          <t>S</t>
        </is>
      </c>
      <c r="D313" s="30">
        <f>SUM(T313,AA313)</f>
        <v/>
      </c>
      <c r="L313" s="216" t="n"/>
      <c r="P313" s="59" t="n"/>
      <c r="U313" s="31">
        <f>SUM(AM313,AP313,AS313,AV313,AY313,BE313,BB313)</f>
        <v/>
      </c>
      <c r="W313" s="30" t="n"/>
      <c r="X313" s="30">
        <f>AA313-W313</f>
        <v/>
      </c>
      <c r="Y313" s="32">
        <f>'0₦'!AE312*2  + 0</f>
        <v/>
      </c>
      <c r="Z313" s="279" t="n"/>
      <c r="AA313" s="30">
        <f>SUM(E313:O313)/21*75 + IF(AM313, -(MAX((U313-1800)/10, -40)), 0)+T313 + S313 + (P313-100)*0.5+AI313 +W313</f>
        <v/>
      </c>
      <c r="AD313" s="32" t="n"/>
      <c r="AI313" s="450" t="n"/>
      <c r="AK313" s="45" t="n"/>
      <c r="AR313" s="450" t="n"/>
      <c r="BG313" s="120" t="n"/>
    </row>
    <row r="314" hidden="1" s="37">
      <c r="A314" s="462">
        <f>A307+0.1</f>
        <v/>
      </c>
      <c r="B314" s="550">
        <f>B313+1</f>
        <v/>
      </c>
      <c r="C314" s="45" t="inlineStr">
        <is>
          <t>S</t>
        </is>
      </c>
      <c r="D314" s="30">
        <f>SUM(T314,AA314)</f>
        <v/>
      </c>
      <c r="L314" s="216" t="n"/>
      <c r="P314" s="59" t="n"/>
      <c r="U314" s="31">
        <f>SUM(AM314,AP314,AS314,AV314,AY314,BE314,BB314)</f>
        <v/>
      </c>
      <c r="W314" s="30" t="n"/>
      <c r="X314" s="30">
        <f>AA314-W314</f>
        <v/>
      </c>
      <c r="Y314" s="32">
        <f>'0₦'!AE313*2  + 0</f>
        <v/>
      </c>
      <c r="Z314" s="279" t="n"/>
      <c r="AA314" s="30">
        <f>SUM(E314:O314)/21*75 + IF(AM314, -(MAX((U314-1800)/10, -40)), 0)+T314 + S314 + (P314-100)*0.5+AI314 +W314</f>
        <v/>
      </c>
      <c r="AD314" s="32" t="n"/>
      <c r="AI314" s="450" t="n"/>
      <c r="AK314" s="45" t="n"/>
      <c r="BG314" s="120" t="n"/>
    </row>
    <row r="315" hidden="1" s="37">
      <c r="A315" s="551" t="n"/>
      <c r="B315" s="550">
        <f>B314+1</f>
        <v/>
      </c>
      <c r="C315" s="45" t="inlineStr">
        <is>
          <t>M</t>
        </is>
      </c>
      <c r="D315" s="30">
        <f>SUM(T315,AA315)</f>
        <v/>
      </c>
      <c r="L315" s="216" t="n"/>
      <c r="P315" s="59" t="n"/>
      <c r="U315" s="31">
        <f>SUM(AM315,AP315,AS315,AV315,AY315,BE315,BB315)</f>
        <v/>
      </c>
      <c r="W315" s="30" t="n"/>
      <c r="X315" s="30">
        <f>AA315-W315</f>
        <v/>
      </c>
      <c r="Y315" s="32">
        <f>'0₦'!AE314*2  + 0</f>
        <v/>
      </c>
      <c r="Z315" s="279" t="n"/>
      <c r="AA315" s="30">
        <f>SUM(E315:O315)/21*75 + IF(AM315, -(MAX((U315-1800)/10, -40)), 0)+T315 + S315 + (P315-100)*0.5+AI315 +W315</f>
        <v/>
      </c>
      <c r="AD315" s="32" t="n"/>
      <c r="AI315" s="450" t="n"/>
      <c r="AK315" s="45" t="n"/>
      <c r="AR315" s="450" t="n"/>
      <c r="BG315" s="120" t="n"/>
    </row>
    <row r="316" hidden="1" s="37">
      <c r="A316" s="551" t="n"/>
      <c r="B316" s="550">
        <f>B315+1</f>
        <v/>
      </c>
      <c r="C316" s="45" t="inlineStr">
        <is>
          <t>T</t>
        </is>
      </c>
      <c r="D316" s="30">
        <f>SUM(T316,AA316)</f>
        <v/>
      </c>
      <c r="L316" s="216" t="n"/>
      <c r="P316" s="59" t="n"/>
      <c r="U316" s="31">
        <f>SUM(AM316,AP316,AS316,AV316,AY316,BE316,BB316)</f>
        <v/>
      </c>
      <c r="W316" s="30" t="n"/>
      <c r="X316" s="30">
        <f>AA316-W316</f>
        <v/>
      </c>
      <c r="Y316" s="32">
        <f>'0₦'!AE315*2  + 0</f>
        <v/>
      </c>
      <c r="Z316" s="279" t="n"/>
      <c r="AA316" s="30">
        <f>SUM(E316:O316)/21*75 + IF(AM316, -(MAX((U316-1800)/10, -40)), 0)+T316 + S316 + (P316-100)*0.5+AI316 +W316</f>
        <v/>
      </c>
      <c r="AD316" s="32" t="n"/>
      <c r="AI316" s="450" t="n"/>
      <c r="AK316" s="45" t="n"/>
      <c r="BG316" s="120" t="n"/>
    </row>
    <row r="317" hidden="1" s="37">
      <c r="A317" s="551" t="n"/>
      <c r="B317" s="550">
        <f>B316+1</f>
        <v/>
      </c>
      <c r="C317" s="45" t="inlineStr">
        <is>
          <t>W</t>
        </is>
      </c>
      <c r="D317" s="30">
        <f>SUM(T317,AA317)</f>
        <v/>
      </c>
      <c r="L317" s="216" t="n"/>
      <c r="P317" s="59" t="n"/>
      <c r="U317" s="31">
        <f>SUM(AM317,AP317,AS317,AV317,AY317,BE317,BB317)</f>
        <v/>
      </c>
      <c r="W317" s="30" t="n"/>
      <c r="X317" s="30">
        <f>AA317-W317</f>
        <v/>
      </c>
      <c r="Y317" s="32">
        <f>'0₦'!AE316*2  + 0</f>
        <v/>
      </c>
      <c r="Z317" s="279" t="n"/>
      <c r="AA317" s="30">
        <f>SUM(E317:O317)/21*75 + IF(AM317, -(MAX((U317-1800)/10, -40)), 0)+T317 + S317 + (P317-100)*0.5+AI317 +W317</f>
        <v/>
      </c>
      <c r="AD317" s="32" t="n"/>
      <c r="AI317" s="450" t="n"/>
      <c r="AK317" s="45" t="n"/>
      <c r="BG317" s="120" t="n"/>
    </row>
    <row r="318" hidden="1" s="37">
      <c r="A318" s="551" t="n"/>
      <c r="B318" s="550">
        <f>B317+1</f>
        <v/>
      </c>
      <c r="C318" s="45" t="inlineStr">
        <is>
          <t>Th</t>
        </is>
      </c>
      <c r="D318" s="30">
        <f>SUM(T318,AA318)</f>
        <v/>
      </c>
      <c r="L318" s="216" t="n"/>
      <c r="P318" s="59" t="n"/>
      <c r="U318" s="31">
        <f>SUM(AM318,AP318,AS318,AV318,AY318,BE318,BB318)</f>
        <v/>
      </c>
      <c r="V318" s="483">
        <f>AVERAGE(U318:U324)</f>
        <v/>
      </c>
      <c r="W318" s="30" t="n"/>
      <c r="X318" s="30">
        <f>AA318-W318</f>
        <v/>
      </c>
      <c r="Y318" s="32">
        <f>'0₦'!AE317*2  + 0</f>
        <v/>
      </c>
      <c r="Z318" s="279" t="n"/>
      <c r="AA318" s="30">
        <f>SUM(E318:O318)/21*75 + IF(AM318, -(MAX((U318-1800)/10, -40)), 0)+T318 + S318 + (P318-100)*0.5+AI318 +W318</f>
        <v/>
      </c>
      <c r="AB318" s="477">
        <f>AVERAGE(AA318:AA324)</f>
        <v/>
      </c>
      <c r="AC318" s="476">
        <f>AVERAGE(Y318:Y324)</f>
        <v/>
      </c>
      <c r="AD318" s="32" t="n"/>
      <c r="AF318" s="478">
        <f>SUM(AE318:AE324)</f>
        <v/>
      </c>
      <c r="AG318" s="22" t="n"/>
      <c r="AH318" s="480" t="n"/>
      <c r="AI318" s="450" t="n"/>
      <c r="AK318" s="45" t="n"/>
      <c r="BG318" s="120" t="n"/>
      <c r="BH318" s="445" t="n"/>
      <c r="BI318" s="473" t="n"/>
      <c r="BJ318" s="445" t="n"/>
      <c r="BK318" s="445" t="n"/>
    </row>
    <row r="319" hidden="1" s="37">
      <c r="A319" s="551" t="n"/>
      <c r="B319" s="550">
        <f>B318+1</f>
        <v/>
      </c>
      <c r="C319" s="45" t="inlineStr">
        <is>
          <t>F</t>
        </is>
      </c>
      <c r="D319" s="30">
        <f>SUM(T319,AA319)</f>
        <v/>
      </c>
      <c r="L319" s="216" t="n"/>
      <c r="P319" s="59" t="n"/>
      <c r="U319" s="31">
        <f>SUM(AM319,AP319,AS319,AV319,AY319,BE319,BB319)</f>
        <v/>
      </c>
      <c r="W319" s="30" t="n"/>
      <c r="X319" s="30">
        <f>AA319-W319</f>
        <v/>
      </c>
      <c r="Y319" s="32">
        <f>'0₦'!AE318*2  + 0</f>
        <v/>
      </c>
      <c r="Z319" s="279" t="n"/>
      <c r="AA319" s="30">
        <f>SUM(E319:O319)/21*75 + IF(AM319, -(MAX((U319-1800)/10, -40)), 0)+T319 + S319 + (P319-100)*0.5+AI319 +W319</f>
        <v/>
      </c>
      <c r="AD319" s="32" t="n"/>
      <c r="AI319" s="450" t="n"/>
      <c r="AK319" s="45" t="n"/>
      <c r="BG319" s="120" t="n"/>
      <c r="BM319" s="445">
        <f>SUM(BN319:BO325)</f>
        <v/>
      </c>
      <c r="BN319" s="445">
        <f>COUNTIF('0₦'!L318:L324,"&lt;&gt;")*23</f>
        <v/>
      </c>
      <c r="BO319" s="445" t="n">
        <v>4</v>
      </c>
      <c r="BP319" s="472" t="n"/>
    </row>
    <row r="320" hidden="1" s="37">
      <c r="A320" s="552" t="n"/>
      <c r="B320" s="550">
        <f>B319+1</f>
        <v/>
      </c>
      <c r="C320" s="45" t="inlineStr">
        <is>
          <t>S</t>
        </is>
      </c>
      <c r="D320" s="30">
        <f>SUM(T320,AA320)</f>
        <v/>
      </c>
      <c r="L320" s="216" t="n"/>
      <c r="P320" s="59" t="n"/>
      <c r="U320" s="31">
        <f>SUM(AM320,AP320,AS320,AV320,AY320,BE320,BB320)</f>
        <v/>
      </c>
      <c r="W320" s="30" t="n"/>
      <c r="X320" s="30">
        <f>AA320-W320</f>
        <v/>
      </c>
      <c r="Y320" s="32">
        <f>'0₦'!AE319*2  + 0</f>
        <v/>
      </c>
      <c r="Z320" s="279" t="n"/>
      <c r="AA320" s="30">
        <f>SUM(E320:O320)/21*75 + IF(AM320, -(MAX((U320-1800)/10, -40)), 0)+T320 + S320 + (P320-100)*0.5+AI320 +W320</f>
        <v/>
      </c>
      <c r="AD320" s="32" t="n"/>
      <c r="AI320" s="450" t="n"/>
      <c r="AK320" s="45" t="n"/>
      <c r="AR320" s="450" t="n"/>
      <c r="BG320" s="120" t="n"/>
    </row>
    <row r="321" hidden="1" s="37">
      <c r="A321" s="462">
        <f>A314+0.1</f>
        <v/>
      </c>
      <c r="B321" s="550">
        <f>B320+1</f>
        <v/>
      </c>
      <c r="C321" s="45" t="inlineStr">
        <is>
          <t>S</t>
        </is>
      </c>
      <c r="D321" s="30">
        <f>SUM(T321,AA321)</f>
        <v/>
      </c>
      <c r="L321" s="216" t="n"/>
      <c r="P321" s="59" t="n"/>
      <c r="U321" s="31">
        <f>SUM(AM321,AP321,AS321,AV321,AY321,BE321,BB321)</f>
        <v/>
      </c>
      <c r="W321" s="30" t="n"/>
      <c r="X321" s="30">
        <f>AA321-W321</f>
        <v/>
      </c>
      <c r="Y321" s="32">
        <f>'0₦'!AE320*2  + 0</f>
        <v/>
      </c>
      <c r="Z321" s="279" t="n"/>
      <c r="AA321" s="30">
        <f>SUM(E321:O321)/21*75 + IF(AM321, -(MAX((U321-1800)/10, -40)), 0)+T321 + S321 + (P321-100)*0.5+AI321 +W321</f>
        <v/>
      </c>
      <c r="AD321" s="32" t="n"/>
      <c r="AI321" s="450" t="n"/>
      <c r="AK321" s="45" t="n"/>
      <c r="BG321" s="120" t="n"/>
    </row>
    <row r="322" hidden="1" s="37">
      <c r="A322" s="551" t="n"/>
      <c r="B322" s="550">
        <f>B321+1</f>
        <v/>
      </c>
      <c r="C322" s="45" t="inlineStr">
        <is>
          <t>M</t>
        </is>
      </c>
      <c r="D322" s="30">
        <f>SUM(T322,AA322)</f>
        <v/>
      </c>
      <c r="L322" s="216" t="n"/>
      <c r="P322" s="59" t="n"/>
      <c r="U322" s="31">
        <f>SUM(AM322,AP322,AS322,AV322,AY322,BE322,BB322)</f>
        <v/>
      </c>
      <c r="W322" s="30" t="n"/>
      <c r="X322" s="30">
        <f>AA322-W322</f>
        <v/>
      </c>
      <c r="Y322" s="32">
        <f>'0₦'!AE321*2  + 0</f>
        <v/>
      </c>
      <c r="Z322" s="279" t="n"/>
      <c r="AA322" s="30">
        <f>SUM(E322:O322)/21*75 + IF(AM322, -(MAX((U322-1800)/10, -40)), 0)+T322 + S322 + (P322-100)*0.5+AI322 +W322</f>
        <v/>
      </c>
      <c r="AD322" s="32" t="n"/>
      <c r="AI322" s="450" t="n"/>
      <c r="AK322" s="45" t="n"/>
      <c r="AR322" s="450" t="n"/>
      <c r="BG322" s="120" t="n"/>
    </row>
    <row r="323" hidden="1" s="37">
      <c r="A323" s="551" t="n"/>
      <c r="B323" s="550">
        <f>B322+1</f>
        <v/>
      </c>
      <c r="C323" s="45" t="inlineStr">
        <is>
          <t>T</t>
        </is>
      </c>
      <c r="D323" s="30">
        <f>SUM(T323,AA323)</f>
        <v/>
      </c>
      <c r="L323" s="216" t="n"/>
      <c r="P323" s="59" t="n"/>
      <c r="U323" s="31">
        <f>SUM(AM323,AP323,AS323,AV323,AY323,BE323,BB323)</f>
        <v/>
      </c>
      <c r="W323" s="30" t="n"/>
      <c r="X323" s="30">
        <f>AA323-W323</f>
        <v/>
      </c>
      <c r="Y323" s="32">
        <f>'0₦'!AE322*2  + 0</f>
        <v/>
      </c>
      <c r="Z323" s="279" t="n"/>
      <c r="AA323" s="30">
        <f>SUM(E323:O323)/21*75 + IF(AM323, -(MAX((U323-1800)/10, -40)), 0)+T323 + S323 + (P323-100)*0.5+AI323 +W323</f>
        <v/>
      </c>
      <c r="AD323" s="32" t="n"/>
      <c r="AI323" s="450" t="n"/>
      <c r="AK323" s="45" t="n"/>
      <c r="BG323" s="120" t="n"/>
    </row>
    <row r="324" hidden="1" s="37">
      <c r="A324" s="551" t="n"/>
      <c r="B324" s="550">
        <f>B323+1</f>
        <v/>
      </c>
      <c r="C324" s="45" t="inlineStr">
        <is>
          <t>W</t>
        </is>
      </c>
      <c r="D324" s="30">
        <f>SUM(T324,AA324)</f>
        <v/>
      </c>
      <c r="L324" s="216" t="n"/>
      <c r="P324" s="59" t="n"/>
      <c r="U324" s="31">
        <f>SUM(AM324,AP324,AS324,AV324,AY324,BE324,BB324)</f>
        <v/>
      </c>
      <c r="W324" s="30" t="n"/>
      <c r="X324" s="30">
        <f>AA324-W324</f>
        <v/>
      </c>
      <c r="Y324" s="32">
        <f>'0₦'!AE323*2  + 0</f>
        <v/>
      </c>
      <c r="Z324" s="279" t="n"/>
      <c r="AA324" s="30">
        <f>SUM(E324:O324)/21*75 + IF(AM324, -(MAX((U324-1800)/10, -40)), 0)+T324 + S324 + (P324-100)*0.5+AI324 +W324</f>
        <v/>
      </c>
      <c r="AD324" s="32" t="n"/>
      <c r="AI324" s="450" t="n"/>
      <c r="AK324" s="45" t="n"/>
      <c r="BG324" s="120" t="n"/>
    </row>
    <row r="325" hidden="1" s="37">
      <c r="A325" s="551" t="n"/>
      <c r="B325" s="550">
        <f>B324+1</f>
        <v/>
      </c>
      <c r="C325" s="45" t="inlineStr">
        <is>
          <t>Th</t>
        </is>
      </c>
      <c r="D325" s="30">
        <f>SUM(T325,AA325)</f>
        <v/>
      </c>
      <c r="L325" s="216" t="n"/>
      <c r="P325" s="59" t="n"/>
      <c r="U325" s="31">
        <f>SUM(AM325,AP325,AS325,AV325,AY325,BE325,BB325)</f>
        <v/>
      </c>
      <c r="V325" s="483">
        <f>AVERAGE(U325:U331)</f>
        <v/>
      </c>
      <c r="W325" s="30" t="n"/>
      <c r="X325" s="30">
        <f>AA325-W325</f>
        <v/>
      </c>
      <c r="Y325" s="32">
        <f>'0₦'!AE324*2  + 0</f>
        <v/>
      </c>
      <c r="Z325" s="279" t="n"/>
      <c r="AA325" s="30">
        <f>SUM(E325:O325)/21*75 + IF(AM325, -(MAX((U325-1800)/10, -40)), 0)+T325 + S325 + (P325-100)*0.5+AI325 +W325</f>
        <v/>
      </c>
      <c r="AB325" s="477">
        <f>AVERAGE(AA325:AA331)</f>
        <v/>
      </c>
      <c r="AC325" s="476">
        <f>AVERAGE(Y325:Y331)</f>
        <v/>
      </c>
      <c r="AD325" s="32" t="n"/>
      <c r="AF325" s="478">
        <f>SUM(AE325:AE331)</f>
        <v/>
      </c>
      <c r="AG325" s="22" t="n"/>
      <c r="AH325" s="480" t="n"/>
      <c r="AI325" s="450" t="n"/>
      <c r="AK325" s="45" t="n"/>
      <c r="BG325" s="120" t="n"/>
      <c r="BH325" s="445" t="n"/>
      <c r="BI325" s="473" t="n"/>
      <c r="BJ325" s="445" t="n"/>
      <c r="BK325" s="445" t="n"/>
    </row>
    <row r="326" hidden="1" s="37">
      <c r="A326" s="551" t="n"/>
      <c r="B326" s="550">
        <f>B325+1</f>
        <v/>
      </c>
      <c r="C326" s="45" t="inlineStr">
        <is>
          <t>F</t>
        </is>
      </c>
      <c r="D326" s="30">
        <f>SUM(T326,AA326)</f>
        <v/>
      </c>
      <c r="L326" s="216" t="n"/>
      <c r="P326" s="59" t="n"/>
      <c r="U326" s="31">
        <f>SUM(AM326,AP326,AS326,AV326,AY326,BE326,BB326)</f>
        <v/>
      </c>
      <c r="W326" s="30" t="n"/>
      <c r="X326" s="30">
        <f>AA326-W326</f>
        <v/>
      </c>
      <c r="Y326" s="32">
        <f>'0₦'!AE325*2  + 0</f>
        <v/>
      </c>
      <c r="Z326" s="279" t="n"/>
      <c r="AA326" s="30">
        <f>SUM(E326:O326)/21*75 + IF(AM326, -(MAX((U326-1800)/10, -40)), 0)+T326 + S326 + (P326-100)*0.5+AI326 +W326</f>
        <v/>
      </c>
      <c r="AD326" s="32" t="n"/>
      <c r="AI326" s="450" t="n"/>
      <c r="AK326" s="45" t="n"/>
      <c r="BG326" s="120" t="n"/>
      <c r="BM326" s="445">
        <f>SUM(BN326:BO332)</f>
        <v/>
      </c>
      <c r="BN326" s="445">
        <f>COUNTIF('0₦'!L325:L331,"&lt;&gt;")*23</f>
        <v/>
      </c>
      <c r="BO326" s="445" t="n">
        <v>4</v>
      </c>
      <c r="BP326" s="472" t="n"/>
    </row>
    <row r="327" hidden="1" s="37">
      <c r="A327" s="552" t="n"/>
      <c r="B327" s="550">
        <f>B326+1</f>
        <v/>
      </c>
      <c r="C327" s="45" t="inlineStr">
        <is>
          <t>S</t>
        </is>
      </c>
      <c r="D327" s="30">
        <f>SUM(T327,AA327)</f>
        <v/>
      </c>
      <c r="L327" s="216" t="n"/>
      <c r="P327" s="59" t="n"/>
      <c r="U327" s="31">
        <f>SUM(AM327,AP327,AS327,AV327,AY327,BE327,BB327)</f>
        <v/>
      </c>
      <c r="W327" s="30" t="n"/>
      <c r="X327" s="30">
        <f>AA327-W327</f>
        <v/>
      </c>
      <c r="Y327" s="32">
        <f>'0₦'!AE326*2  + 0</f>
        <v/>
      </c>
      <c r="Z327" s="279" t="n"/>
      <c r="AA327" s="30">
        <f>SUM(E327:O327)/21*75 + IF(AM327, -(MAX((U327-1800)/10, -40)), 0)+T327 + S327 + (P327-100)*0.5+AI327 +W327</f>
        <v/>
      </c>
      <c r="AD327" s="32" t="n"/>
      <c r="AI327" s="450" t="n"/>
      <c r="AK327" s="45" t="n"/>
      <c r="AR327" s="450" t="n"/>
      <c r="BG327" s="120" t="n"/>
    </row>
    <row r="328" hidden="1" s="37">
      <c r="A328" s="462">
        <f>A321+0.1</f>
        <v/>
      </c>
      <c r="B328" s="550">
        <f>B327+1</f>
        <v/>
      </c>
      <c r="C328" s="45" t="inlineStr">
        <is>
          <t>S</t>
        </is>
      </c>
      <c r="D328" s="30">
        <f>SUM(T328,AA328)</f>
        <v/>
      </c>
      <c r="L328" s="216" t="n"/>
      <c r="P328" s="59" t="n"/>
      <c r="T328" s="42" t="n"/>
      <c r="U328" s="31">
        <f>SUM(AM328,AP328,AS328,AV328,AY328,BE328,BB328)</f>
        <v/>
      </c>
      <c r="W328" s="30" t="n"/>
      <c r="X328" s="30">
        <f>AA328-W328</f>
        <v/>
      </c>
      <c r="Y328" s="32">
        <f>'0₦'!AE327*2  + 0</f>
        <v/>
      </c>
      <c r="Z328" s="279" t="n"/>
      <c r="AA328" s="30">
        <f>SUM(E328:O328)/21*75 + IF(AM328, -(MAX((U328-1800)/10, -40)), 0)+T328 + S328 + (P328-100)*0.5+AI328 +W328</f>
        <v/>
      </c>
      <c r="AD328" s="32" t="n"/>
      <c r="AI328" s="450" t="n"/>
      <c r="AK328" s="45" t="n"/>
      <c r="BG328" s="120" t="n"/>
    </row>
    <row r="329" hidden="1" s="37">
      <c r="A329" s="551" t="n"/>
      <c r="B329" s="550">
        <f>B328+1</f>
        <v/>
      </c>
      <c r="C329" s="45" t="inlineStr">
        <is>
          <t>M</t>
        </is>
      </c>
      <c r="D329" s="30">
        <f>SUM(T329,AA329)</f>
        <v/>
      </c>
      <c r="L329" s="216" t="n"/>
      <c r="P329" s="59" t="n"/>
      <c r="U329" s="31">
        <f>SUM(AM329,AP329,AS329,AV329,AY329,BE329,BB329)</f>
        <v/>
      </c>
      <c r="W329" s="30" t="n"/>
      <c r="X329" s="30">
        <f>AA329-W329</f>
        <v/>
      </c>
      <c r="Y329" s="32">
        <f>'0₦'!AE328*2  + 0</f>
        <v/>
      </c>
      <c r="Z329" s="279" t="n"/>
      <c r="AA329" s="30">
        <f>SUM(E329:O329)/21*75 + IF(AM329, -(MAX((U329-1800)/10, -40)), 0)+T329 + S329 + (P329-100)*0.5+AI329 +W329</f>
        <v/>
      </c>
      <c r="AD329" s="32" t="n"/>
      <c r="AI329" s="450" t="n"/>
      <c r="AK329" s="45" t="n"/>
      <c r="AR329" s="450" t="n"/>
      <c r="BG329" s="120" t="n"/>
    </row>
    <row r="330" hidden="1" s="37">
      <c r="A330" s="551" t="n"/>
      <c r="B330" s="550">
        <f>B329+1</f>
        <v/>
      </c>
      <c r="C330" s="45" t="inlineStr">
        <is>
          <t>T</t>
        </is>
      </c>
      <c r="D330" s="30">
        <f>SUM(T330,AA330)</f>
        <v/>
      </c>
      <c r="L330" s="216" t="n"/>
      <c r="P330" s="59" t="n"/>
      <c r="U330" s="31">
        <f>SUM(AM330,AP330,AS330,AV330,AY330,BE330,BB330)</f>
        <v/>
      </c>
      <c r="W330" s="30" t="n"/>
      <c r="X330" s="30">
        <f>AA330-W330</f>
        <v/>
      </c>
      <c r="Y330" s="32">
        <f>'0₦'!AE329*2  + 0</f>
        <v/>
      </c>
      <c r="Z330" s="279" t="n"/>
      <c r="AA330" s="30">
        <f>SUM(E330:O330)/21*75 + IF(AM330, -(MAX((U330-1800)/10, -40)), 0)+T330 + S330 + (P330-100)*0.5+AI330 +W330</f>
        <v/>
      </c>
      <c r="AD330" s="32" t="n"/>
      <c r="AI330" s="450" t="n"/>
      <c r="AK330" s="45" t="n"/>
      <c r="BG330" s="120" t="n"/>
    </row>
    <row r="331" hidden="1" s="37">
      <c r="A331" s="551" t="n"/>
      <c r="B331" s="550">
        <f>B330+1</f>
        <v/>
      </c>
      <c r="C331" s="45" t="inlineStr">
        <is>
          <t>W</t>
        </is>
      </c>
      <c r="D331" s="30">
        <f>SUM(T331,AA331)</f>
        <v/>
      </c>
      <c r="L331" s="216" t="n"/>
      <c r="P331" s="59" t="n"/>
      <c r="U331" s="31">
        <f>SUM(AM331,AP331,AS331,AV331,AY331,BE331,BB331)</f>
        <v/>
      </c>
      <c r="W331" s="30" t="n"/>
      <c r="X331" s="30">
        <f>AA331-W331</f>
        <v/>
      </c>
      <c r="Y331" s="32">
        <f>'0₦'!AE330*2  + 0</f>
        <v/>
      </c>
      <c r="Z331" s="279" t="n"/>
      <c r="AA331" s="30">
        <f>SUM(E331:O331)/21*75 + IF(AM331, -(MAX((U331-1800)/10, -40)), 0)+T331 + S331 + (P331-100)*0.5+AI331 +W331</f>
        <v/>
      </c>
      <c r="AD331" s="32" t="n"/>
      <c r="AI331" s="450" t="n"/>
      <c r="AK331" s="45" t="n"/>
      <c r="BG331" s="120" t="n"/>
    </row>
    <row r="332" hidden="1" s="37">
      <c r="A332" s="551" t="n"/>
      <c r="B332" s="550">
        <f>B331+1</f>
        <v/>
      </c>
      <c r="C332" s="45" t="inlineStr">
        <is>
          <t>Th</t>
        </is>
      </c>
      <c r="D332" s="30">
        <f>SUM(T332,AA332)</f>
        <v/>
      </c>
      <c r="L332" s="216" t="n"/>
      <c r="P332" s="59" t="n"/>
      <c r="U332" s="31">
        <f>SUM(AM332,AP332,AS332,AV332,AY332,BE332,BB332)</f>
        <v/>
      </c>
      <c r="V332" s="483">
        <f>AVERAGE(U332:U338)</f>
        <v/>
      </c>
      <c r="W332" s="30" t="n"/>
      <c r="X332" s="30">
        <f>AA332-W332</f>
        <v/>
      </c>
      <c r="Y332" s="32">
        <f>'0₦'!AE331*2  + 0</f>
        <v/>
      </c>
      <c r="Z332" s="279" t="n"/>
      <c r="AA332" s="30">
        <f>SUM(E332:O332)/21*75 + IF(AM332, -(MAX((U332-1800)/10, -40)), 0)+T332 + S332 + (P332-100)*0.5+AI332 +W332</f>
        <v/>
      </c>
      <c r="AB332" s="477">
        <f>AVERAGE(AA332:AA338)</f>
        <v/>
      </c>
      <c r="AC332" s="476">
        <f>AVERAGE(Y332:Y338)</f>
        <v/>
      </c>
      <c r="AD332" s="32" t="n"/>
      <c r="AF332" s="478">
        <f>SUM(AE332:AE338)</f>
        <v/>
      </c>
      <c r="AG332" s="22" t="n"/>
      <c r="AH332" s="480" t="n"/>
      <c r="AI332" s="450" t="n"/>
      <c r="AK332" s="45" t="n"/>
      <c r="BG332" s="120" t="n"/>
      <c r="BH332" s="445" t="n"/>
      <c r="BI332" s="473" t="n"/>
      <c r="BJ332" s="445" t="n"/>
      <c r="BK332" s="445" t="n"/>
    </row>
    <row r="333" hidden="1" s="37">
      <c r="A333" s="551" t="n"/>
      <c r="B333" s="550">
        <f>B332+1</f>
        <v/>
      </c>
      <c r="C333" s="45" t="inlineStr">
        <is>
          <t>F</t>
        </is>
      </c>
      <c r="D333" s="30">
        <f>SUM(T333,AA333)</f>
        <v/>
      </c>
      <c r="L333" s="216" t="n"/>
      <c r="P333" s="59" t="n"/>
      <c r="U333" s="31">
        <f>SUM(AM333,AP333,AS333,AV333,AY333,BE333,BB333)</f>
        <v/>
      </c>
      <c r="W333" s="30" t="n"/>
      <c r="X333" s="30">
        <f>AA333-W333</f>
        <v/>
      </c>
      <c r="Y333" s="32">
        <f>'0₦'!AE332*2  + 0</f>
        <v/>
      </c>
      <c r="Z333" s="279" t="n"/>
      <c r="AA333" s="30">
        <f>SUM(E333:O333)/21*75 + IF(AM333, -(MAX((U333-1800)/10, -40)), 0)+T333 + S333 + (P333-100)*0.5+AI333 +W333</f>
        <v/>
      </c>
      <c r="AD333" s="32" t="n"/>
      <c r="AI333" s="450" t="n"/>
      <c r="AK333" s="45" t="n"/>
      <c r="BG333" s="120" t="n"/>
      <c r="BM333" s="445">
        <f>SUM(BN333:BO339)</f>
        <v/>
      </c>
      <c r="BN333" s="445">
        <f>COUNTIF('0₦'!L332:L338,"&lt;&gt;")*23</f>
        <v/>
      </c>
      <c r="BO333" s="445" t="n">
        <v>4</v>
      </c>
      <c r="BP333" s="472" t="n"/>
    </row>
    <row r="334" hidden="1" s="37">
      <c r="A334" s="552" t="n"/>
      <c r="B334" s="550">
        <f>B333+1</f>
        <v/>
      </c>
      <c r="C334" s="45" t="inlineStr">
        <is>
          <t>S</t>
        </is>
      </c>
      <c r="D334" s="30">
        <f>SUM(T334,AA334)</f>
        <v/>
      </c>
      <c r="L334" s="216" t="n"/>
      <c r="P334" s="59" t="n"/>
      <c r="U334" s="31">
        <f>SUM(AM334,AP334,AS334,AV334,AY334,BE334,BB334)</f>
        <v/>
      </c>
      <c r="W334" s="30" t="n"/>
      <c r="X334" s="30">
        <f>AA334-W334</f>
        <v/>
      </c>
      <c r="Y334" s="32">
        <f>'0₦'!AE333*2  + 0</f>
        <v/>
      </c>
      <c r="Z334" s="279" t="n"/>
      <c r="AA334" s="30">
        <f>SUM(E334:O334)/21*75 + IF(AM334, -(MAX((U334-1800)/10, -40)), 0)+T334 + S334 + (P334-100)*0.5+AI334 +W334</f>
        <v/>
      </c>
      <c r="AD334" s="32" t="n"/>
      <c r="AI334" s="450" t="n"/>
      <c r="AK334" s="45" t="n"/>
      <c r="AR334" s="450" t="n"/>
      <c r="BG334" s="120" t="n"/>
    </row>
    <row r="335" hidden="1" s="37">
      <c r="A335" s="462">
        <f>A307+1</f>
        <v/>
      </c>
      <c r="B335" s="550">
        <f>B334+1</f>
        <v/>
      </c>
      <c r="C335" s="45" t="inlineStr">
        <is>
          <t>S</t>
        </is>
      </c>
      <c r="D335" s="30">
        <f>SUM(T335,AA335)</f>
        <v/>
      </c>
      <c r="L335" s="216" t="n"/>
      <c r="P335" s="59" t="n"/>
      <c r="U335" s="31">
        <f>SUM(AM335,AP335,AS335,AV335,AY335,BE335,BB335)</f>
        <v/>
      </c>
      <c r="W335" s="30" t="n"/>
      <c r="X335" s="30">
        <f>AA335-W335</f>
        <v/>
      </c>
      <c r="Y335" s="32">
        <f>'0₦'!AE334*2  + 0</f>
        <v/>
      </c>
      <c r="Z335" s="279" t="n"/>
      <c r="AA335" s="30">
        <f>SUM(E335:O335)/21*75 + IF(AM335, -(MAX((U335-1800)/10, -40)), 0)+T335 + S335 + (P335-100)*0.5+AI335 +W335</f>
        <v/>
      </c>
      <c r="AD335" s="32" t="n"/>
      <c r="AE335" s="393" t="n"/>
      <c r="AI335" s="450" t="n"/>
      <c r="AK335" s="45" t="n"/>
      <c r="BG335" s="120" t="n"/>
    </row>
    <row r="336" hidden="1" s="37">
      <c r="A336" s="551" t="n"/>
      <c r="B336" s="550">
        <f>B335+1</f>
        <v/>
      </c>
      <c r="C336" s="45" t="inlineStr">
        <is>
          <t>M</t>
        </is>
      </c>
      <c r="D336" s="30">
        <f>SUM(T336,AA336)</f>
        <v/>
      </c>
      <c r="L336" s="216" t="n"/>
      <c r="P336" s="59" t="n"/>
      <c r="U336" s="31">
        <f>SUM(AM336,AP336,AS336,AV336,AY336,BE336,BB336)</f>
        <v/>
      </c>
      <c r="W336" s="30" t="n"/>
      <c r="X336" s="30">
        <f>AA336-W336</f>
        <v/>
      </c>
      <c r="Y336" s="32">
        <f>'0₦'!AE335*2  + 0</f>
        <v/>
      </c>
      <c r="Z336" s="279" t="n"/>
      <c r="AA336" s="30">
        <f>SUM(E336:O336)/21*75 + IF(AM336, -(MAX((U336-1800)/10, -40)), 0)+T336 + S336 + (P336-100)*0.5+AI336 +W336</f>
        <v/>
      </c>
      <c r="AD336" s="32" t="n"/>
      <c r="AI336" s="450" t="n"/>
      <c r="AK336" s="45" t="n"/>
      <c r="AR336" s="450" t="n"/>
      <c r="BG336" s="120" t="n"/>
    </row>
    <row r="337" hidden="1" s="37">
      <c r="A337" s="551" t="n"/>
      <c r="B337" s="550">
        <f>B336+1</f>
        <v/>
      </c>
      <c r="C337" s="45" t="inlineStr">
        <is>
          <t>T</t>
        </is>
      </c>
      <c r="D337" s="30">
        <f>SUM(T337,AA337)</f>
        <v/>
      </c>
      <c r="L337" s="216" t="n"/>
      <c r="P337" s="59" t="n"/>
      <c r="U337" s="31">
        <f>SUM(AM337,AP337,AS337,AV337,AY337,BE337,BB337)</f>
        <v/>
      </c>
      <c r="W337" s="30" t="n"/>
      <c r="X337" s="30">
        <f>AA337-W337</f>
        <v/>
      </c>
      <c r="Y337" s="32">
        <f>'0₦'!AE336*2  + 0</f>
        <v/>
      </c>
      <c r="Z337" s="279" t="n"/>
      <c r="AA337" s="30">
        <f>SUM(E337:O337)/21*75 + IF(AM337, -(MAX((U337-1800)/10, -40)), 0)+T337 + S337 + (P337-100)*0.5+AI337 +W337</f>
        <v/>
      </c>
      <c r="AD337" s="32" t="n"/>
      <c r="AI337" s="450" t="n"/>
      <c r="AK337" s="45" t="n"/>
      <c r="BG337" s="120" t="n"/>
    </row>
    <row r="338" hidden="1" s="37">
      <c r="A338" s="551" t="n"/>
      <c r="B338" s="550">
        <f>B337+1</f>
        <v/>
      </c>
      <c r="C338" s="45" t="inlineStr">
        <is>
          <t>W</t>
        </is>
      </c>
      <c r="D338" s="30">
        <f>SUM(T338,AA338)</f>
        <v/>
      </c>
      <c r="L338" s="216" t="n"/>
      <c r="P338" s="59" t="n"/>
      <c r="U338" s="31">
        <f>SUM(AM338,AP338,AS338,AV338,AY338,BE338,BB338)</f>
        <v/>
      </c>
      <c r="W338" s="30" t="n"/>
      <c r="X338" s="30">
        <f>AA338-W338</f>
        <v/>
      </c>
      <c r="Y338" s="32">
        <f>'0₦'!AE337*2  + 0</f>
        <v/>
      </c>
      <c r="Z338" s="279" t="n"/>
      <c r="AA338" s="30">
        <f>SUM(E338:O338)/21*75 + IF(AM338, -(MAX((U338-1800)/10, -40)), 0)+T338 + S338 + (P338-100)*0.5+AI338 +W338</f>
        <v/>
      </c>
      <c r="AD338" s="32" t="n"/>
      <c r="AI338" s="450" t="n"/>
      <c r="AK338" s="45" t="n"/>
      <c r="BG338" s="120" t="n"/>
    </row>
    <row r="339" hidden="1" s="37">
      <c r="A339" s="551" t="n"/>
      <c r="B339" s="550">
        <f>B338+1</f>
        <v/>
      </c>
      <c r="C339" s="45" t="inlineStr">
        <is>
          <t>Th</t>
        </is>
      </c>
      <c r="D339" s="30">
        <f>SUM(T339,AA339)</f>
        <v/>
      </c>
      <c r="L339" s="216" t="n"/>
      <c r="P339" s="59" t="n"/>
      <c r="U339" s="31">
        <f>SUM(AM339,AP339,AS339,AV339,AY339,BE339,BB339)</f>
        <v/>
      </c>
      <c r="V339" s="483">
        <f>AVERAGE(U339:U345)</f>
        <v/>
      </c>
      <c r="W339" s="30" t="n"/>
      <c r="X339" s="30">
        <f>AA339-W339</f>
        <v/>
      </c>
      <c r="Y339" s="32">
        <f>'0₦'!AE338*2  + 0</f>
        <v/>
      </c>
      <c r="Z339" s="279" t="n"/>
      <c r="AA339" s="30">
        <f>SUM(E339:O339)/21*75 + IF(AM339, -(MAX((U339-1800)/10, -40)), 0)+T339 + S339 + (P339-100)*0.5+AI339 +W339</f>
        <v/>
      </c>
      <c r="AB339" s="477">
        <f>AVERAGE(AA339:AA345)</f>
        <v/>
      </c>
      <c r="AC339" s="476">
        <f>AVERAGE(Y339:Y345)</f>
        <v/>
      </c>
      <c r="AD339" s="32" t="n"/>
      <c r="AF339" s="478">
        <f>SUM(AE339:AE345)</f>
        <v/>
      </c>
      <c r="AG339" s="22" t="n"/>
      <c r="AH339" s="480" t="n"/>
      <c r="AI339" s="450" t="n"/>
      <c r="AK339" s="45" t="n"/>
      <c r="BG339" s="120" t="n"/>
      <c r="BH339" s="445" t="n"/>
      <c r="BI339" s="473" t="n"/>
      <c r="BJ339" s="445" t="n"/>
      <c r="BK339" s="445" t="n"/>
    </row>
    <row r="340" hidden="1" s="37">
      <c r="A340" s="551" t="n"/>
      <c r="B340" s="550">
        <f>B339+1</f>
        <v/>
      </c>
      <c r="C340" s="45" t="inlineStr">
        <is>
          <t>F</t>
        </is>
      </c>
      <c r="D340" s="30">
        <f>SUM(T340,AA340)</f>
        <v/>
      </c>
      <c r="L340" s="216" t="n"/>
      <c r="P340" s="59" t="n"/>
      <c r="U340" s="31">
        <f>SUM(AM340,AP340,AS340,AV340,AY340,BE340,BB340)</f>
        <v/>
      </c>
      <c r="W340" s="30" t="n"/>
      <c r="X340" s="30">
        <f>AA340-W340</f>
        <v/>
      </c>
      <c r="Y340" s="32">
        <f>'0₦'!AE339*2  + 0</f>
        <v/>
      </c>
      <c r="Z340" s="279" t="n"/>
      <c r="AA340" s="30">
        <f>SUM(E340:O340)/21*75 + IF(AM340, -(MAX((U340-1800)/10, -40)), 0)+T340 + S340 + (P340-100)*0.5+AI340 +W340</f>
        <v/>
      </c>
      <c r="AD340" s="32" t="n"/>
      <c r="AI340" s="450" t="n"/>
      <c r="AK340" s="45" t="n"/>
      <c r="BG340" s="120" t="n"/>
      <c r="BM340" s="445">
        <f>SUM(BN340:BO346)</f>
        <v/>
      </c>
      <c r="BN340" s="445">
        <f>COUNTIF('0₦'!L339:L345,"&lt;&gt;")*23</f>
        <v/>
      </c>
      <c r="BO340" s="445" t="n">
        <v>70</v>
      </c>
      <c r="BP340" s="472" t="n"/>
    </row>
    <row r="341" hidden="1" s="37">
      <c r="A341" s="552" t="n"/>
      <c r="B341" s="550">
        <f>B340+1</f>
        <v/>
      </c>
      <c r="C341" s="45" t="inlineStr">
        <is>
          <t>S</t>
        </is>
      </c>
      <c r="D341" s="30">
        <f>SUM(T341,AA341)</f>
        <v/>
      </c>
      <c r="L341" s="216" t="n"/>
      <c r="P341" s="59" t="n"/>
      <c r="U341" s="31">
        <f>SUM(AM341,AP341,AS341,AV341,AY341,BE341,BB341)</f>
        <v/>
      </c>
      <c r="W341" s="30" t="n"/>
      <c r="X341" s="30">
        <f>AA341-W341</f>
        <v/>
      </c>
      <c r="Y341" s="32">
        <f>'0₦'!AE340*2  + 0</f>
        <v/>
      </c>
      <c r="Z341" s="279" t="n"/>
      <c r="AA341" s="30">
        <f>SUM(E341:O341)/21*75 + IF(AM341, -(MAX((U341-1800)/10, -40)), 0)+T341 + S341 + (P341-100)*0.5+AI341 +W341</f>
        <v/>
      </c>
      <c r="AD341" s="32" t="n"/>
      <c r="AI341" s="450" t="n"/>
      <c r="AK341" s="45" t="n"/>
      <c r="AR341" s="450" t="n"/>
      <c r="BG341" s="120" t="n"/>
    </row>
    <row r="342" hidden="1" s="37">
      <c r="A342" s="462">
        <f>A335+0.1</f>
        <v/>
      </c>
      <c r="B342" s="550">
        <f>B341+1</f>
        <v/>
      </c>
      <c r="C342" s="45" t="inlineStr">
        <is>
          <t>S</t>
        </is>
      </c>
      <c r="D342" s="30">
        <f>SUM(T342,AA342)</f>
        <v/>
      </c>
      <c r="L342" s="216" t="n"/>
      <c r="P342" s="59" t="n"/>
      <c r="U342" s="31">
        <f>SUM(AM342,AP342,AS342,AV342,AY342,BE342,BB342)</f>
        <v/>
      </c>
      <c r="W342" s="30" t="n"/>
      <c r="X342" s="30">
        <f>AA342-W342</f>
        <v/>
      </c>
      <c r="Y342" s="32">
        <f>'0₦'!AE341*2  + 0</f>
        <v/>
      </c>
      <c r="Z342" s="279" t="n"/>
      <c r="AA342" s="30">
        <f>SUM(E342:O342)/21*75 + IF(AM342, -(MAX((U342-1800)/10, -40)), 0)+T342 + S342 + (P342-100)*0.5+AI342 +W342</f>
        <v/>
      </c>
      <c r="AD342" s="32" t="n"/>
      <c r="AI342" s="450" t="n"/>
      <c r="AK342" s="45" t="n"/>
      <c r="BG342" s="120" t="n"/>
    </row>
    <row r="343" hidden="1" s="37">
      <c r="A343" s="551" t="n"/>
      <c r="B343" s="550">
        <f>B342+1</f>
        <v/>
      </c>
      <c r="C343" s="45" t="inlineStr">
        <is>
          <t>M</t>
        </is>
      </c>
      <c r="D343" s="30">
        <f>SUM(T343,AA343)</f>
        <v/>
      </c>
      <c r="L343" s="216" t="n"/>
      <c r="P343" s="59" t="n"/>
      <c r="U343" s="31">
        <f>SUM(AM343,AP343,AS343,AV343,AY343,BE343,BB343)</f>
        <v/>
      </c>
      <c r="W343" s="30" t="n"/>
      <c r="X343" s="30">
        <f>AA343-W343</f>
        <v/>
      </c>
      <c r="Y343" s="32">
        <f>'0₦'!AE342*2  + 0</f>
        <v/>
      </c>
      <c r="Z343" s="279" t="n"/>
      <c r="AA343" s="30">
        <f>SUM(E343:O343)/21*75 + IF(AM343, -(MAX((U343-1800)/10, -40)), 0)+T343 + S343 + (P343-100)*0.5+AI343 +W343</f>
        <v/>
      </c>
      <c r="AD343" s="32" t="n"/>
      <c r="AI343" s="450" t="n"/>
      <c r="AK343" s="45" t="n"/>
      <c r="AR343" s="450" t="n"/>
      <c r="BG343" s="120" t="n"/>
    </row>
    <row r="344" hidden="1" s="37">
      <c r="A344" s="551" t="n"/>
      <c r="B344" s="550">
        <f>B343+1</f>
        <v/>
      </c>
      <c r="C344" s="45" t="inlineStr">
        <is>
          <t>T</t>
        </is>
      </c>
      <c r="D344" s="30">
        <f>SUM(T344,AA344)</f>
        <v/>
      </c>
      <c r="L344" s="216" t="n"/>
      <c r="P344" s="59" t="n"/>
      <c r="U344" s="31">
        <f>SUM(AM344,AP344,AS344,AV344,AY344,BE344,BB344)</f>
        <v/>
      </c>
      <c r="W344" s="30" t="n"/>
      <c r="X344" s="30">
        <f>AA344-W344</f>
        <v/>
      </c>
      <c r="Y344" s="32">
        <f>'0₦'!AE343*2  + 0</f>
        <v/>
      </c>
      <c r="Z344" s="279" t="n"/>
      <c r="AA344" s="30">
        <f>SUM(E344:O344)/21*75 + IF(AM344, -(MAX((U344-1800)/10, -40)), 0)+T344 + S344 + (P344-100)*0.5+AI344 +W344</f>
        <v/>
      </c>
      <c r="AD344" s="32" t="n"/>
      <c r="AI344" s="450" t="n"/>
      <c r="AK344" s="45" t="n"/>
      <c r="BG344" s="120" t="n"/>
    </row>
    <row r="345" hidden="1" s="37">
      <c r="A345" s="551" t="n"/>
      <c r="B345" s="550">
        <f>B344+1</f>
        <v/>
      </c>
      <c r="C345" s="45" t="inlineStr">
        <is>
          <t>W</t>
        </is>
      </c>
      <c r="D345" s="30">
        <f>SUM(T345,AA345)</f>
        <v/>
      </c>
      <c r="L345" s="216" t="n"/>
      <c r="P345" s="59" t="n"/>
      <c r="U345" s="31">
        <f>SUM(AM345,AP345,AS345,AV345,AY345,BE345,BB345)</f>
        <v/>
      </c>
      <c r="W345" s="30" t="n"/>
      <c r="X345" s="30">
        <f>AA345-W345</f>
        <v/>
      </c>
      <c r="Y345" s="32">
        <f>'0₦'!AE344*2  + 0</f>
        <v/>
      </c>
      <c r="Z345" s="279" t="n"/>
      <c r="AA345" s="30">
        <f>SUM(E345:O345)/21*75 + IF(AM345, -(MAX((U345-1800)/10, -40)), 0)+T345 + S345 + (P345-100)*0.5+AI345 +W345</f>
        <v/>
      </c>
      <c r="AD345" s="32" t="n"/>
      <c r="AI345" s="450" t="n"/>
      <c r="AK345" s="45" t="n"/>
      <c r="BG345" s="120" t="n"/>
    </row>
    <row r="346" hidden="1" s="37">
      <c r="A346" s="551" t="n"/>
      <c r="B346" s="550">
        <f>B345+1</f>
        <v/>
      </c>
      <c r="C346" s="45" t="inlineStr">
        <is>
          <t>Th</t>
        </is>
      </c>
      <c r="D346" s="30">
        <f>SUM(T346,AA346)</f>
        <v/>
      </c>
      <c r="L346" s="216" t="n"/>
      <c r="P346" s="59" t="n"/>
      <c r="U346" s="31">
        <f>SUM(AM346,AP346,AS346,AV346,AY346,BE346,BB346)</f>
        <v/>
      </c>
      <c r="V346" s="483">
        <f>AVERAGE(U346:U352)</f>
        <v/>
      </c>
      <c r="W346" s="30" t="n"/>
      <c r="X346" s="30">
        <f>AA346-W346</f>
        <v/>
      </c>
      <c r="Y346" s="32">
        <f>'0₦'!AE345*2  + 0</f>
        <v/>
      </c>
      <c r="Z346" s="279" t="n"/>
      <c r="AA346" s="30">
        <f>SUM(E346:O346)/21*75 + IF(AM346, -(MAX((U346-1800)/10, -40)), 0)+T346 + S346 + (P346-100)*0.5+AI346 +W346</f>
        <v/>
      </c>
      <c r="AB346" s="477">
        <f>AVERAGE(AA346:AA352)</f>
        <v/>
      </c>
      <c r="AC346" s="476">
        <f>AVERAGE(Y346:Y352)</f>
        <v/>
      </c>
      <c r="AD346" s="32" t="n"/>
      <c r="AF346" s="478">
        <f>SUM(AE346:AE352)</f>
        <v/>
      </c>
      <c r="AG346" s="22" t="n"/>
      <c r="AH346" s="480" t="n"/>
      <c r="AI346" s="450" t="n"/>
      <c r="AK346" s="45" t="n"/>
      <c r="BG346" s="120" t="n"/>
      <c r="BH346" s="445" t="n"/>
      <c r="BI346" s="473" t="n"/>
      <c r="BJ346" s="445" t="n"/>
      <c r="BK346" s="445" t="n"/>
    </row>
    <row r="347" hidden="1" s="37">
      <c r="A347" s="551" t="n"/>
      <c r="B347" s="550">
        <f>B346+1</f>
        <v/>
      </c>
      <c r="C347" s="45" t="inlineStr">
        <is>
          <t>F</t>
        </is>
      </c>
      <c r="D347" s="30">
        <f>SUM(T347,AA347)</f>
        <v/>
      </c>
      <c r="L347" s="216" t="n"/>
      <c r="P347" s="59" t="n"/>
      <c r="U347" s="31">
        <f>SUM(AM347,AP347,AS347,AV347,AY347,BE347,BB347)</f>
        <v/>
      </c>
      <c r="W347" s="30" t="n"/>
      <c r="X347" s="30">
        <f>AA347-W347</f>
        <v/>
      </c>
      <c r="Y347" s="32">
        <f>'0₦'!AE346*2  + 0</f>
        <v/>
      </c>
      <c r="Z347" s="279" t="n"/>
      <c r="AA347" s="30">
        <f>SUM(E347:O347)/21*75 + IF(AM347, -(MAX((U347-1800)/10, -40)), 0)+T347 + S347 + (P347-100)*0.5+AI347 +W347</f>
        <v/>
      </c>
      <c r="AD347" s="32" t="n"/>
      <c r="AI347" s="450" t="n"/>
      <c r="AK347" s="45" t="n"/>
      <c r="BG347" s="120" t="n"/>
      <c r="BM347" s="445">
        <f>SUM(BN347:BO353)</f>
        <v/>
      </c>
      <c r="BN347" s="445">
        <f>COUNTIF('0₦'!L346:L352,"&lt;&gt;")*23</f>
        <v/>
      </c>
      <c r="BO347" s="445" t="n">
        <v>70</v>
      </c>
      <c r="BP347" s="472" t="n"/>
    </row>
    <row r="348" hidden="1" s="37">
      <c r="A348" s="552" t="n"/>
      <c r="B348" s="550">
        <f>B347+1</f>
        <v/>
      </c>
      <c r="C348" s="45" t="inlineStr">
        <is>
          <t>S</t>
        </is>
      </c>
      <c r="D348" s="30">
        <f>SUM(T348,AA348)</f>
        <v/>
      </c>
      <c r="L348" s="216" t="n"/>
      <c r="P348" s="59" t="n"/>
      <c r="U348" s="31">
        <f>SUM(AM348,AP348,AS348,AV348,AY348,BE348,BB348)</f>
        <v/>
      </c>
      <c r="W348" s="30" t="n"/>
      <c r="X348" s="30">
        <f>AA348-W348</f>
        <v/>
      </c>
      <c r="Y348" s="32">
        <f>'0₦'!AE347*2  + 0</f>
        <v/>
      </c>
      <c r="Z348" s="279" t="n"/>
      <c r="AA348" s="30">
        <f>SUM(E348:O348)/21*75 + IF(AM348, -(MAX((U348-1800)/10, -40)), 0)+T348 + S348 + (P348-100)*0.5+AI348 +W348</f>
        <v/>
      </c>
      <c r="AD348" s="32" t="n"/>
      <c r="AI348" s="450" t="n"/>
      <c r="AK348" s="45" t="n"/>
      <c r="AR348" s="450" t="n"/>
      <c r="BG348" s="120" t="n"/>
    </row>
    <row r="349" hidden="1" s="37">
      <c r="A349" s="462">
        <f>A342+0.1</f>
        <v/>
      </c>
      <c r="B349" s="550">
        <f>B348+1</f>
        <v/>
      </c>
      <c r="C349" s="45" t="inlineStr">
        <is>
          <t>S</t>
        </is>
      </c>
      <c r="D349" s="30">
        <f>SUM(T349,AA349)</f>
        <v/>
      </c>
      <c r="L349" s="216" t="n"/>
      <c r="P349" s="59" t="n"/>
      <c r="U349" s="31">
        <f>SUM(AM349,AP349,AS349,AV349,AY349,BE349,BB349)</f>
        <v/>
      </c>
      <c r="W349" s="30" t="n"/>
      <c r="X349" s="30">
        <f>AA349-W349</f>
        <v/>
      </c>
      <c r="Y349" s="32">
        <f>'0₦'!AE348*2  + 0</f>
        <v/>
      </c>
      <c r="Z349" s="279" t="n"/>
      <c r="AA349" s="30">
        <f>SUM(E349:O349)/21*75 + IF(AM349, -(MAX((U349-1800)/10, -40)), 0)+T349 + S349 + (P349-100)*0.5+AI349 +W349</f>
        <v/>
      </c>
      <c r="AD349" s="32" t="n"/>
      <c r="AI349" s="450" t="n"/>
      <c r="AK349" s="45" t="n"/>
      <c r="BG349" s="120" t="n"/>
    </row>
    <row r="350" hidden="1" s="37">
      <c r="A350" s="551" t="n"/>
      <c r="B350" s="550">
        <f>B349+1</f>
        <v/>
      </c>
      <c r="C350" s="45" t="inlineStr">
        <is>
          <t>M</t>
        </is>
      </c>
      <c r="D350" s="30">
        <f>SUM(T350,AA350)</f>
        <v/>
      </c>
      <c r="L350" s="216" t="n"/>
      <c r="P350" s="59" t="n"/>
      <c r="U350" s="31">
        <f>SUM(AM350,AP350,AS350,AV350,AY350,BE350,BB350)</f>
        <v/>
      </c>
      <c r="W350" s="30" t="n"/>
      <c r="X350" s="30">
        <f>AA350-W350</f>
        <v/>
      </c>
      <c r="Y350" s="32">
        <f>'0₦'!AE349*2  + 0</f>
        <v/>
      </c>
      <c r="Z350" s="279" t="n"/>
      <c r="AA350" s="30">
        <f>SUM(E350:O350)/21*75 + IF(AM350, -(MAX((U350-1800)/10, -40)), 0)+T350 + S350 + (P350-100)*0.5+AI350 +W350</f>
        <v/>
      </c>
      <c r="AD350" s="32" t="n"/>
      <c r="AI350" s="450" t="n"/>
      <c r="AK350" s="45" t="n"/>
      <c r="AR350" s="450" t="n"/>
      <c r="BG350" s="120" t="n"/>
    </row>
    <row r="351" hidden="1" s="37">
      <c r="A351" s="551" t="n"/>
      <c r="B351" s="550">
        <f>B350+1</f>
        <v/>
      </c>
      <c r="C351" s="45" t="inlineStr">
        <is>
          <t>T</t>
        </is>
      </c>
      <c r="D351" s="30">
        <f>SUM(T351,AA351)</f>
        <v/>
      </c>
      <c r="L351" s="216" t="n"/>
      <c r="P351" s="59" t="n"/>
      <c r="U351" s="31">
        <f>SUM(AM351,AP351,AS351,AV351,AY351,BE351,BB351)</f>
        <v/>
      </c>
      <c r="W351" s="30" t="n"/>
      <c r="X351" s="30">
        <f>AA351-W351</f>
        <v/>
      </c>
      <c r="Y351" s="32">
        <f>'0₦'!AE350*2  + 0</f>
        <v/>
      </c>
      <c r="Z351" s="279" t="n"/>
      <c r="AA351" s="30">
        <f>SUM(E351:O351)/21*75 + IF(AM351, -(MAX((U351-1800)/10, -40)), 0)+T351 + S351 + (P351-100)*0.5+AI351 +W351</f>
        <v/>
      </c>
      <c r="AD351" s="32" t="n"/>
      <c r="AI351" s="450" t="n"/>
      <c r="AK351" s="45" t="n"/>
      <c r="BG351" s="120" t="n"/>
    </row>
    <row r="352" hidden="1" s="37">
      <c r="A352" s="551" t="n"/>
      <c r="B352" s="550">
        <f>B351+1</f>
        <v/>
      </c>
      <c r="C352" s="45" t="inlineStr">
        <is>
          <t>W</t>
        </is>
      </c>
      <c r="D352" s="30">
        <f>SUM(T352,AA352)</f>
        <v/>
      </c>
      <c r="L352" s="216" t="n"/>
      <c r="P352" s="59" t="n"/>
      <c r="U352" s="31">
        <f>SUM(AM352,AP352,AS352,AV352,AY352,BE352,BB352)</f>
        <v/>
      </c>
      <c r="W352" s="30" t="n"/>
      <c r="X352" s="30">
        <f>AA352-W352</f>
        <v/>
      </c>
      <c r="Y352" s="32">
        <f>'0₦'!AE351*2  + 0</f>
        <v/>
      </c>
      <c r="Z352" s="279" t="n"/>
      <c r="AA352" s="30">
        <f>SUM(E352:O352)/21*75 + IF(AM352, -(MAX((U352-1800)/10, -40)), 0)+T352 + S352 + (P352-100)*0.5+AI352 +W352</f>
        <v/>
      </c>
      <c r="AD352" s="32" t="n"/>
      <c r="AI352" s="450" t="n"/>
      <c r="AK352" s="45" t="n"/>
      <c r="BG352" s="120" t="n"/>
    </row>
    <row r="353" hidden="1" s="37">
      <c r="A353" s="551" t="n"/>
      <c r="B353" s="550">
        <f>B352+1</f>
        <v/>
      </c>
      <c r="C353" s="45" t="inlineStr">
        <is>
          <t>Th</t>
        </is>
      </c>
      <c r="D353" s="30">
        <f>SUM(T353,AA353)</f>
        <v/>
      </c>
      <c r="L353" s="216" t="n"/>
      <c r="P353" s="59" t="n"/>
      <c r="U353" s="31">
        <f>SUM(AM353,AP353,AS353,AV353,AY353,BE353,BB353)</f>
        <v/>
      </c>
      <c r="V353" s="483">
        <f>AVERAGE(U353:U359)</f>
        <v/>
      </c>
      <c r="W353" s="30" t="n"/>
      <c r="X353" s="30">
        <f>AA353-W353</f>
        <v/>
      </c>
      <c r="Y353" s="32">
        <f>'0₦'!AE352*2  + 0</f>
        <v/>
      </c>
      <c r="Z353" s="279" t="n"/>
      <c r="AA353" s="30">
        <f>SUM(E353:O353)/21*75 + IF(AM353, -(MAX((U353-1800)/10, -40)), 0)+T353 + S353 + (P353-100)*0.5+AI353 +W353</f>
        <v/>
      </c>
      <c r="AB353" s="477">
        <f>AVERAGE(AA353:AA359)</f>
        <v/>
      </c>
      <c r="AC353" s="476">
        <f>AVERAGE(Y353:Y359)</f>
        <v/>
      </c>
      <c r="AD353" s="32" t="n"/>
      <c r="AF353" s="478">
        <f>SUM(AE353:AE359)</f>
        <v/>
      </c>
      <c r="AG353" s="22" t="n"/>
      <c r="AH353" s="480" t="n"/>
      <c r="AI353" s="450" t="n"/>
      <c r="AK353" s="45" t="n"/>
      <c r="BG353" s="120" t="n"/>
      <c r="BH353" s="445" t="n"/>
      <c r="BI353" s="473" t="n"/>
      <c r="BJ353" s="445" t="n"/>
      <c r="BK353" s="445" t="n"/>
    </row>
    <row r="354" hidden="1" s="37">
      <c r="A354" s="551" t="n"/>
      <c r="B354" s="550">
        <f>B353+1</f>
        <v/>
      </c>
      <c r="C354" s="45" t="inlineStr">
        <is>
          <t>F</t>
        </is>
      </c>
      <c r="D354" s="30">
        <f>SUM(T354,AA354)</f>
        <v/>
      </c>
      <c r="L354" s="216" t="n"/>
      <c r="P354" s="59" t="n"/>
      <c r="U354" s="31">
        <f>SUM(AM354,AP354,AS354,AV354,AY354,BE354,BB354)</f>
        <v/>
      </c>
      <c r="W354" s="30" t="n"/>
      <c r="X354" s="30">
        <f>AA354-W354</f>
        <v/>
      </c>
      <c r="Y354" s="32">
        <f>'0₦'!AE353*2  + 0</f>
        <v/>
      </c>
      <c r="Z354" s="279" t="n"/>
      <c r="AA354" s="30">
        <f>SUM(E354:O354)/21*75 + IF(AM354, -(MAX((U354-1800)/10, -40)), 0)+T354 + S354 + (P354-100)*0.5+AI354 +W354</f>
        <v/>
      </c>
      <c r="AD354" s="32" t="n"/>
      <c r="AI354" s="450" t="n"/>
      <c r="AK354" s="45" t="n"/>
      <c r="BG354" s="120" t="n"/>
      <c r="BM354" s="445">
        <f>SUM(BN354:BO360)</f>
        <v/>
      </c>
      <c r="BN354" s="445">
        <f>COUNTIF('0₦'!L353:L359,"&lt;&gt;")*23</f>
        <v/>
      </c>
      <c r="BO354" s="445" t="n">
        <v>0</v>
      </c>
      <c r="BP354" s="472" t="n"/>
    </row>
    <row r="355" hidden="1" s="37">
      <c r="A355" s="552" t="n"/>
      <c r="B355" s="550">
        <f>B354+1</f>
        <v/>
      </c>
      <c r="C355" s="45" t="inlineStr">
        <is>
          <t>S</t>
        </is>
      </c>
      <c r="D355" s="30">
        <f>SUM(T355,AA355)</f>
        <v/>
      </c>
      <c r="L355" s="216" t="n"/>
      <c r="P355" s="59" t="n"/>
      <c r="U355" s="31">
        <f>SUM(AM355,AP355,AS355,AV355,AY355,BE355,BB355)</f>
        <v/>
      </c>
      <c r="W355" s="30" t="n"/>
      <c r="X355" s="30">
        <f>AA355-W355</f>
        <v/>
      </c>
      <c r="Y355" s="32">
        <f>'0₦'!AE354*2  + 0</f>
        <v/>
      </c>
      <c r="Z355" s="279" t="n"/>
      <c r="AA355" s="30">
        <f>SUM(E355:O355)/21*75 + IF(AM355, -(MAX((U355-1800)/10, -40)), 0)+T355 + S355 + (P355-100)*0.5+AI355 +W355</f>
        <v/>
      </c>
      <c r="AD355" s="32" t="n"/>
      <c r="AI355" s="450" t="n"/>
      <c r="AK355" s="45" t="n"/>
      <c r="AR355" s="450" t="n"/>
      <c r="BG355" s="120" t="n"/>
    </row>
    <row r="356" hidden="1" s="37">
      <c r="A356" s="462">
        <f>A349+0.1</f>
        <v/>
      </c>
      <c r="B356" s="550">
        <f>B355+1</f>
        <v/>
      </c>
      <c r="C356" s="45" t="inlineStr">
        <is>
          <t>S</t>
        </is>
      </c>
      <c r="D356" s="30">
        <f>SUM(T356,AA356)</f>
        <v/>
      </c>
      <c r="L356" s="216" t="n"/>
      <c r="P356" s="59" t="n"/>
      <c r="U356" s="31">
        <f>SUM(AM356,AP356,AS356,AV356,AY356,BE356,BB356)</f>
        <v/>
      </c>
      <c r="W356" s="30" t="n"/>
      <c r="X356" s="30">
        <f>AA356-W356</f>
        <v/>
      </c>
      <c r="Y356" s="32">
        <f>'0₦'!AE355*2  + 0</f>
        <v/>
      </c>
      <c r="Z356" s="279" t="n"/>
      <c r="AA356" s="30">
        <f>SUM(E356:O356)/21*75 + IF(AM356, -(MAX((U356-1800)/10, -40)), 0)+T356 + S356 + (P356-100)*0.5+AI356 +W356</f>
        <v/>
      </c>
      <c r="AD356" s="32" t="n"/>
      <c r="AI356" s="450" t="n"/>
      <c r="AK356" s="45" t="n"/>
      <c r="BG356" s="120" t="n"/>
    </row>
    <row r="357" hidden="1" s="37">
      <c r="A357" s="551" t="n"/>
      <c r="B357" s="550">
        <f>B356+1</f>
        <v/>
      </c>
      <c r="C357" s="45" t="inlineStr">
        <is>
          <t>M</t>
        </is>
      </c>
      <c r="D357" s="30">
        <f>SUM(T357,AA357)</f>
        <v/>
      </c>
      <c r="L357" s="216" t="n"/>
      <c r="P357" s="59" t="n"/>
      <c r="U357" s="31">
        <f>SUM(AM357,AP357,AS357,AV357,AY357,BE357,BB357)</f>
        <v/>
      </c>
      <c r="W357" s="30" t="n"/>
      <c r="X357" s="30">
        <f>AA357-W357</f>
        <v/>
      </c>
      <c r="Y357" s="32">
        <f>'0₦'!AE356*2  + 0</f>
        <v/>
      </c>
      <c r="Z357" s="279" t="n"/>
      <c r="AA357" s="30">
        <f>SUM(E357:O357)/21*75 + IF(AM357, -(MAX((U357-1800)/10, -40)), 0)+T357 + S357 + (P357-100)*0.5+AI357 +W357</f>
        <v/>
      </c>
      <c r="AD357" s="32" t="n"/>
      <c r="AI357" s="450" t="n"/>
      <c r="AK357" s="45" t="n"/>
      <c r="AR357" s="450" t="n"/>
      <c r="BG357" s="120" t="n"/>
    </row>
    <row r="358" hidden="1" s="37">
      <c r="A358" s="551" t="n"/>
      <c r="B358" s="550">
        <f>B357+1</f>
        <v/>
      </c>
      <c r="C358" s="45" t="inlineStr">
        <is>
          <t>T</t>
        </is>
      </c>
      <c r="D358" s="30">
        <f>SUM(T358,AA358)</f>
        <v/>
      </c>
      <c r="L358" s="216" t="n"/>
      <c r="P358" s="59" t="n"/>
      <c r="U358" s="31">
        <f>SUM(AM358,AP358,AS358,AV358,AY358,BE358,BB358)</f>
        <v/>
      </c>
      <c r="W358" s="30" t="n"/>
      <c r="X358" s="30">
        <f>AA358-W358</f>
        <v/>
      </c>
      <c r="Y358" s="32">
        <f>'0₦'!AE357*2  + 0</f>
        <v/>
      </c>
      <c r="Z358" s="279" t="n"/>
      <c r="AA358" s="30">
        <f>SUM(E358:O358)/21*75 + IF(AM358, -(MAX((U358-1800)/10, -40)), 0)+T358 + S358 + (P358-100)*0.5+AI358 +W358</f>
        <v/>
      </c>
      <c r="AD358" s="32" t="n"/>
      <c r="AI358" s="450" t="n"/>
      <c r="AK358" s="45" t="n"/>
      <c r="BG358" s="120" t="n"/>
    </row>
    <row r="359" hidden="1" s="37">
      <c r="A359" s="551" t="n"/>
      <c r="B359" s="550">
        <f>B358+1</f>
        <v/>
      </c>
      <c r="C359" s="45" t="inlineStr">
        <is>
          <t>W</t>
        </is>
      </c>
      <c r="D359" s="30">
        <f>SUM(T359,AA359)</f>
        <v/>
      </c>
      <c r="L359" s="216" t="n"/>
      <c r="P359" s="59" t="n"/>
      <c r="U359" s="31">
        <f>SUM(AM359,AP359,AS359,AV359,AY359,BE359,BB359)</f>
        <v/>
      </c>
      <c r="W359" s="30" t="n"/>
      <c r="X359" s="30">
        <f>AA359-W359</f>
        <v/>
      </c>
      <c r="Y359" s="32">
        <f>'0₦'!AE358*2  + 0</f>
        <v/>
      </c>
      <c r="Z359" s="279" t="n"/>
      <c r="AA359" s="30">
        <f>SUM(E359:O359)/21*75 + IF(AM359, -(MAX((U359-1800)/10, -40)), 0)+T359 + S359 + (P359-100)*0.5+AI359 +W359</f>
        <v/>
      </c>
      <c r="AD359" s="32" t="n"/>
      <c r="AI359" s="450" t="n"/>
      <c r="AK359" s="45" t="n"/>
      <c r="BG359" s="120" t="n"/>
    </row>
    <row r="360" hidden="1" s="37">
      <c r="A360" s="551" t="n"/>
      <c r="B360" s="550">
        <f>B359+1</f>
        <v/>
      </c>
      <c r="C360" s="45" t="inlineStr">
        <is>
          <t>Th</t>
        </is>
      </c>
      <c r="D360" s="30">
        <f>SUM(T360,AA360)</f>
        <v/>
      </c>
      <c r="L360" s="216" t="n"/>
      <c r="P360" s="59" t="n"/>
      <c r="U360" s="31">
        <f>SUM(AM360,AP360,AS360,AV360,AY360,BE360,BB360)</f>
        <v/>
      </c>
      <c r="V360" s="483">
        <f>AVERAGE(U360:U366)</f>
        <v/>
      </c>
      <c r="W360" s="30" t="n"/>
      <c r="X360" s="30">
        <f>AA360-W360</f>
        <v/>
      </c>
      <c r="Y360" s="32">
        <f>'0₦'!AE359*2  + 0</f>
        <v/>
      </c>
      <c r="Z360" s="279" t="n"/>
      <c r="AA360" s="30">
        <f>SUM(E360:O360)/21*75 + IF(AM360, -(MAX((U360-1800)/10, -40)), 0)+T360 + S360 + (P360-100)*0.5+AI360 +W360</f>
        <v/>
      </c>
      <c r="AB360" s="477">
        <f>AVERAGE(AA360:AA366)</f>
        <v/>
      </c>
      <c r="AC360" s="476">
        <f>AVERAGE(Y360:Y366)</f>
        <v/>
      </c>
      <c r="AD360" s="32" t="n"/>
      <c r="AF360" s="478">
        <f>SUM(AE360:AE366)</f>
        <v/>
      </c>
      <c r="AG360" s="22" t="n"/>
      <c r="AH360" s="480" t="n"/>
      <c r="AI360" s="450" t="n"/>
      <c r="AK360" s="45" t="n"/>
      <c r="BG360" s="120" t="n"/>
      <c r="BH360" s="445" t="n"/>
      <c r="BI360" s="473" t="n"/>
      <c r="BJ360" s="445" t="n"/>
      <c r="BK360" s="445" t="n"/>
    </row>
    <row r="361" hidden="1" s="37">
      <c r="A361" s="551" t="n"/>
      <c r="B361" s="550">
        <f>B360+1</f>
        <v/>
      </c>
      <c r="C361" s="45" t="inlineStr">
        <is>
          <t>F</t>
        </is>
      </c>
      <c r="D361" s="30">
        <f>SUM(T361,AA361)</f>
        <v/>
      </c>
      <c r="L361" s="216" t="n"/>
      <c r="P361" s="59" t="n"/>
      <c r="U361" s="31">
        <f>SUM(AM361,AP361,AS361,AV361,AY361,BE361,BB361)</f>
        <v/>
      </c>
      <c r="W361" s="30" t="n"/>
      <c r="X361" s="30">
        <f>AA361-W361</f>
        <v/>
      </c>
      <c r="Y361" s="32">
        <f>'0₦'!AE360*2  + 0</f>
        <v/>
      </c>
      <c r="Z361" s="279" t="n"/>
      <c r="AA361" s="30">
        <f>SUM(E361:O361)/21*75 + IF(AM361, -(MAX((U361-1800)/10, -40)), 0)+T361 + S361 + (P361-100)*0.5+AI361 +W361</f>
        <v/>
      </c>
      <c r="AD361" s="32" t="n"/>
      <c r="AI361" s="450" t="n"/>
      <c r="AK361" s="45" t="n"/>
      <c r="BG361" s="120" t="n"/>
      <c r="BM361" s="445">
        <f>SUM(BN361:BO367)</f>
        <v/>
      </c>
      <c r="BN361" s="445">
        <f>COUNTIF('0₦'!L360:L366,"&lt;&gt;")*23</f>
        <v/>
      </c>
      <c r="BO361" s="445" t="n">
        <v>0</v>
      </c>
      <c r="BP361" s="472" t="n"/>
    </row>
    <row r="362" hidden="1" s="37">
      <c r="A362" s="552" t="n"/>
      <c r="B362" s="550">
        <f>B361+1</f>
        <v/>
      </c>
      <c r="C362" s="45" t="inlineStr">
        <is>
          <t>S</t>
        </is>
      </c>
      <c r="D362" s="30">
        <f>SUM(T362,AA362)</f>
        <v/>
      </c>
      <c r="L362" s="216" t="n"/>
      <c r="P362" s="59" t="n"/>
      <c r="U362" s="31">
        <f>SUM(AM362,AP362,AS362,AV362,AY362,BE362,BB362)</f>
        <v/>
      </c>
      <c r="W362" s="30" t="n"/>
      <c r="X362" s="30">
        <f>AA362-W362</f>
        <v/>
      </c>
      <c r="Y362" s="32">
        <f>'0₦'!AE361*2  + 0</f>
        <v/>
      </c>
      <c r="Z362" s="279" t="n"/>
      <c r="AA362" s="30">
        <f>SUM(E362:O362)/21*75 + IF(AM362, -(MAX((U362-1800)/10, -40)), 0)+T362 + S362 + (P362-100)*0.5+AI362 +W362</f>
        <v/>
      </c>
      <c r="AD362" s="32" t="n"/>
      <c r="AI362" s="450" t="n"/>
      <c r="AK362" s="45" t="n"/>
      <c r="AR362" s="450" t="n"/>
      <c r="BG362" s="120" t="n"/>
    </row>
    <row r="363" hidden="1" s="37">
      <c r="A363" s="462">
        <f>A356+0.1</f>
        <v/>
      </c>
      <c r="B363" s="550">
        <f>B362+1</f>
        <v/>
      </c>
      <c r="C363" s="45" t="inlineStr">
        <is>
          <t>S</t>
        </is>
      </c>
      <c r="D363" s="30">
        <f>SUM(T363,AA363)</f>
        <v/>
      </c>
      <c r="L363" s="216" t="n"/>
      <c r="P363" s="59" t="n"/>
      <c r="U363" s="31">
        <f>SUM(AM363,AP363,AS363,AV363,AY363,BE363,BB363)</f>
        <v/>
      </c>
      <c r="W363" s="30" t="n"/>
      <c r="X363" s="30">
        <f>AA363-W363</f>
        <v/>
      </c>
      <c r="Y363" s="32">
        <f>'0₦'!AE362*2  + 0</f>
        <v/>
      </c>
      <c r="Z363" s="279" t="n"/>
      <c r="AA363" s="30">
        <f>SUM(E363:O363)/21*75 + IF(AM363, -(MAX((U363-1800)/10, -40)), 0)+T363 + S363 + (P363-100)*0.5+AI363 +W363</f>
        <v/>
      </c>
      <c r="AD363" s="32" t="n"/>
      <c r="AI363" s="450" t="n"/>
      <c r="AK363" s="45" t="n"/>
      <c r="BG363" s="120" t="n"/>
    </row>
    <row r="364" hidden="1" s="37">
      <c r="A364" s="551" t="n"/>
      <c r="B364" s="550">
        <f>B363+1</f>
        <v/>
      </c>
      <c r="C364" s="45" t="inlineStr">
        <is>
          <t>M</t>
        </is>
      </c>
      <c r="D364" s="30">
        <f>SUM(T364,AA364)</f>
        <v/>
      </c>
      <c r="L364" s="216" t="n"/>
      <c r="P364" s="59" t="n"/>
      <c r="U364" s="31">
        <f>SUM(AM364,AP364,AS364,AV364,AY364,BE364,BB364)</f>
        <v/>
      </c>
      <c r="W364" s="30" t="n"/>
      <c r="X364" s="30">
        <f>AA364-W364</f>
        <v/>
      </c>
      <c r="Y364" s="32">
        <f>'0₦'!AE363*2  + 0</f>
        <v/>
      </c>
      <c r="Z364" s="279" t="n"/>
      <c r="AA364" s="30">
        <f>SUM(E364:O364)/21*75 + IF(AM364, -(MAX((U364-1800)/10, -40)), 0)+T364 + S364 + (P364-100)*0.5+AI364 +W364</f>
        <v/>
      </c>
      <c r="AD364" s="32" t="n"/>
      <c r="AI364" s="450" t="n"/>
      <c r="AK364" s="45" t="n"/>
      <c r="AR364" s="450" t="n"/>
      <c r="BG364" s="120" t="n"/>
    </row>
    <row r="365" hidden="1" s="37">
      <c r="A365" s="551" t="n"/>
      <c r="B365" s="550">
        <f>B364+1</f>
        <v/>
      </c>
      <c r="C365" s="45" t="inlineStr">
        <is>
          <t>T</t>
        </is>
      </c>
      <c r="D365" s="30">
        <f>SUM(T365,AA365)</f>
        <v/>
      </c>
      <c r="L365" s="216" t="n"/>
      <c r="P365" s="59" t="n"/>
      <c r="U365" s="31">
        <f>SUM(AM365,AP365,AS365,AV365,AY365,BE365,BB365)</f>
        <v/>
      </c>
      <c r="W365" s="30" t="n"/>
      <c r="X365" s="30">
        <f>AA365-W365</f>
        <v/>
      </c>
      <c r="Y365" s="32">
        <f>'0₦'!AE364*2  + 0</f>
        <v/>
      </c>
      <c r="Z365" s="279" t="n"/>
      <c r="AA365" s="30">
        <f>SUM(E365:O365)/21*75 + IF(AM365, -(MAX((U365-1800)/10, -40)), 0)+T365 + S365 + (P365-100)*0.5+AI365 +W365</f>
        <v/>
      </c>
      <c r="AD365" s="32" t="n"/>
      <c r="AI365" s="450" t="n"/>
      <c r="AK365" s="45" t="n"/>
      <c r="BG365" s="120" t="n"/>
    </row>
    <row r="366" hidden="1" ht="17.1" customHeight="1" s="37">
      <c r="A366" s="551" t="n"/>
      <c r="B366" s="550">
        <f>B365+1</f>
        <v/>
      </c>
      <c r="C366" s="45" t="inlineStr">
        <is>
          <t>W</t>
        </is>
      </c>
      <c r="D366" s="30">
        <f>SUM(T366,AA366)</f>
        <v/>
      </c>
      <c r="L366" s="216" t="n"/>
      <c r="P366" s="59" t="n"/>
      <c r="U366" s="31">
        <f>SUM(AM366,AP366,AS366,AV366,AY366,BE366,BB366)</f>
        <v/>
      </c>
      <c r="W366" s="30" t="n"/>
      <c r="X366" s="30">
        <f>AA366-W366</f>
        <v/>
      </c>
      <c r="Y366" s="32">
        <f>'0₦'!AE365*2  + 0</f>
        <v/>
      </c>
      <c r="Z366" s="279" t="n"/>
      <c r="AA366" s="30">
        <f>SUM(E366:O366)/21*75 + IF(AM366, -(MAX((U366-1800)/10, -40)), 0)+T366 + S366 + (P366-100)*0.5+AI366 +W366</f>
        <v/>
      </c>
      <c r="AD366" s="32" t="n"/>
      <c r="AI366" s="450" t="n"/>
      <c r="AK366" s="45" t="n"/>
      <c r="BG366" s="120" t="n"/>
    </row>
    <row r="367" hidden="1" ht="17.1" customHeight="1" s="37">
      <c r="A367" s="551" t="n"/>
      <c r="B367" s="550">
        <f>B366+1</f>
        <v/>
      </c>
      <c r="C367" s="45" t="inlineStr">
        <is>
          <t>Th</t>
        </is>
      </c>
      <c r="D367" s="30">
        <f>SUM(T367,AA367)</f>
        <v/>
      </c>
      <c r="L367" s="216" t="n"/>
      <c r="P367" s="59" t="n"/>
      <c r="U367" s="31">
        <f>SUM(AM367,AP367,AS367,AV367,AY367,BE367,BB367)</f>
        <v/>
      </c>
      <c r="V367" s="483">
        <f>AVERAGE(U367:U373)</f>
        <v/>
      </c>
      <c r="W367" s="30" t="n"/>
      <c r="X367" s="30">
        <f>AA367-W367</f>
        <v/>
      </c>
      <c r="Y367" s="32">
        <f>'0₦'!AE366*2  + 0</f>
        <v/>
      </c>
      <c r="Z367" s="279" t="n"/>
      <c r="AA367" s="30">
        <f>SUM(E367:O367)/21*75 + IF(AM367, -(MAX((U367-1800)/10, -40)), 0)+T367 + S367 + (P367-100)*0.5+AI367 +W367</f>
        <v/>
      </c>
      <c r="AB367" s="477">
        <f>AVERAGE(AA367:AA373)</f>
        <v/>
      </c>
      <c r="AC367" s="476">
        <f>AVERAGE(Y367:Y373)</f>
        <v/>
      </c>
      <c r="AD367" s="32" t="n"/>
      <c r="AF367" s="478">
        <f>SUM(AE367:AE373)</f>
        <v/>
      </c>
      <c r="AG367" s="22" t="n"/>
      <c r="AH367" s="480" t="n"/>
      <c r="AI367" s="450" t="n"/>
      <c r="AK367" s="45" t="n"/>
      <c r="BG367" s="120" t="n"/>
      <c r="BH367" s="445" t="n"/>
      <c r="BI367" s="473" t="n"/>
      <c r="BJ367" s="445" t="n"/>
      <c r="BK367" s="445" t="n"/>
    </row>
    <row r="368" hidden="1" ht="17.1" customHeight="1" s="37">
      <c r="A368" s="551" t="n"/>
      <c r="B368" s="550">
        <f>B367+1</f>
        <v/>
      </c>
      <c r="C368" s="45" t="inlineStr">
        <is>
          <t>F</t>
        </is>
      </c>
      <c r="D368" s="30">
        <f>SUM(T368,AA368)</f>
        <v/>
      </c>
      <c r="L368" s="216" t="n"/>
      <c r="P368" s="59" t="n"/>
      <c r="U368" s="31">
        <f>SUM(AM368,AP368,AS368,AV368,AY368,BE368,BB368)</f>
        <v/>
      </c>
      <c r="W368" s="30" t="n"/>
      <c r="X368" s="30">
        <f>AA368-W368</f>
        <v/>
      </c>
      <c r="Y368" s="32">
        <f>'0₦'!AE367*2  + 0</f>
        <v/>
      </c>
      <c r="Z368" s="279" t="n"/>
      <c r="AA368" s="30">
        <f>SUM(E368:O368)/21*75 + IF(AM368, -(MAX((U368-1800)/10, -40)), 0)+T368 + S368 + (P368-100)*0.5+AI368 +W368</f>
        <v/>
      </c>
      <c r="AD368" s="32" t="n"/>
      <c r="AI368" s="450" t="n"/>
      <c r="AK368" s="45" t="n"/>
      <c r="BG368" s="120" t="n"/>
      <c r="BM368" s="445">
        <f>SUM(BN368:BO374)</f>
        <v/>
      </c>
      <c r="BN368" s="445">
        <f>COUNTIF('0₦'!L367:L368,"&lt;&gt;")*23</f>
        <v/>
      </c>
      <c r="BO368" s="445" t="n">
        <v>0</v>
      </c>
      <c r="BP368" s="472" t="n"/>
    </row>
    <row r="369" hidden="1" ht="17.1" customHeight="1" s="37">
      <c r="A369" s="552" t="n"/>
      <c r="B369" s="550">
        <f>B368+1</f>
        <v/>
      </c>
      <c r="C369" s="45" t="inlineStr">
        <is>
          <t>S</t>
        </is>
      </c>
      <c r="D369" s="30">
        <f>SUM(T369,AA369)</f>
        <v/>
      </c>
      <c r="L369" s="216" t="n"/>
      <c r="P369" s="59" t="n"/>
      <c r="U369" s="31">
        <f>SUM(AM369,AP369,AS369,AV369,AY369,BE369,BB369)</f>
        <v/>
      </c>
      <c r="W369" s="30" t="n"/>
      <c r="X369" s="30">
        <f>AA369-W369</f>
        <v/>
      </c>
      <c r="Y369" s="32">
        <f>'0₦'!AE368*2  + 0</f>
        <v/>
      </c>
      <c r="Z369" s="279" t="n"/>
      <c r="AA369" s="30">
        <f>SUM(E369:O369)/21*75 + IF(AM369, -(MAX((U369-1800)/10, -40)), 0)+T369 + S369 + (P369-100)*0.5+AI369 +W369</f>
        <v/>
      </c>
      <c r="AD369" s="32" t="n"/>
      <c r="AI369" s="450" t="n"/>
      <c r="AK369" s="45" t="n"/>
      <c r="AR369" s="450" t="n"/>
      <c r="BG369" s="120" t="n"/>
    </row>
    <row r="370" hidden="1" ht="17.1" customHeight="1" s="37">
      <c r="A370" s="480" t="n"/>
      <c r="B370" s="271">
        <f>B369+1</f>
        <v/>
      </c>
      <c r="C370" s="45" t="inlineStr">
        <is>
          <t>S</t>
        </is>
      </c>
      <c r="D370" s="30">
        <f>SUM(T370,AA370)</f>
        <v/>
      </c>
      <c r="L370" s="216" t="n"/>
      <c r="P370" s="59" t="n"/>
      <c r="U370" s="31">
        <f>SUM(AM370,AP370,AS370,AV370,AY370,BE370,BB370)</f>
        <v/>
      </c>
      <c r="W370" s="30" t="n"/>
      <c r="X370" s="30">
        <f>AA370-W370</f>
        <v/>
      </c>
      <c r="Y370" s="32">
        <f>'0₦'!AE369*2  + 0</f>
        <v/>
      </c>
      <c r="Z370" s="279" t="n"/>
      <c r="AA370" s="30">
        <f>SUM(E370:O370)/21*75 + IF(AM370, -(MAX((U370-1800)/10, -40)), 0)+T370 + S370 + (P370-100)*0.5+AI370 +W370</f>
        <v/>
      </c>
      <c r="AD370" s="32" t="n"/>
      <c r="AI370" s="450" t="n"/>
      <c r="AK370" s="45" t="n"/>
      <c r="AR370" s="450" t="n"/>
      <c r="BG370" s="120" t="n"/>
    </row>
    <row r="371" hidden="1" ht="17.1" customHeight="1" s="37">
      <c r="B371" s="271">
        <f>B370+1</f>
        <v/>
      </c>
      <c r="C371" s="45" t="inlineStr">
        <is>
          <t>M</t>
        </is>
      </c>
      <c r="D371" s="30">
        <f>SUM(T371,AA371)</f>
        <v/>
      </c>
      <c r="L371" s="216" t="n"/>
      <c r="P371" s="59" t="n"/>
      <c r="U371" s="31">
        <f>SUM(AM371,AP371,AS371,AV371,AY371,BE371,BB371)</f>
        <v/>
      </c>
      <c r="W371" s="30" t="n"/>
      <c r="X371" s="30">
        <f>AA371-W371</f>
        <v/>
      </c>
      <c r="Y371" s="32">
        <f>'0₦'!AE370*2  + 0</f>
        <v/>
      </c>
      <c r="Z371" s="279" t="n"/>
      <c r="AA371" s="30">
        <f>SUM(E371:O371)/21*75 + IF(AM371, -(MAX((U371-1800)/10, -40)), 0)+T371 + S371 + (P371-100)*0.5+AI371 +W371</f>
        <v/>
      </c>
      <c r="AD371" s="32" t="n"/>
      <c r="AI371" s="450" t="n"/>
      <c r="AK371" s="45" t="n"/>
      <c r="AR371" s="450" t="n"/>
      <c r="BG371" s="120" t="n"/>
    </row>
    <row r="372" hidden="1" ht="17.1" customHeight="1" s="37">
      <c r="B372" s="271">
        <f>B371+1</f>
        <v/>
      </c>
      <c r="C372" s="45" t="inlineStr">
        <is>
          <t>T</t>
        </is>
      </c>
      <c r="D372" s="30">
        <f>SUM(T372,AA372)</f>
        <v/>
      </c>
      <c r="L372" s="216" t="n"/>
      <c r="P372" s="59" t="n"/>
      <c r="U372" s="31">
        <f>SUM(AM372,AP372,AS372,AV372,AY372,BE372,BB372)</f>
        <v/>
      </c>
      <c r="W372" s="30" t="n"/>
      <c r="X372" s="30">
        <f>AA372-W372</f>
        <v/>
      </c>
      <c r="Y372" s="32">
        <f>'0₦'!AE371*2  + 0</f>
        <v/>
      </c>
      <c r="Z372" s="279" t="n"/>
      <c r="AA372" s="30">
        <f>SUM(E372:O372)/21*75 + IF(AM372, -(MAX((U372-1800)/10, -40)), 0)+T372 + S372 + (P372-100)*0.5+AI372 +W372</f>
        <v/>
      </c>
      <c r="AD372" s="32" t="n"/>
      <c r="AI372" s="450" t="n"/>
      <c r="AK372" s="45" t="n"/>
      <c r="BG372" s="120" t="n"/>
    </row>
    <row r="373" hidden="1" ht="17.1" customHeight="1" s="37">
      <c r="B373" s="271">
        <f>B372+1</f>
        <v/>
      </c>
      <c r="C373" s="45" t="inlineStr">
        <is>
          <t>W</t>
        </is>
      </c>
      <c r="D373" s="30">
        <f>SUM(T373,AA373)</f>
        <v/>
      </c>
      <c r="L373" s="216" t="n"/>
      <c r="P373" s="59" t="n"/>
      <c r="U373" s="31">
        <f>SUM(AM373,AP373,AS373,AV373,AY373,BE373,BB373)</f>
        <v/>
      </c>
      <c r="W373" s="30" t="n"/>
      <c r="X373" s="30">
        <f>AA373-W373</f>
        <v/>
      </c>
      <c r="Y373" s="32">
        <f>'0₦'!AE372*2  + 0</f>
        <v/>
      </c>
      <c r="Z373" s="279" t="n"/>
      <c r="AA373" s="30">
        <f>SUM(E373:O373)/21*75 + IF(AM373, -(MAX((U373-1800)/10, -40)), 0)+T373 + S373 + (P373-100)*0.5+AI373 +W373</f>
        <v/>
      </c>
      <c r="AD373" s="32" t="n"/>
      <c r="AI373" s="450" t="n"/>
      <c r="AK373" s="45" t="n"/>
      <c r="BG373" s="120" t="n"/>
    </row>
    <row r="374" hidden="1" ht="17.1" customHeight="1" s="37">
      <c r="B374" s="271">
        <f>B373+1</f>
        <v/>
      </c>
      <c r="C374" s="45" t="inlineStr">
        <is>
          <t>Th</t>
        </is>
      </c>
      <c r="D374" s="30">
        <f>SUM(T374,AA374)</f>
        <v/>
      </c>
      <c r="L374" s="216" t="n"/>
      <c r="P374" s="59" t="n"/>
      <c r="U374" s="31">
        <f>SUM(AM374,AP374,AS374,AV374,AY374,BE374,BB374)</f>
        <v/>
      </c>
      <c r="V374" s="483">
        <f>AVERAGE(U374:U376)</f>
        <v/>
      </c>
      <c r="W374" s="30" t="n"/>
      <c r="X374" s="30">
        <f>AA374-W374</f>
        <v/>
      </c>
      <c r="Y374" s="32">
        <f>'0₦'!AE373*2  + 0</f>
        <v/>
      </c>
      <c r="Z374" s="279" t="n"/>
      <c r="AA374" s="30">
        <f>SUM(E374:O374)/21*75 + IF(AM374, -(MAX((U374-1800)/10, -40)), 0)+T374 + S374 + (P374-100)*0.5+AI374 +W374</f>
        <v/>
      </c>
      <c r="AB374" s="477">
        <f>AVERAGE(AA374:AA376)</f>
        <v/>
      </c>
      <c r="AC374" s="476">
        <f>AVERAGE(Y374:Y376)</f>
        <v/>
      </c>
      <c r="AD374" s="32" t="n"/>
      <c r="AF374" s="478">
        <f>SUM(AE374:AE376)</f>
        <v/>
      </c>
      <c r="AG374" s="22" t="n"/>
      <c r="AH374" s="480" t="n"/>
      <c r="AI374" s="450" t="n"/>
      <c r="AK374" s="45" t="n"/>
      <c r="BG374" s="120" t="n"/>
    </row>
    <row r="375" hidden="1" ht="17.1" customHeight="1" s="37">
      <c r="B375" s="271">
        <f>B374+1</f>
        <v/>
      </c>
      <c r="C375" s="45" t="inlineStr">
        <is>
          <t>F</t>
        </is>
      </c>
      <c r="D375" s="30">
        <f>SUM(T375,AA375)</f>
        <v/>
      </c>
      <c r="L375" s="216" t="n"/>
      <c r="P375" s="59" t="n"/>
      <c r="U375" s="31">
        <f>SUM(AM375,AP375,AS375,AV375,AY375,BE375,BB375)</f>
        <v/>
      </c>
      <c r="W375" s="30" t="n"/>
      <c r="X375" s="30">
        <f>AA375-W375</f>
        <v/>
      </c>
      <c r="Y375" s="32">
        <f>'0₦'!AE374*2  + 0</f>
        <v/>
      </c>
      <c r="Z375" s="279" t="n"/>
      <c r="AA375" s="30">
        <f>SUM(E375:O375)/21*75 + IF(AM375, -(MAX((U375-1800)/10, -40)), 0)+T375 + S375 + (P375-100)*0.5+AI375 +W375</f>
        <v/>
      </c>
      <c r="AD375" s="32" t="n"/>
      <c r="AI375" s="450" t="n"/>
      <c r="AK375" s="45" t="n"/>
      <c r="BG375" s="120" t="n"/>
    </row>
    <row r="376" hidden="1" ht="17.1" customHeight="1" s="37">
      <c r="B376" s="271">
        <f>B375+1</f>
        <v/>
      </c>
      <c r="C376" s="45" t="inlineStr">
        <is>
          <t>S</t>
        </is>
      </c>
      <c r="D376" s="30">
        <f>SUM(T376,AA376)</f>
        <v/>
      </c>
      <c r="L376" s="216" t="n"/>
      <c r="P376" s="59" t="n"/>
      <c r="U376" s="31">
        <f>SUM(AM376,AP376,AS376,AV376,AY376,BE376,BB376)</f>
        <v/>
      </c>
      <c r="W376" s="30" t="n"/>
      <c r="X376" s="30">
        <f>AA376-W376</f>
        <v/>
      </c>
      <c r="Y376" s="32">
        <f>'0₦'!AE375*2  + 0</f>
        <v/>
      </c>
      <c r="Z376" s="279" t="n"/>
      <c r="AA376" s="30">
        <f>SUM(E376:O376)/21*75 + IF(AM376, -(MAX((U376-1800)/10, -40)), 0)+T376 + S376 + (P376-100)*0.5+AI376 +W376</f>
        <v/>
      </c>
      <c r="AD376" s="32" t="n"/>
      <c r="AI376" s="450" t="n"/>
      <c r="AK376" s="45" t="n"/>
      <c r="AR376" s="450" t="n"/>
      <c r="BG376" s="120" t="n"/>
    </row>
    <row r="377" ht="17.1" customFormat="1" customHeight="1" s="45">
      <c r="B377" s="271" t="n"/>
      <c r="D377" s="72" t="n"/>
      <c r="P377" s="278" t="n"/>
      <c r="U377" s="72" t="n"/>
      <c r="W377" s="72">
        <f>SUM(W3:W25)</f>
        <v/>
      </c>
      <c r="X377" s="72" t="n"/>
      <c r="Y377" s="72" t="n"/>
      <c r="Z377" s="72" t="n"/>
      <c r="AA377" s="72" t="n"/>
      <c r="AD377" s="279" t="n"/>
      <c r="AF377" s="280" t="n"/>
      <c r="BG377" s="85" t="n"/>
    </row>
    <row r="378" ht="17.1" customHeight="1" s="37">
      <c r="B378" s="503" t="inlineStr">
        <is>
          <t>Q1</t>
        </is>
      </c>
      <c r="C378" s="12" t="n"/>
      <c r="D378" s="335">
        <f>SUM(D12:D108)-COUNT(D12:D108)*50</f>
        <v/>
      </c>
      <c r="E378" s="485">
        <f>SUM(E3:E93)-(COUNT(E3:E93)*2)</f>
        <v/>
      </c>
      <c r="G378" s="486">
        <f>SUM(G3:G93)-(COUNT(G3:G93)*3)</f>
        <v/>
      </c>
      <c r="I378" s="494">
        <f>SUM(I3:I93)-(COUNT(I3:I93)*2)</f>
        <v/>
      </c>
      <c r="K378" s="495">
        <f>SUM(K3:K93)-(COUNT(K3:K93)*1)</f>
        <v/>
      </c>
      <c r="M378" s="496">
        <f>SUM(M3:M93)-(COUNT(M3:M93)*1)</f>
        <v/>
      </c>
      <c r="O378" s="497">
        <f>SUM(O3:O93)-(COUNT(O3:O93)*2)</f>
        <v/>
      </c>
      <c r="Q378" s="492">
        <f>SUM(E378:P378,F379:O379)</f>
        <v/>
      </c>
      <c r="S378" s="33" t="n"/>
      <c r="U378" s="484">
        <f>SUMIF(U66:U184,"&lt;&gt;0",U66:U184)/COUNTIF(U66:U184,"&lt;&gt;0")</f>
        <v/>
      </c>
      <c r="W378" s="9" t="n"/>
      <c r="X378" s="289">
        <f>SUMIF(X3:X96,"&lt;&gt;-40")-(COUNTIF(X3:X96,"&lt;&gt;-40")*86)</f>
        <v/>
      </c>
      <c r="Y378" s="275">
        <f>SUM(Y3:Y96)-(COUNTIF(Y3:Y96,"&lt;&gt;0")*45)</f>
        <v/>
      </c>
      <c r="AB378" s="454" t="n"/>
      <c r="AC378" s="151" t="n"/>
      <c r="AD378" s="504">
        <f>SUM(AD3:AD93)</f>
        <v/>
      </c>
      <c r="AF378" s="238" t="n"/>
      <c r="AG378" s="156" t="n"/>
      <c r="AH378" s="156" t="n"/>
      <c r="AI378" s="46" t="n"/>
      <c r="AJ378" s="156" t="n"/>
      <c r="AK378" s="20" t="n"/>
      <c r="AL378" s="145" t="n"/>
      <c r="AM378" s="145" t="n"/>
      <c r="AN378" s="145" t="n"/>
      <c r="AO378" s="145" t="n"/>
      <c r="AP378" s="145" t="n"/>
      <c r="AQ378" s="145" t="n"/>
      <c r="AR378" s="145" t="n"/>
      <c r="AS378" s="145" t="n"/>
      <c r="AT378" s="145" t="n"/>
      <c r="AU378" s="145" t="n"/>
      <c r="AV378" s="145" t="n"/>
      <c r="AW378" s="145" t="n"/>
      <c r="AX378" s="145" t="n"/>
      <c r="AY378" s="145" t="n"/>
      <c r="AZ378" s="145" t="n"/>
      <c r="BA378" s="145" t="n"/>
      <c r="BB378" s="20" t="n"/>
      <c r="BC378" s="20" t="n"/>
      <c r="BD378" s="20" t="n"/>
      <c r="BE378" s="20" t="n"/>
      <c r="BF378" s="20" t="n"/>
      <c r="BG378" s="20" t="n"/>
    </row>
    <row r="379">
      <c r="C379" s="12" t="n"/>
      <c r="D379" s="335" t="n"/>
      <c r="F379" s="490">
        <f>SUM(F3:F96)-(COUNT(F3:F96)*1)</f>
        <v/>
      </c>
      <c r="H379" s="491">
        <f>SUM(H3:H93)-(COUNT(H3:H93)*1)</f>
        <v/>
      </c>
      <c r="J379" s="488">
        <f>SUM(J3:J93)-(COUNT(J3:J93)*2)</f>
        <v/>
      </c>
      <c r="L379" s="489">
        <f>SUM(L3:L93)-(COUNT(L3:L93)*0)</f>
        <v/>
      </c>
      <c r="N379" s="487">
        <f>SUM(N3:N93)-(COUNT(N3:N93)*1)</f>
        <v/>
      </c>
      <c r="S379" s="33" t="n"/>
      <c r="X379" s="481">
        <f>SUM(X378:Y378)</f>
        <v/>
      </c>
      <c r="AF379" s="450" t="n"/>
      <c r="AI379" s="46" t="n"/>
      <c r="AJ379" s="156" t="n"/>
      <c r="AK379" s="20" t="n"/>
      <c r="AL379" s="145" t="n"/>
      <c r="AM379" s="145" t="n"/>
      <c r="AN379" s="145" t="n"/>
      <c r="AO379" s="145" t="n"/>
      <c r="AP379" s="145" t="n"/>
      <c r="AQ379" s="145" t="n"/>
      <c r="AR379" s="145" t="n"/>
      <c r="AS379" s="145" t="n"/>
      <c r="AT379" s="145" t="n"/>
      <c r="AU379" s="145" t="n"/>
      <c r="AV379" s="145" t="n"/>
      <c r="AW379" s="145" t="n"/>
      <c r="AX379" s="145" t="n"/>
      <c r="AY379" s="145" t="n"/>
      <c r="AZ379" s="145" t="n"/>
      <c r="BA379" s="145" t="n"/>
      <c r="BB379" s="20" t="n"/>
      <c r="BC379" s="20" t="n"/>
      <c r="BD379" s="20" t="n"/>
      <c r="BE379" s="20" t="n"/>
      <c r="BF379" s="20" t="n"/>
      <c r="BG379" s="20" t="n"/>
    </row>
    <row r="380">
      <c r="B380" s="215" t="n"/>
      <c r="C380" s="12" t="n"/>
      <c r="D380" s="335" t="n"/>
      <c r="E380" s="158" t="n"/>
      <c r="F380" s="158" t="n"/>
      <c r="G380" s="158" t="n"/>
      <c r="H380" s="158" t="n"/>
      <c r="I380" s="158" t="n"/>
      <c r="J380" s="158" t="n"/>
      <c r="K380" s="158" t="n"/>
      <c r="L380" s="158" t="n"/>
      <c r="M380" s="158" t="n"/>
      <c r="N380" s="158" t="n"/>
      <c r="O380" s="158" t="n"/>
      <c r="P380" s="157" t="n"/>
      <c r="S380" s="33" t="n"/>
      <c r="AF380" s="450" t="n"/>
      <c r="AI380" s="46" t="n"/>
      <c r="AJ380" s="156" t="n"/>
      <c r="AK380" s="20" t="n"/>
      <c r="AL380" s="145" t="n"/>
      <c r="AM380" s="145" t="n"/>
      <c r="AN380" s="145" t="n"/>
      <c r="AO380" s="145" t="n"/>
      <c r="AP380" s="145" t="n"/>
      <c r="AQ380" s="145" t="n"/>
      <c r="AR380" s="145" t="n"/>
      <c r="AS380" s="145" t="n"/>
      <c r="AT380" s="145" t="n"/>
      <c r="AU380" s="145" t="n"/>
      <c r="AV380" s="145" t="n"/>
      <c r="AW380" s="145" t="n"/>
      <c r="AX380" s="145" t="n"/>
      <c r="AY380" s="145" t="n"/>
      <c r="AZ380" s="145" t="n"/>
      <c r="BA380" s="145" t="n"/>
      <c r="BB380" s="20" t="n"/>
      <c r="BC380" s="20" t="n"/>
      <c r="BD380" s="20" t="n"/>
      <c r="BE380" s="20" t="n"/>
      <c r="BF380" s="20" t="n"/>
      <c r="BG380" s="20" t="n"/>
    </row>
    <row r="381" ht="17.1" customHeight="1" s="37">
      <c r="B381" s="503" t="inlineStr">
        <is>
          <t>Q2</t>
        </is>
      </c>
      <c r="C381" s="12" t="n"/>
      <c r="D381" s="335">
        <f>SUM(D109:D193)-COUNT(D13:D109)*50</f>
        <v/>
      </c>
      <c r="E381" s="485">
        <f>SUM(E97:E187)-(COUNT(E97:E187)*2)</f>
        <v/>
      </c>
      <c r="G381" s="486">
        <f>SUM(G97:G187)-(COUNT(G97:G187)*3)</f>
        <v/>
      </c>
      <c r="I381" s="494">
        <f>SUM(I97:I187)-(COUNT(I97:I187)*2)</f>
        <v/>
      </c>
      <c r="K381" s="495">
        <f>SUM(K97:K187)-(COUNT(K97:K187)*1)</f>
        <v/>
      </c>
      <c r="M381" s="496">
        <f>SUM(M97:M187)-(COUNT(M97:M187)*1)</f>
        <v/>
      </c>
      <c r="O381" s="497">
        <f>SUM(O97:O187)-(COUNT(O97:O187)*2)</f>
        <v/>
      </c>
      <c r="Q381" s="492">
        <f>SUM(E381:P381,F382:O382)</f>
        <v/>
      </c>
      <c r="U381" s="484">
        <f>SUMIF(U69:U187,"&lt;&gt;0",U69:U187)/COUNTIF(U69:U187,"&lt;&gt;0")</f>
        <v/>
      </c>
      <c r="X381" s="289">
        <f>SUMIF(X97:X187,"&lt;&gt;-40")-(COUNTIF(X97:X187,"&lt;&gt;-40")*86)</f>
        <v/>
      </c>
      <c r="Y381" s="275">
        <f>SUM(Y97:Y187)-(COUNTIF(Y97:Y187,"&lt;&gt;0")*45)</f>
        <v/>
      </c>
      <c r="AB381" s="42">
        <f>SUM(W154:W168)</f>
        <v/>
      </c>
      <c r="AD381" s="504">
        <f>SUM(AD97:AD187)</f>
        <v/>
      </c>
      <c r="AF381" s="450" t="n"/>
      <c r="AI381" s="46" t="n"/>
      <c r="AJ381" s="156" t="n"/>
      <c r="AK381" s="20" t="n"/>
      <c r="AL381" s="145" t="n"/>
      <c r="AM381" s="145" t="n"/>
      <c r="AN381" s="145" t="n"/>
      <c r="AO381" s="145" t="n"/>
      <c r="AP381" s="145" t="n"/>
      <c r="AQ381" s="145" t="n"/>
      <c r="AR381" s="145" t="n"/>
      <c r="AS381" s="145" t="n"/>
      <c r="AT381" s="145" t="n"/>
      <c r="AU381" s="145" t="n"/>
      <c r="AV381" s="145" t="n"/>
      <c r="AW381" s="145" t="n"/>
      <c r="AX381" s="145" t="n"/>
      <c r="AY381" s="145" t="n"/>
      <c r="AZ381" s="145" t="n"/>
      <c r="BA381" s="145" t="n"/>
      <c r="BB381" s="20" t="n"/>
      <c r="BC381" s="20" t="n"/>
      <c r="BD381" s="20" t="n"/>
      <c r="BE381" s="20" t="n"/>
      <c r="BF381" s="20" t="n"/>
      <c r="BG381" s="20" t="n"/>
    </row>
    <row r="382">
      <c r="C382" s="12" t="n"/>
      <c r="D382" s="335" t="n"/>
      <c r="F382" s="490">
        <f>SUM(F97:F187)-(COUNT(F97:F187)*1)</f>
        <v/>
      </c>
      <c r="H382" s="491">
        <f>SUM(H97:H187)-(COUNT(H97:H187)*1)</f>
        <v/>
      </c>
      <c r="J382" s="493">
        <f>SUM(J97:J187)-(COUNT(J97:J187)*2)</f>
        <v/>
      </c>
      <c r="L382" s="489">
        <f>SUM(L97:L187)-(COUNT(L97:L187)*0)</f>
        <v/>
      </c>
      <c r="N382" s="487">
        <f>SUM(N97:N187)-(COUNT(N97:N187)*1)</f>
        <v/>
      </c>
      <c r="X382" s="481">
        <f>SUM(X381:Y381)</f>
        <v/>
      </c>
      <c r="AF382" s="450" t="n"/>
      <c r="AI382" s="46" t="n"/>
      <c r="AJ382" s="156" t="n"/>
      <c r="AK382" s="20" t="n"/>
      <c r="AL382" s="145" t="n"/>
      <c r="AM382" s="145" t="n"/>
      <c r="AN382" s="145" t="n"/>
      <c r="AO382" s="145" t="n"/>
      <c r="AP382" s="145" t="n"/>
      <c r="AQ382" s="145" t="n"/>
      <c r="AR382" s="145" t="n"/>
      <c r="AS382" s="145" t="n"/>
      <c r="AT382" s="145" t="n"/>
      <c r="AU382" s="145" t="n"/>
      <c r="AV382" s="145" t="n"/>
      <c r="AW382" s="145" t="n"/>
      <c r="AX382" s="145" t="n"/>
      <c r="AY382" s="145" t="n"/>
      <c r="AZ382" s="145" t="n"/>
      <c r="BA382" s="145" t="n"/>
      <c r="BB382" s="20" t="n"/>
      <c r="BC382" s="20" t="n"/>
      <c r="BD382" s="20" t="n"/>
      <c r="BE382" s="20" t="n"/>
      <c r="BF382" s="20" t="n"/>
      <c r="BG382" s="20" t="n"/>
    </row>
    <row r="383">
      <c r="B383" s="215" t="n"/>
      <c r="C383" s="12" t="n"/>
      <c r="D383" s="335" t="n"/>
      <c r="Q383" s="445" t="n"/>
      <c r="AF383" s="450" t="n"/>
      <c r="AI383" s="46" t="n"/>
      <c r="AJ383" s="156" t="n"/>
      <c r="AK383" s="20" t="n"/>
      <c r="AL383" s="145" t="n"/>
      <c r="AM383" s="145" t="n"/>
      <c r="AN383" s="145" t="n"/>
      <c r="AO383" s="145" t="n"/>
      <c r="AP383" s="145" t="n"/>
      <c r="AQ383" s="145" t="n"/>
      <c r="AR383" s="145" t="n"/>
      <c r="AS383" s="145" t="n"/>
      <c r="AT383" s="145" t="n"/>
      <c r="AU383" s="145" t="n"/>
      <c r="AV383" s="145" t="n"/>
      <c r="AW383" s="145" t="n"/>
      <c r="AX383" s="145" t="n"/>
      <c r="AY383" s="145" t="n"/>
      <c r="AZ383" s="145" t="n"/>
      <c r="BA383" s="145" t="n"/>
      <c r="BB383" s="20" t="n"/>
      <c r="BC383" s="20" t="n"/>
      <c r="BD383" s="20" t="n"/>
      <c r="BE383" s="20" t="n"/>
      <c r="BF383" s="20" t="n"/>
      <c r="BG383" s="20" t="n"/>
    </row>
    <row r="384" ht="17.1" customHeight="1" s="37">
      <c r="B384" s="503" t="inlineStr">
        <is>
          <t>Q3</t>
        </is>
      </c>
      <c r="C384" s="12" t="n"/>
      <c r="D384" s="335">
        <f>SUM(D188:D285)-COUNT(D188:D285)*50</f>
        <v/>
      </c>
      <c r="E384" s="485">
        <f>SUM(E188:E278)-(COUNT(E188:E288)*2)</f>
        <v/>
      </c>
      <c r="G384" s="486">
        <f>SUM(G188:G278)-(COUNT(G188:G278)*3)</f>
        <v/>
      </c>
      <c r="I384" s="494">
        <f>SUM(I188:I285)-(COUNT(I188:I285)*2)</f>
        <v/>
      </c>
      <c r="K384" s="495">
        <f>SUM(K188:K278)-(COUNT(K188:K278)*1)</f>
        <v/>
      </c>
      <c r="M384" s="496">
        <f>SUM(M188:M278)-(COUNT(M188:M278)*1)</f>
        <v/>
      </c>
      <c r="O384" s="497">
        <f>SUM(O188:O278)-(COUNT(O188:O278)*2)</f>
        <v/>
      </c>
      <c r="Q384" s="492">
        <f>SUM(E384:P384,F385:O385)</f>
        <v/>
      </c>
      <c r="U384" s="484">
        <f>SUMIF(U188:U285,"&lt;&gt;0",U188:U285)/COUNTIF(U188:U285,"&lt;&gt;0")</f>
        <v/>
      </c>
      <c r="X384" s="289">
        <f>SUMIF(AA188:AA278,"&lt;&gt;-40")-(COUNTIF(AA188:AA278,"&lt;&gt;-40")*86)</f>
        <v/>
      </c>
      <c r="Y384" s="275">
        <f>SUM(Y188:Y278)-(COUNTIF(Y188:Y278,"&lt;&gt;0")*45)</f>
        <v/>
      </c>
      <c r="AF384" s="450" t="n"/>
    </row>
    <row r="385">
      <c r="C385" s="12" t="n"/>
      <c r="D385" s="335" t="n"/>
      <c r="F385" s="490">
        <f>SUM(F188:F285)-(COUNT(F188:F285)*1)</f>
        <v/>
      </c>
      <c r="H385" s="491">
        <f>SUM(H188:H278)-(COUNT(H188:H278)*1)</f>
        <v/>
      </c>
      <c r="J385" s="488">
        <f>SUM(J188:J278)-(COUNT(J188:J278)*2)</f>
        <v/>
      </c>
      <c r="L385" s="489">
        <f>SUM(L188:L278)-(COUNT(L188:L285)*0)</f>
        <v/>
      </c>
      <c r="N385" s="487">
        <f>SUM(N188:N278)-(COUNT(N188:N278)*1)</f>
        <v/>
      </c>
      <c r="X385" s="481">
        <f>SUM(X384:Y384)</f>
        <v/>
      </c>
      <c r="Z385" s="445" t="n"/>
      <c r="AA385" s="445" t="n"/>
    </row>
    <row r="386">
      <c r="B386" s="215" t="n"/>
      <c r="C386" s="12" t="n"/>
      <c r="D386" s="335" t="n"/>
      <c r="Q386" s="445" t="n"/>
      <c r="X386" s="481" t="n"/>
      <c r="Y386" s="482" t="n"/>
      <c r="Z386" s="445" t="n"/>
      <c r="AA386" s="445" t="n"/>
    </row>
    <row r="387" ht="15.95" customHeight="1" s="37">
      <c r="B387" s="503" t="inlineStr">
        <is>
          <t>Q4</t>
        </is>
      </c>
      <c r="C387" s="12" t="n"/>
      <c r="E387" s="485">
        <f>SUM(E281:E372)-(COUNT(E281:E372)*2)</f>
        <v/>
      </c>
      <c r="G387" s="486">
        <f>SUM(G281:G372)-(COUNT(G281:G372)*3)</f>
        <v/>
      </c>
      <c r="I387" s="494">
        <f>SUM(I281:I372)-(COUNT(I281:I372)*2)</f>
        <v/>
      </c>
      <c r="K387" s="495">
        <f>SUM(K281:K372)-(COUNT(K281:K372)*1)</f>
        <v/>
      </c>
      <c r="M387" s="496">
        <f>SUM(M281:M372)-(COUNT(M281:M372)*1)</f>
        <v/>
      </c>
      <c r="O387" s="497">
        <f>SUM(O281:O372)-(COUNT(O281:O372)*2)</f>
        <v/>
      </c>
      <c r="Q387" s="445" t="n">
        <v>-237</v>
      </c>
      <c r="U387" s="484">
        <f>SUMIF(U281:U371,"&lt;&gt;0",U281:U372)/COUNTIF(U281:U371,"&lt;&gt;0")</f>
        <v/>
      </c>
      <c r="X387" s="289">
        <f>SUMIF(AA191:AA281,"&lt;&gt;-40")-(COUNTIF(AA191:AA281,"&lt;&gt;-40")*86)</f>
        <v/>
      </c>
      <c r="Y387" s="275">
        <f>SUM(Y281:Y372)-(COUNTIF(Y281:Y372,"&lt;&gt;0")*45)</f>
        <v/>
      </c>
    </row>
    <row r="388">
      <c r="F388" s="490">
        <f>SUM(F281:F372)-(COUNT(F281:F372)*1)</f>
        <v/>
      </c>
      <c r="H388" s="491">
        <f>SUM(H281:H372)-(COUNT(H281:H372)*1)</f>
        <v/>
      </c>
      <c r="J388" s="488">
        <f>SUM(J281:J372)-(COUNT(J281:J372)*2)</f>
        <v/>
      </c>
      <c r="L388" s="489">
        <f>SUM(L281:L372)-(COUNT(L281:L372)*1)</f>
        <v/>
      </c>
      <c r="N388" s="487">
        <f>SUM(N281:N372)-(COUNT(N281:N372)*1)</f>
        <v/>
      </c>
      <c r="X388" s="481">
        <f>SUM(X387:Y387)</f>
        <v/>
      </c>
      <c r="Z388" s="445" t="n"/>
      <c r="AA388" s="445" t="n"/>
    </row>
    <row r="389" ht="17.1" customHeight="1" s="37"/>
    <row r="391">
      <c r="B391" s="516" t="n">
        <v>2026</v>
      </c>
      <c r="C391" s="12" t="n"/>
      <c r="E391" s="489">
        <f>SUM(L388,L385,L382,L379)</f>
        <v/>
      </c>
      <c r="G391" s="491">
        <f>SUM(H388,H385,H382,H379)</f>
        <v/>
      </c>
      <c r="I391" s="487">
        <f>SUM(N388,N385,N382,N379)</f>
        <v/>
      </c>
      <c r="K391" s="490">
        <f>SUM(F388,F385,F382,F379)</f>
        <v/>
      </c>
      <c r="M391" s="497">
        <f>SUM(O387,O384,O381,O378)</f>
        <v/>
      </c>
      <c r="O391" s="495">
        <f>SUM(K387,K384,K381,K378)</f>
        <v/>
      </c>
      <c r="X391" s="474">
        <f>SUM(X388,X385,X382,X379)</f>
        <v/>
      </c>
    </row>
    <row r="392">
      <c r="F392" s="496">
        <f>SUM(M387,M384,M381,M378)</f>
        <v/>
      </c>
      <c r="H392" s="494">
        <f>SUM(I387,I384,I381,I378)</f>
        <v/>
      </c>
      <c r="J392" s="488">
        <f>SUM(J388,J385,J382,J379)</f>
        <v/>
      </c>
      <c r="L392" s="485">
        <f>SUM(E387,E384,E381,E378)</f>
        <v/>
      </c>
      <c r="N392" s="486">
        <f>SUM(G387,G384,G381,G378)</f>
        <v/>
      </c>
    </row>
    <row r="395">
      <c r="B395" s="516" t="n">
        <v>2025</v>
      </c>
      <c r="C395" s="12" t="n"/>
      <c r="E395" s="489" t="n">
        <v>403</v>
      </c>
      <c r="G395" s="491" t="n">
        <v>66</v>
      </c>
      <c r="I395" s="487" t="n">
        <v>42</v>
      </c>
      <c r="K395" s="490" t="n">
        <v>11</v>
      </c>
      <c r="M395" s="497" t="n">
        <v>-10</v>
      </c>
      <c r="O395" s="495" t="n">
        <v>-45</v>
      </c>
    </row>
    <row r="396">
      <c r="F396" s="496" t="n">
        <v>-34</v>
      </c>
      <c r="H396" s="494" t="n">
        <v>-172</v>
      </c>
      <c r="J396" s="488" t="n">
        <v>-141</v>
      </c>
      <c r="L396" s="485" t="n">
        <v>-379</v>
      </c>
      <c r="N396" s="486" t="n">
        <v>-581</v>
      </c>
    </row>
  </sheetData>
  <mergeCells count="792">
    <mergeCell ref="AF241:AF247"/>
    <mergeCell ref="BJ346:BJ352"/>
    <mergeCell ref="BI108:BI114"/>
    <mergeCell ref="BH234:BH240"/>
    <mergeCell ref="AB10:AB16"/>
    <mergeCell ref="AB66:AB72"/>
    <mergeCell ref="BK276:BK282"/>
    <mergeCell ref="BI45:BI51"/>
    <mergeCell ref="V66:V72"/>
    <mergeCell ref="AC192:AC198"/>
    <mergeCell ref="BH171:BH177"/>
    <mergeCell ref="AB3:AB9"/>
    <mergeCell ref="BN81:BN87"/>
    <mergeCell ref="A97:A103"/>
    <mergeCell ref="A230:A236"/>
    <mergeCell ref="V283:V289"/>
    <mergeCell ref="AC129:AC135"/>
    <mergeCell ref="BP74:BP80"/>
    <mergeCell ref="BU4:BU10"/>
    <mergeCell ref="K391:L391"/>
    <mergeCell ref="BK136:BK142"/>
    <mergeCell ref="BH66:BH72"/>
    <mergeCell ref="AH248:AH254"/>
    <mergeCell ref="BK80:BK86"/>
    <mergeCell ref="BH206:BH212"/>
    <mergeCell ref="AF269:AF275"/>
    <mergeCell ref="BJ206:BJ212"/>
    <mergeCell ref="BP361:BP367"/>
    <mergeCell ref="AC360:AC366"/>
    <mergeCell ref="BJ59:BJ65"/>
    <mergeCell ref="BO123:BO129"/>
    <mergeCell ref="AB150:AB156"/>
    <mergeCell ref="V136:V142"/>
    <mergeCell ref="F396:G396"/>
    <mergeCell ref="BJ143:BJ149"/>
    <mergeCell ref="H396:I396"/>
    <mergeCell ref="BM60:BM66"/>
    <mergeCell ref="AB94:AB100"/>
    <mergeCell ref="BO60:BO66"/>
    <mergeCell ref="V59:V65"/>
    <mergeCell ref="BN326:BN332"/>
    <mergeCell ref="BP326:BP332"/>
    <mergeCell ref="BO32:BO38"/>
    <mergeCell ref="AB31:AB37"/>
    <mergeCell ref="BJ101:BJ107"/>
    <mergeCell ref="BN263:BN269"/>
    <mergeCell ref="AF87:AF93"/>
    <mergeCell ref="BI227:BI233"/>
    <mergeCell ref="BI325:BI331"/>
    <mergeCell ref="BH353:BH359"/>
    <mergeCell ref="M387:N387"/>
    <mergeCell ref="O387:P387"/>
    <mergeCell ref="O381:P381"/>
    <mergeCell ref="BI164:BI170"/>
    <mergeCell ref="BI269:BI275"/>
    <mergeCell ref="BK220:BK226"/>
    <mergeCell ref="BH290:BH296"/>
    <mergeCell ref="AC115:AC121"/>
    <mergeCell ref="BK318:BK324"/>
    <mergeCell ref="AC311:AC317"/>
    <mergeCell ref="AF122:AF128"/>
    <mergeCell ref="AF178:AF184"/>
    <mergeCell ref="V227:V233"/>
    <mergeCell ref="BK157:BK163"/>
    <mergeCell ref="AC52:AC58"/>
    <mergeCell ref="AC108:AC114"/>
    <mergeCell ref="BJ283:BJ289"/>
    <mergeCell ref="BM284:BM290"/>
    <mergeCell ref="BO284:BO290"/>
    <mergeCell ref="AB234:AB240"/>
    <mergeCell ref="AC325:AC331"/>
    <mergeCell ref="AH255:AH261"/>
    <mergeCell ref="A111:A117"/>
    <mergeCell ref="X391:Y392"/>
    <mergeCell ref="BM221:BM227"/>
    <mergeCell ref="AF38:AF44"/>
    <mergeCell ref="BK17:BK23"/>
    <mergeCell ref="AB24:AB30"/>
    <mergeCell ref="A167:A173"/>
    <mergeCell ref="E381:F381"/>
    <mergeCell ref="B395:B396"/>
    <mergeCell ref="AB311:AB317"/>
    <mergeCell ref="V143:V149"/>
    <mergeCell ref="BI346:BI352"/>
    <mergeCell ref="AC339:AC345"/>
    <mergeCell ref="AH269:AH275"/>
    <mergeCell ref="AF367:AF373"/>
    <mergeCell ref="BH3:BH9"/>
    <mergeCell ref="AF318:AF324"/>
    <mergeCell ref="AH318:AH324"/>
    <mergeCell ref="BK346:BK352"/>
    <mergeCell ref="BK248:BK254"/>
    <mergeCell ref="AF206:AF212"/>
    <mergeCell ref="A27:A33"/>
    <mergeCell ref="BH276:BH282"/>
    <mergeCell ref="AH206:AH212"/>
    <mergeCell ref="AF304:AF310"/>
    <mergeCell ref="BJ276:BJ282"/>
    <mergeCell ref="BM312:BM318"/>
    <mergeCell ref="V157:V163"/>
    <mergeCell ref="BH17:BH23"/>
    <mergeCell ref="AC38:AC44"/>
    <mergeCell ref="BM81:BM87"/>
    <mergeCell ref="F379:G379"/>
    <mergeCell ref="BH367:BH373"/>
    <mergeCell ref="BJ367:BJ373"/>
    <mergeCell ref="A293:A299"/>
    <mergeCell ref="U384:V384"/>
    <mergeCell ref="BH136:BH142"/>
    <mergeCell ref="BJ136:BJ142"/>
    <mergeCell ref="N396:O396"/>
    <mergeCell ref="AH339:AH345"/>
    <mergeCell ref="BI241:BI247"/>
    <mergeCell ref="AB339:AB345"/>
    <mergeCell ref="BN102:BN108"/>
    <mergeCell ref="BO361:BO367"/>
    <mergeCell ref="BI59:BI65"/>
    <mergeCell ref="BK59:BK65"/>
    <mergeCell ref="J392:K392"/>
    <mergeCell ref="BI276:BI282"/>
    <mergeCell ref="BN39:BN45"/>
    <mergeCell ref="BN95:BN101"/>
    <mergeCell ref="V297:V303"/>
    <mergeCell ref="BP95:BP101"/>
    <mergeCell ref="BO221:BO227"/>
    <mergeCell ref="Q378:R379"/>
    <mergeCell ref="BN32:BN38"/>
    <mergeCell ref="A48:A54"/>
    <mergeCell ref="BP32:BP38"/>
    <mergeCell ref="BI101:BI107"/>
    <mergeCell ref="BK101:BK107"/>
    <mergeCell ref="BH227:BH233"/>
    <mergeCell ref="BJ227:BJ233"/>
    <mergeCell ref="AH10:AH16"/>
    <mergeCell ref="BH164:BH170"/>
    <mergeCell ref="BJ164:BJ170"/>
    <mergeCell ref="AB115:AB121"/>
    <mergeCell ref="BO81:BO87"/>
    <mergeCell ref="AC122:AC128"/>
    <mergeCell ref="BO53:BO59"/>
    <mergeCell ref="AB52:AB58"/>
    <mergeCell ref="A195:A201"/>
    <mergeCell ref="AF108:AF114"/>
    <mergeCell ref="BN284:BN290"/>
    <mergeCell ref="AF276:AF282"/>
    <mergeCell ref="A272:A278"/>
    <mergeCell ref="BN221:BN227"/>
    <mergeCell ref="BI185:BI191"/>
    <mergeCell ref="BK241:BK247"/>
    <mergeCell ref="BI122:BI128"/>
    <mergeCell ref="BI178:BI184"/>
    <mergeCell ref="BK178:BK184"/>
    <mergeCell ref="V248:V254"/>
    <mergeCell ref="BH304:BH310"/>
    <mergeCell ref="AH199:AH205"/>
    <mergeCell ref="BM305:BM311"/>
    <mergeCell ref="BJ304:BJ310"/>
    <mergeCell ref="AB255:AB261"/>
    <mergeCell ref="BK255:BK261"/>
    <mergeCell ref="AC346:AC352"/>
    <mergeCell ref="A328:A334"/>
    <mergeCell ref="A132:A138"/>
    <mergeCell ref="AF136:AF142"/>
    <mergeCell ref="AH136:AH142"/>
    <mergeCell ref="BM242:BM248"/>
    <mergeCell ref="AH80:AH86"/>
    <mergeCell ref="F382:G382"/>
    <mergeCell ref="BJ150:BJ156"/>
    <mergeCell ref="AB45:AB51"/>
    <mergeCell ref="AH129:AH135"/>
    <mergeCell ref="X388:Y388"/>
    <mergeCell ref="U387:V387"/>
    <mergeCell ref="M395:N395"/>
    <mergeCell ref="E395:F395"/>
    <mergeCell ref="O395:P395"/>
    <mergeCell ref="BJ241:BJ247"/>
    <mergeCell ref="G395:H395"/>
    <mergeCell ref="AB332:AB338"/>
    <mergeCell ref="BK269:BK275"/>
    <mergeCell ref="BI367:BI373"/>
    <mergeCell ref="BO277:BO283"/>
    <mergeCell ref="BH297:BH303"/>
    <mergeCell ref="AF227:AF233"/>
    <mergeCell ref="BJ297:BJ303"/>
    <mergeCell ref="AF325:AF331"/>
    <mergeCell ref="BM333:BM339"/>
    <mergeCell ref="AH276:AH282"/>
    <mergeCell ref="BJ17:BJ23"/>
    <mergeCell ref="V374:V376"/>
    <mergeCell ref="A20:A26"/>
    <mergeCell ref="V178:V184"/>
    <mergeCell ref="A356:A362"/>
    <mergeCell ref="BH38:BH44"/>
    <mergeCell ref="AC59:AC65"/>
    <mergeCell ref="BM102:BM108"/>
    <mergeCell ref="AH220:AH226"/>
    <mergeCell ref="Q381:R382"/>
    <mergeCell ref="A13:A19"/>
    <mergeCell ref="BR4:BR10"/>
    <mergeCell ref="BO130:BO136"/>
    <mergeCell ref="BM39:BM45"/>
    <mergeCell ref="BO95:BO101"/>
    <mergeCell ref="BO67:BO73"/>
    <mergeCell ref="BK339:BK345"/>
    <mergeCell ref="AH360:AH366"/>
    <mergeCell ref="BI262:BI268"/>
    <mergeCell ref="BK262:BK268"/>
    <mergeCell ref="BJ73:BJ79"/>
    <mergeCell ref="BI199:BI205"/>
    <mergeCell ref="BO354:BO360"/>
    <mergeCell ref="BI297:BI303"/>
    <mergeCell ref="BK199:BK205"/>
    <mergeCell ref="BH325:BH331"/>
    <mergeCell ref="V269:V275"/>
    <mergeCell ref="BN116:BN122"/>
    <mergeCell ref="V318:V324"/>
    <mergeCell ref="BP116:BP122"/>
    <mergeCell ref="BI136:BI142"/>
    <mergeCell ref="AF157:AF163"/>
    <mergeCell ref="A153:A159"/>
    <mergeCell ref="BK192:BK198"/>
    <mergeCell ref="L379:M379"/>
    <mergeCell ref="AC87:AC93"/>
    <mergeCell ref="A69:A75"/>
    <mergeCell ref="AH213:AH219"/>
    <mergeCell ref="BP53:BP59"/>
    <mergeCell ref="BJ360:BJ366"/>
    <mergeCell ref="BN53:BN59"/>
    <mergeCell ref="AB213:AB219"/>
    <mergeCell ref="BP109:BP115"/>
    <mergeCell ref="N379:O379"/>
    <mergeCell ref="BH248:BH254"/>
    <mergeCell ref="A41:A47"/>
    <mergeCell ref="A146:A152"/>
    <mergeCell ref="E391:F391"/>
    <mergeCell ref="AH150:AH156"/>
    <mergeCell ref="V199:V205"/>
    <mergeCell ref="BK115:BK121"/>
    <mergeCell ref="BH185:BH191"/>
    <mergeCell ref="AH374:AH376"/>
    <mergeCell ref="I384:J384"/>
    <mergeCell ref="I378:J378"/>
    <mergeCell ref="K384:L384"/>
    <mergeCell ref="BK52:BK58"/>
    <mergeCell ref="K378:L378"/>
    <mergeCell ref="AC143:AC149"/>
    <mergeCell ref="F388:G388"/>
    <mergeCell ref="M378:N378"/>
    <mergeCell ref="BH122:BH128"/>
    <mergeCell ref="BJ178:BJ184"/>
    <mergeCell ref="BH262:BH268"/>
    <mergeCell ref="BJ262:BJ268"/>
    <mergeCell ref="BT4:BT10"/>
    <mergeCell ref="AC220:AC226"/>
    <mergeCell ref="BN305:BN311"/>
    <mergeCell ref="AH45:AH51"/>
    <mergeCell ref="BO347:BO353"/>
    <mergeCell ref="BO18:BO24"/>
    <mergeCell ref="BM116:BM122"/>
    <mergeCell ref="BO214:BO220"/>
    <mergeCell ref="AB346:AB352"/>
    <mergeCell ref="AF297:AF303"/>
    <mergeCell ref="V346:V352"/>
    <mergeCell ref="BN242:BN248"/>
    <mergeCell ref="AB283:AB289"/>
    <mergeCell ref="A62:A68"/>
    <mergeCell ref="A34:A40"/>
    <mergeCell ref="BI248:BI254"/>
    <mergeCell ref="AC367:AC373"/>
    <mergeCell ref="V206:V212"/>
    <mergeCell ref="V10:V16"/>
    <mergeCell ref="AF234:AF240"/>
    <mergeCell ref="AF101:AF107"/>
    <mergeCell ref="BP277:BP283"/>
    <mergeCell ref="AH101:AH107"/>
    <mergeCell ref="BJ10:BJ16"/>
    <mergeCell ref="A363:A369"/>
    <mergeCell ref="AH73:AH79"/>
    <mergeCell ref="BP214:BP220"/>
    <mergeCell ref="AB59:AB65"/>
    <mergeCell ref="BI38:BI44"/>
    <mergeCell ref="BQ4:BQ10"/>
    <mergeCell ref="G391:H391"/>
    <mergeCell ref="BM298:BM304"/>
    <mergeCell ref="BO298:BO304"/>
    <mergeCell ref="BI80:BI86"/>
    <mergeCell ref="BM235:BM241"/>
    <mergeCell ref="AB185:AB191"/>
    <mergeCell ref="BI129:BI135"/>
    <mergeCell ref="BK129:BK135"/>
    <mergeCell ref="V255:V261"/>
    <mergeCell ref="BN361:BN367"/>
    <mergeCell ref="AF185:AF191"/>
    <mergeCell ref="BH59:BH65"/>
    <mergeCell ref="AH241:AH247"/>
    <mergeCell ref="BK73:BK79"/>
    <mergeCell ref="L382:M382"/>
    <mergeCell ref="BH199:BH205"/>
    <mergeCell ref="BP25:BP31"/>
    <mergeCell ref="V192:V198"/>
    <mergeCell ref="AF262:AF268"/>
    <mergeCell ref="AC17:AC23"/>
    <mergeCell ref="N382:O382"/>
    <mergeCell ref="BP354:BP360"/>
    <mergeCell ref="BO116:BO122"/>
    <mergeCell ref="AF31:AF37"/>
    <mergeCell ref="V80:V86"/>
    <mergeCell ref="AC157:AC163"/>
    <mergeCell ref="V129:V135"/>
    <mergeCell ref="AD381:AE381"/>
    <mergeCell ref="BO88:BO94"/>
    <mergeCell ref="BM53:BM59"/>
    <mergeCell ref="AB87:AB93"/>
    <mergeCell ref="BK360:BK366"/>
    <mergeCell ref="I387:J387"/>
    <mergeCell ref="K387:L387"/>
    <mergeCell ref="K381:L381"/>
    <mergeCell ref="BJ94:BJ100"/>
    <mergeCell ref="F385:G385"/>
    <mergeCell ref="H385:I385"/>
    <mergeCell ref="U378:V378"/>
    <mergeCell ref="AC248:AC254"/>
    <mergeCell ref="M381:N381"/>
    <mergeCell ref="BI220:BI226"/>
    <mergeCell ref="BI318:BI324"/>
    <mergeCell ref="BH346:BH352"/>
    <mergeCell ref="BH31:BH37"/>
    <mergeCell ref="AB122:AB128"/>
    <mergeCell ref="AB178:AB184"/>
    <mergeCell ref="BI157:BI163"/>
    <mergeCell ref="AB276:AB282"/>
    <mergeCell ref="BK213:BK219"/>
    <mergeCell ref="BH283:BH289"/>
    <mergeCell ref="AH234:AH240"/>
    <mergeCell ref="A90:A96"/>
    <mergeCell ref="BS4:BS10"/>
    <mergeCell ref="V276:V282"/>
    <mergeCell ref="AC304:AC310"/>
    <mergeCell ref="BN74:BN80"/>
    <mergeCell ref="BP130:BP136"/>
    <mergeCell ref="BN347:BN353"/>
    <mergeCell ref="BN18:BN24"/>
    <mergeCell ref="AF171:AF177"/>
    <mergeCell ref="BP347:BP353"/>
    <mergeCell ref="BP18:BP24"/>
    <mergeCell ref="V220:V226"/>
    <mergeCell ref="BK150:BK156"/>
    <mergeCell ref="BP67:BP73"/>
    <mergeCell ref="V24:V30"/>
    <mergeCell ref="A104:A110"/>
    <mergeCell ref="BH143:BH149"/>
    <mergeCell ref="BJ199:BJ205"/>
    <mergeCell ref="BI290:BI296"/>
    <mergeCell ref="BK290:BK296"/>
    <mergeCell ref="V311:V317"/>
    <mergeCell ref="AC241:AC247"/>
    <mergeCell ref="AH66:AH72"/>
    <mergeCell ref="BK10:BK16"/>
    <mergeCell ref="BO235:BO241"/>
    <mergeCell ref="AB367:AB373"/>
    <mergeCell ref="AC80:AC86"/>
    <mergeCell ref="BM256:BM262"/>
    <mergeCell ref="BO312:BO318"/>
    <mergeCell ref="BJ213:BJ219"/>
    <mergeCell ref="AB304:AB310"/>
    <mergeCell ref="AH262:AH268"/>
    <mergeCell ref="AB143:AB149"/>
    <mergeCell ref="BY4:BY10"/>
    <mergeCell ref="BO249:BO255"/>
    <mergeCell ref="BN11:BN17"/>
    <mergeCell ref="V213:V219"/>
    <mergeCell ref="AF199:AF205"/>
    <mergeCell ref="V262:V268"/>
    <mergeCell ref="L388:M388"/>
    <mergeCell ref="N388:O388"/>
    <mergeCell ref="BN298:BN304"/>
    <mergeCell ref="AF255:AF261"/>
    <mergeCell ref="BP298:BP304"/>
    <mergeCell ref="BI3:BI9"/>
    <mergeCell ref="AF339:AF345"/>
    <mergeCell ref="BH80:BH86"/>
    <mergeCell ref="A286:A292"/>
    <mergeCell ref="BK3:BK9"/>
    <mergeCell ref="BJ31:BJ37"/>
    <mergeCell ref="BN235:BN241"/>
    <mergeCell ref="AC269:AC275"/>
    <mergeCell ref="BP235:BP241"/>
    <mergeCell ref="BJ129:BJ135"/>
    <mergeCell ref="AH115:AH121"/>
    <mergeCell ref="BM361:BM367"/>
    <mergeCell ref="AC185:AC191"/>
    <mergeCell ref="AH290:AH296"/>
    <mergeCell ref="AC318:AC324"/>
    <mergeCell ref="BH129:BH135"/>
    <mergeCell ref="A223:A229"/>
    <mergeCell ref="F392:G392"/>
    <mergeCell ref="H392:I392"/>
    <mergeCell ref="BO25:BO31"/>
    <mergeCell ref="AB17:AB23"/>
    <mergeCell ref="N385:O385"/>
    <mergeCell ref="BN88:BN94"/>
    <mergeCell ref="U381:V381"/>
    <mergeCell ref="BP88:BP94"/>
    <mergeCell ref="BI94:BI100"/>
    <mergeCell ref="BK94:BK100"/>
    <mergeCell ref="AB248:AB254"/>
    <mergeCell ref="BH220:BH226"/>
    <mergeCell ref="BJ220:BJ226"/>
    <mergeCell ref="BP11:BP17"/>
    <mergeCell ref="B378:B379"/>
    <mergeCell ref="BI31:BI37"/>
    <mergeCell ref="A314:A320"/>
    <mergeCell ref="BK31:BK37"/>
    <mergeCell ref="V101:V107"/>
    <mergeCell ref="V52:V58"/>
    <mergeCell ref="AH3:AH9"/>
    <mergeCell ref="AF3:AF9"/>
    <mergeCell ref="V150:V156"/>
    <mergeCell ref="AC178:AC184"/>
    <mergeCell ref="AF52:AF58"/>
    <mergeCell ref="BH157:BH163"/>
    <mergeCell ref="BO109:BO115"/>
    <mergeCell ref="AB108:AB114"/>
    <mergeCell ref="BM74:BM80"/>
    <mergeCell ref="BJ157:BJ163"/>
    <mergeCell ref="BP319:BP325"/>
    <mergeCell ref="BO46:BO52"/>
    <mergeCell ref="BJ115:BJ121"/>
    <mergeCell ref="AH17:AH23"/>
    <mergeCell ref="BM88:BM94"/>
    <mergeCell ref="BH52:BH58"/>
    <mergeCell ref="AH367:AH373"/>
    <mergeCell ref="BJ108:BJ114"/>
    <mergeCell ref="BO340:BO346"/>
    <mergeCell ref="BI234:BI240"/>
    <mergeCell ref="BK234:BK240"/>
    <mergeCell ref="AC10:AC16"/>
    <mergeCell ref="B391:B392"/>
    <mergeCell ref="AB136:AB142"/>
    <mergeCell ref="BI171:BI177"/>
    <mergeCell ref="BN368:BN374"/>
    <mergeCell ref="AF192:AF198"/>
    <mergeCell ref="V241:V247"/>
    <mergeCell ref="BP368:BP374"/>
    <mergeCell ref="H382:I382"/>
    <mergeCell ref="BK171:BK177"/>
    <mergeCell ref="J382:K382"/>
    <mergeCell ref="AF80:AF86"/>
    <mergeCell ref="AF374:AF376"/>
    <mergeCell ref="AH31:AH37"/>
    <mergeCell ref="A321:A327"/>
    <mergeCell ref="A125:A131"/>
    <mergeCell ref="AF129:AF135"/>
    <mergeCell ref="AC206:AC212"/>
    <mergeCell ref="BZ4:BZ10"/>
    <mergeCell ref="AB38:AB44"/>
    <mergeCell ref="BJ339:BJ345"/>
    <mergeCell ref="BO256:BO262"/>
    <mergeCell ref="BM277:BM283"/>
    <mergeCell ref="BO333:BO339"/>
    <mergeCell ref="BJ234:BJ240"/>
    <mergeCell ref="AB325:AB331"/>
    <mergeCell ref="N392:O392"/>
    <mergeCell ref="B384:B385"/>
    <mergeCell ref="BO270:BO276"/>
    <mergeCell ref="AB164:AB170"/>
    <mergeCell ref="AB269:AB275"/>
    <mergeCell ref="V234:V240"/>
    <mergeCell ref="AB318:AB324"/>
    <mergeCell ref="AF220:AF226"/>
    <mergeCell ref="V73:V79"/>
    <mergeCell ref="AB206:AB212"/>
    <mergeCell ref="BP4:BP10"/>
    <mergeCell ref="V171:V177"/>
    <mergeCell ref="A3:A5"/>
    <mergeCell ref="A349:A355"/>
    <mergeCell ref="BM95:BM101"/>
    <mergeCell ref="M391:N391"/>
    <mergeCell ref="O391:P391"/>
    <mergeCell ref="BM32:BM38"/>
    <mergeCell ref="BI339:BI345"/>
    <mergeCell ref="A307:A313"/>
    <mergeCell ref="BH101:BH107"/>
    <mergeCell ref="AH311:AH317"/>
    <mergeCell ref="BJ52:BJ58"/>
    <mergeCell ref="BN256:BN262"/>
    <mergeCell ref="B381:B382"/>
    <mergeCell ref="BP312:BP318"/>
    <mergeCell ref="BH73:BH79"/>
    <mergeCell ref="A244:A250"/>
    <mergeCell ref="BH94:BH100"/>
    <mergeCell ref="AF353:AF359"/>
    <mergeCell ref="AH304:AH310"/>
    <mergeCell ref="AH108:AH114"/>
    <mergeCell ref="AH353:AH359"/>
    <mergeCell ref="BI255:BI261"/>
    <mergeCell ref="BK332:BK338"/>
    <mergeCell ref="BP284:BP290"/>
    <mergeCell ref="BJ66:BJ72"/>
    <mergeCell ref="AF290:AF296"/>
    <mergeCell ref="AB157:AB163"/>
    <mergeCell ref="J379:K379"/>
    <mergeCell ref="AF213:AF219"/>
    <mergeCell ref="BN109:BN115"/>
    <mergeCell ref="BN46:BN52"/>
    <mergeCell ref="BJ353:BJ359"/>
    <mergeCell ref="BI115:BI121"/>
    <mergeCell ref="BH241:BH247"/>
    <mergeCell ref="E384:F384"/>
    <mergeCell ref="E378:F378"/>
    <mergeCell ref="G378:H378"/>
    <mergeCell ref="BI52:BI58"/>
    <mergeCell ref="BK108:BK114"/>
    <mergeCell ref="BH178:BH184"/>
    <mergeCell ref="AC199:AC205"/>
    <mergeCell ref="BN340:BN346"/>
    <mergeCell ref="BP340:BP346"/>
    <mergeCell ref="V290:V296"/>
    <mergeCell ref="BH255:BH261"/>
    <mergeCell ref="AF10:AF16"/>
    <mergeCell ref="BK45:BK51"/>
    <mergeCell ref="BM18:BM24"/>
    <mergeCell ref="AF66:AF72"/>
    <mergeCell ref="V115:V121"/>
    <mergeCell ref="AC136:AC142"/>
    <mergeCell ref="BM368:BM374"/>
    <mergeCell ref="AH332:AH338"/>
    <mergeCell ref="BJ171:BJ177"/>
    <mergeCell ref="BM214:BM220"/>
    <mergeCell ref="BP81:BP87"/>
    <mergeCell ref="AH38:AH44"/>
    <mergeCell ref="AC213:AC219"/>
    <mergeCell ref="BM11:BM17"/>
    <mergeCell ref="BO11:BO17"/>
    <mergeCell ref="BM109:BM115"/>
    <mergeCell ref="X385:Y385"/>
    <mergeCell ref="AB262:AB268"/>
    <mergeCell ref="BI192:BI198"/>
    <mergeCell ref="B387:B388"/>
    <mergeCell ref="BH318:BH324"/>
    <mergeCell ref="AB101:AB107"/>
    <mergeCell ref="BN277:BN283"/>
    <mergeCell ref="BN333:BN339"/>
    <mergeCell ref="BP228:BP234"/>
    <mergeCell ref="AC227:AC233"/>
    <mergeCell ref="A342:A348"/>
    <mergeCell ref="AF150:AF156"/>
    <mergeCell ref="BP333:BP339"/>
    <mergeCell ref="AC276:AC282"/>
    <mergeCell ref="J396:K396"/>
    <mergeCell ref="V3:V9"/>
    <mergeCell ref="BK38:BK44"/>
    <mergeCell ref="AH325:AH331"/>
    <mergeCell ref="A181:A187"/>
    <mergeCell ref="BN270:BN276"/>
    <mergeCell ref="AF94:AF100"/>
    <mergeCell ref="BP270:BP276"/>
    <mergeCell ref="BP221:BP227"/>
    <mergeCell ref="AH94:AH100"/>
    <mergeCell ref="AC164:AC170"/>
    <mergeCell ref="V339:V345"/>
    <mergeCell ref="BN214:BN220"/>
    <mergeCell ref="BM4:BM10"/>
    <mergeCell ref="BK227:BK233"/>
    <mergeCell ref="BK325:BK331"/>
    <mergeCell ref="BJ255:BJ261"/>
    <mergeCell ref="BK164:BK170"/>
    <mergeCell ref="BH339:BH345"/>
    <mergeCell ref="G384:H384"/>
    <mergeCell ref="BJ290:BJ296"/>
    <mergeCell ref="BM291:BM297"/>
    <mergeCell ref="BO291:BO297"/>
    <mergeCell ref="AB241:AB247"/>
    <mergeCell ref="AC332:AC338"/>
    <mergeCell ref="A118:A124"/>
    <mergeCell ref="X379:Y379"/>
    <mergeCell ref="AH122:AH128"/>
    <mergeCell ref="AC283:AC289"/>
    <mergeCell ref="BM228:BM234"/>
    <mergeCell ref="V94:V100"/>
    <mergeCell ref="AB227:AB233"/>
    <mergeCell ref="BN354:BN360"/>
    <mergeCell ref="BI66:BI72"/>
    <mergeCell ref="A174:A180"/>
    <mergeCell ref="V87:V93"/>
    <mergeCell ref="V31:V37"/>
    <mergeCell ref="BI360:BI366"/>
    <mergeCell ref="E387:F387"/>
    <mergeCell ref="AC150:AC156"/>
    <mergeCell ref="G387:H387"/>
    <mergeCell ref="O378:P378"/>
    <mergeCell ref="G381:H381"/>
    <mergeCell ref="I381:J381"/>
    <mergeCell ref="BM46:BM52"/>
    <mergeCell ref="BI353:BI359"/>
    <mergeCell ref="A265:A271"/>
    <mergeCell ref="BH115:BH121"/>
    <mergeCell ref="BK353:BK359"/>
    <mergeCell ref="BH87:BH93"/>
    <mergeCell ref="BJ87:BJ93"/>
    <mergeCell ref="A258:A264"/>
    <mergeCell ref="AF311:AF317"/>
    <mergeCell ref="BM319:BM325"/>
    <mergeCell ref="BJ3:BJ9"/>
    <mergeCell ref="BO319:BO325"/>
    <mergeCell ref="BI213:BI219"/>
    <mergeCell ref="BO4:BO10"/>
    <mergeCell ref="V164:V170"/>
    <mergeCell ref="BO368:BO374"/>
    <mergeCell ref="BH24:BH30"/>
    <mergeCell ref="AC45:AC51"/>
    <mergeCell ref="BN130:BN136"/>
    <mergeCell ref="AB171:AB177"/>
    <mergeCell ref="BI150:BI156"/>
    <mergeCell ref="AC297:AC303"/>
    <mergeCell ref="BN67:BN73"/>
    <mergeCell ref="A83:A89"/>
    <mergeCell ref="H379:I379"/>
    <mergeCell ref="BI73:BI79"/>
    <mergeCell ref="V17:V23"/>
    <mergeCell ref="V367:V373"/>
    <mergeCell ref="BI10:BI16"/>
    <mergeCell ref="BK66:BK72"/>
    <mergeCell ref="BH192:BH198"/>
    <mergeCell ref="BJ192:BJ198"/>
    <mergeCell ref="BI283:BI289"/>
    <mergeCell ref="BH311:BH317"/>
    <mergeCell ref="BK283:BK289"/>
    <mergeCell ref="A251:A257"/>
    <mergeCell ref="AF59:AF65"/>
    <mergeCell ref="V304:V310"/>
    <mergeCell ref="AC101:AC107"/>
    <mergeCell ref="AH59:AH65"/>
    <mergeCell ref="AC234:AC240"/>
    <mergeCell ref="AC374:AC376"/>
    <mergeCell ref="BP102:BP108"/>
    <mergeCell ref="BO228:BO234"/>
    <mergeCell ref="AF143:AF149"/>
    <mergeCell ref="A139:A145"/>
    <mergeCell ref="BM130:BM136"/>
    <mergeCell ref="AC73:AC79"/>
    <mergeCell ref="A55:A61"/>
    <mergeCell ref="A188:A194"/>
    <mergeCell ref="BP39:BP45"/>
    <mergeCell ref="AB199:AB205"/>
    <mergeCell ref="Q387:R388"/>
    <mergeCell ref="AB297:AB303"/>
    <mergeCell ref="J388:K388"/>
    <mergeCell ref="X382:Y382"/>
    <mergeCell ref="BJ248:BJ254"/>
    <mergeCell ref="AH346:AH352"/>
    <mergeCell ref="A202:A208"/>
    <mergeCell ref="BN291:BN297"/>
    <mergeCell ref="AF115:AF121"/>
    <mergeCell ref="V360:V366"/>
    <mergeCell ref="BP242:BP248"/>
    <mergeCell ref="BP291:BP297"/>
    <mergeCell ref="AF283:AF289"/>
    <mergeCell ref="A279:A285"/>
    <mergeCell ref="V332:V338"/>
    <mergeCell ref="AH283:AH289"/>
    <mergeCell ref="BN228:BN234"/>
    <mergeCell ref="BJ24:BJ30"/>
    <mergeCell ref="BM25:BM31"/>
    <mergeCell ref="AC262:AC268"/>
    <mergeCell ref="AH87:AH93"/>
    <mergeCell ref="BM354:BM360"/>
    <mergeCell ref="A216:A222"/>
    <mergeCell ref="J385:K385"/>
    <mergeCell ref="L385:M385"/>
    <mergeCell ref="BK185:BK191"/>
    <mergeCell ref="BH360:BH366"/>
    <mergeCell ref="BH10:BH16"/>
    <mergeCell ref="BJ311:BJ317"/>
    <mergeCell ref="AC353:AC359"/>
    <mergeCell ref="A335:A341"/>
    <mergeCell ref="BK122:BK128"/>
    <mergeCell ref="AH143:AH149"/>
    <mergeCell ref="BM249:BM255"/>
    <mergeCell ref="BO305:BO311"/>
    <mergeCell ref="BJ325:BJ331"/>
    <mergeCell ref="BI87:BI93"/>
    <mergeCell ref="BK87:BK93"/>
    <mergeCell ref="L396:M396"/>
    <mergeCell ref="V108:V114"/>
    <mergeCell ref="BH213:BH219"/>
    <mergeCell ref="BN4:BN10"/>
    <mergeCell ref="BO242:BO248"/>
    <mergeCell ref="BN319:BN325"/>
    <mergeCell ref="BI24:BI30"/>
    <mergeCell ref="BK24:BK30"/>
    <mergeCell ref="V45:V51"/>
    <mergeCell ref="BW4:BW10"/>
    <mergeCell ref="AF45:AF51"/>
    <mergeCell ref="AC171:AC177"/>
    <mergeCell ref="BM347:BM353"/>
    <mergeCell ref="BH150:BH156"/>
    <mergeCell ref="BM67:BM73"/>
    <mergeCell ref="Q384:R385"/>
    <mergeCell ref="I395:J395"/>
    <mergeCell ref="BI311:BI317"/>
    <mergeCell ref="BH108:BH114"/>
    <mergeCell ref="K395:L395"/>
    <mergeCell ref="AF332:AF338"/>
    <mergeCell ref="BK311:BK317"/>
    <mergeCell ref="BK367:BK373"/>
    <mergeCell ref="BM340:BM346"/>
    <mergeCell ref="V185:V191"/>
    <mergeCell ref="BH45:BH51"/>
    <mergeCell ref="AC66:AC72"/>
    <mergeCell ref="AH227:AH233"/>
    <mergeCell ref="AB192:AB198"/>
    <mergeCell ref="AC3:AC9"/>
    <mergeCell ref="AB80:AB86"/>
    <mergeCell ref="BJ38:BJ44"/>
    <mergeCell ref="AB374:AB376"/>
    <mergeCell ref="AB129:AB135"/>
    <mergeCell ref="BO102:BO108"/>
    <mergeCell ref="BO74:BO80"/>
    <mergeCell ref="AB73:AB79"/>
    <mergeCell ref="BV4:BV10"/>
    <mergeCell ref="V38:V44"/>
    <mergeCell ref="BO39:BO45"/>
    <mergeCell ref="AF24:AF30"/>
    <mergeCell ref="AH24:AH30"/>
    <mergeCell ref="BJ80:BJ86"/>
    <mergeCell ref="BI206:BI212"/>
    <mergeCell ref="BK206:BK212"/>
    <mergeCell ref="BI304:BI310"/>
    <mergeCell ref="AB360:AB366"/>
    <mergeCell ref="BH332:BH338"/>
    <mergeCell ref="BN123:BN129"/>
    <mergeCell ref="V325:V331"/>
    <mergeCell ref="BK304:BK310"/>
    <mergeCell ref="BP123:BP129"/>
    <mergeCell ref="AC255:AC261"/>
    <mergeCell ref="AF360:AF366"/>
    <mergeCell ref="BJ332:BJ338"/>
    <mergeCell ref="BI143:BI149"/>
    <mergeCell ref="L392:M392"/>
    <mergeCell ref="AF164:AF170"/>
    <mergeCell ref="A160:A166"/>
    <mergeCell ref="BK143:BK149"/>
    <mergeCell ref="AC290:AC296"/>
    <mergeCell ref="BN60:BN66"/>
    <mergeCell ref="A76:A82"/>
    <mergeCell ref="A209:A215"/>
    <mergeCell ref="BM270:BM276"/>
    <mergeCell ref="AC94:AC100"/>
    <mergeCell ref="BP60:BP66"/>
    <mergeCell ref="AB220:AB226"/>
    <mergeCell ref="BK297:BK303"/>
    <mergeCell ref="BM326:BM332"/>
    <mergeCell ref="BO326:BO332"/>
    <mergeCell ref="AC31:AC37"/>
    <mergeCell ref="AH157:AH163"/>
    <mergeCell ref="BM263:BM269"/>
    <mergeCell ref="BO263:BO269"/>
    <mergeCell ref="BN25:BN31"/>
    <mergeCell ref="I391:J391"/>
    <mergeCell ref="AD378:AE378"/>
    <mergeCell ref="AF17:AF23"/>
    <mergeCell ref="BH269:BH275"/>
    <mergeCell ref="BJ269:BJ275"/>
    <mergeCell ref="BJ318:BJ324"/>
    <mergeCell ref="BJ185:BJ191"/>
    <mergeCell ref="AH52:AH58"/>
    <mergeCell ref="BN312:BN318"/>
    <mergeCell ref="M384:N384"/>
    <mergeCell ref="H388:I388"/>
    <mergeCell ref="O384:P384"/>
    <mergeCell ref="BJ122:BJ128"/>
    <mergeCell ref="BM123:BM129"/>
    <mergeCell ref="BI332:BI338"/>
    <mergeCell ref="AB353:AB359"/>
    <mergeCell ref="BI17:BI23"/>
    <mergeCell ref="V353:V359"/>
    <mergeCell ref="A300:A306"/>
    <mergeCell ref="BJ45:BJ51"/>
    <mergeCell ref="BX4:BX10"/>
    <mergeCell ref="AF73:AF79"/>
    <mergeCell ref="BN249:BN255"/>
    <mergeCell ref="BP305:BP311"/>
    <mergeCell ref="AB290:AB296"/>
    <mergeCell ref="V122:V128"/>
    <mergeCell ref="AF248:AF254"/>
    <mergeCell ref="A237:A243"/>
    <mergeCell ref="AF346:AF352"/>
    <mergeCell ref="AH297:AH303"/>
    <mergeCell ref="AC24:AC30"/>
    <mergeCell ref="A6:A12"/>
    <mergeCell ref="BP46:BP52"/>
  </mergeCells>
  <conditionalFormatting sqref="E2:E182">
    <cfRule type="cellIs" priority="17" operator="equal" dxfId="51">
      <formula>1</formula>
    </cfRule>
  </conditionalFormatting>
  <conditionalFormatting sqref="E3:E182">
    <cfRule type="cellIs" priority="16" operator="greaterThan" dxfId="114">
      <formula>1</formula>
    </cfRule>
  </conditionalFormatting>
  <conditionalFormatting sqref="E184:E377">
    <cfRule type="cellIs" priority="47" operator="greaterThan" dxfId="114">
      <formula>1</formula>
    </cfRule>
    <cfRule type="cellIs" priority="48" operator="equal" dxfId="51">
      <formula>1</formula>
    </cfRule>
  </conditionalFormatting>
  <conditionalFormatting sqref="F3:F182">
    <cfRule type="cellIs" priority="15" operator="greaterThan" dxfId="1">
      <formula>0</formula>
    </cfRule>
  </conditionalFormatting>
  <conditionalFormatting sqref="F184:F377">
    <cfRule type="cellIs" priority="46" operator="greaterThan" dxfId="1">
      <formula>0</formula>
    </cfRule>
  </conditionalFormatting>
  <conditionalFormatting sqref="G3:G377">
    <cfRule type="cellIs" priority="13" operator="greaterThan" dxfId="168">
      <formula>2</formula>
    </cfRule>
    <cfRule type="cellIs" priority="14" operator="between" dxfId="167" stopIfTrue="1">
      <formula>0.1</formula>
      <formula>1.1</formula>
    </cfRule>
    <cfRule type="cellIs" priority="2" operator="equal" dxfId="28">
      <formula>2</formula>
    </cfRule>
  </conditionalFormatting>
  <conditionalFormatting sqref="H3:H377">
    <cfRule type="cellIs" priority="12" operator="greaterThan" dxfId="165">
      <formula>0.1</formula>
    </cfRule>
  </conditionalFormatting>
  <conditionalFormatting sqref="I3:I5">
    <cfRule type="cellIs" priority="1" operator="equal" dxfId="162">
      <formula>1</formula>
    </cfRule>
  </conditionalFormatting>
  <conditionalFormatting sqref="I3:I377">
    <cfRule type="cellIs" priority="11" operator="greaterThan" dxfId="163">
      <formula>1.1</formula>
    </cfRule>
  </conditionalFormatting>
  <conditionalFormatting sqref="I9:I377">
    <cfRule type="cellIs" priority="27" operator="equal" dxfId="162">
      <formula>1</formula>
    </cfRule>
  </conditionalFormatting>
  <conditionalFormatting sqref="J3:J377">
    <cfRule type="cellIs" priority="10" operator="greaterThan" dxfId="91">
      <formula>0.1</formula>
    </cfRule>
  </conditionalFormatting>
  <conditionalFormatting sqref="K3:K377">
    <cfRule type="cellIs" priority="9" operator="greaterThan" dxfId="63">
      <formula>0.1</formula>
    </cfRule>
  </conditionalFormatting>
  <conditionalFormatting sqref="L3:L377">
    <cfRule type="cellIs" priority="6" operator="greaterThan" dxfId="159">
      <formula>0.1</formula>
    </cfRule>
  </conditionalFormatting>
  <conditionalFormatting sqref="M3:M377">
    <cfRule type="cellIs" priority="7" operator="greaterThan" dxfId="158" stopIfTrue="1">
      <formula>0</formula>
    </cfRule>
    <cfRule type="cellIs" priority="5" operator="greaterThan" dxfId="157">
      <formula>0</formula>
    </cfRule>
  </conditionalFormatting>
  <conditionalFormatting sqref="N3:N377">
    <cfRule type="cellIs" priority="8" operator="greaterThan" dxfId="46">
      <formula>0.1</formula>
    </cfRule>
  </conditionalFormatting>
  <conditionalFormatting sqref="O3:O375">
    <cfRule type="cellIs" priority="24" operator="greaterThan" dxfId="94">
      <formula>1.1</formula>
    </cfRule>
  </conditionalFormatting>
  <conditionalFormatting sqref="P3:P376">
    <cfRule type="cellIs" priority="4" operator="greaterThan" dxfId="38">
      <formula>100</formula>
    </cfRule>
    <cfRule type="cellIs" priority="3" operator="between" dxfId="152">
      <formula>85</formula>
      <formula>100</formula>
    </cfRule>
  </conditionalFormatting>
  <conditionalFormatting sqref="Q3:Q376">
    <cfRule type="cellIs" priority="23" operator="lessThan" dxfId="152" stopIfTrue="1">
      <formula>80</formula>
    </cfRule>
  </conditionalFormatting>
  <conditionalFormatting sqref="Q3:Q377">
    <cfRule type="cellIs" priority="22" operator="greaterThanOrEqual" dxfId="145">
      <formula>80</formula>
    </cfRule>
  </conditionalFormatting>
  <conditionalFormatting sqref="R3:R375">
    <cfRule type="cellIs" priority="19" operator="equal" dxfId="34">
      <formula>0</formula>
    </cfRule>
  </conditionalFormatting>
  <conditionalFormatting sqref="R3:R376">
    <cfRule type="cellIs" priority="18" operator="equal" stopIfTrue="1">
      <formula>""</formula>
    </cfRule>
  </conditionalFormatting>
  <conditionalFormatting sqref="T3:T376">
    <cfRule type="cellIs" priority="20" operator="between" dxfId="37" stopIfTrue="1">
      <formula>5</formula>
      <formula>15</formula>
    </cfRule>
    <cfRule type="cellIs" priority="21" operator="greaterThan" dxfId="148">
      <formula>15</formula>
    </cfRule>
  </conditionalFormatting>
  <conditionalFormatting sqref="U3:U376">
    <cfRule type="cellIs" priority="25" operator="lessThan" dxfId="64">
      <formula>1900</formula>
    </cfRule>
  </conditionalFormatting>
  <conditionalFormatting sqref="W3:W376">
    <cfRule type="cellIs" priority="64" operator="greaterThan" dxfId="137">
      <formula>0</formula>
    </cfRule>
  </conditionalFormatting>
  <conditionalFormatting sqref="W3:W377">
    <cfRule type="cellIs" priority="63" operator="lessThan" dxfId="145">
      <formula>0</formula>
    </cfRule>
  </conditionalFormatting>
  <conditionalFormatting sqref="X3:X376 AA3:AA376">
    <cfRule type="cellIs" priority="53" operator="equal">
      <formula>""</formula>
    </cfRule>
    <cfRule type="cellIs" priority="76" operator="greaterThan" dxfId="139" stopIfTrue="1">
      <formula>80</formula>
    </cfRule>
    <cfRule type="cellIs" priority="75" operator="between" dxfId="24">
      <formula>45</formula>
      <formula>80</formula>
    </cfRule>
  </conditionalFormatting>
  <conditionalFormatting sqref="Y3:AA376">
    <cfRule type="cellIs" priority="73" operator="between" dxfId="24" stopIfTrue="1">
      <formula>1</formula>
      <formula>44</formula>
    </cfRule>
    <cfRule type="cellIs" priority="74" operator="greaterThan" dxfId="64">
      <formula>44</formula>
    </cfRule>
  </conditionalFormatting>
  <conditionalFormatting sqref="AB3:AB375">
    <cfRule type="cellIs" priority="68" operator="between" dxfId="65">
      <formula>0</formula>
      <formula>80</formula>
    </cfRule>
    <cfRule type="cellIs" priority="69" operator="greaterThan" dxfId="139">
      <formula>80</formula>
    </cfRule>
  </conditionalFormatting>
  <conditionalFormatting sqref="AC3:AC375">
    <cfRule type="cellIs" priority="66" operator="between" dxfId="138">
      <formula>1</formula>
      <formula>43</formula>
    </cfRule>
    <cfRule type="cellIs" priority="67" operator="greaterThan" dxfId="137" stopIfTrue="1">
      <formula>42</formula>
    </cfRule>
  </conditionalFormatting>
  <conditionalFormatting sqref="AD3:AD377">
    <cfRule type="cellIs" priority="65" operator="greaterThan" dxfId="91">
      <formula>0</formula>
    </cfRule>
  </conditionalFormatting>
  <conditionalFormatting sqref="AE3:AE323">
    <cfRule type="cellIs" priority="51" operator="greaterThan" dxfId="34">
      <formula>0</formula>
    </cfRule>
  </conditionalFormatting>
  <conditionalFormatting sqref="AE334">
    <cfRule type="cellIs" priority="26" operator="greaterThan" dxfId="34">
      <formula>0</formula>
    </cfRule>
  </conditionalFormatting>
  <conditionalFormatting sqref="AE336">
    <cfRule type="cellIs" priority="50" operator="greaterThan" dxfId="34">
      <formula>0</formula>
    </cfRule>
  </conditionalFormatting>
  <conditionalFormatting sqref="AE340">
    <cfRule type="cellIs" priority="49" operator="greaterThan" dxfId="34">
      <formula>0</formula>
    </cfRule>
  </conditionalFormatting>
  <conditionalFormatting sqref="AI1:AI1048576">
    <cfRule type="cellIs" priority="30" operator="greaterThan" dxfId="128">
      <formula>0</formula>
    </cfRule>
    <cfRule type="cellIs" priority="29" operator="lessThan" dxfId="57">
      <formula>0</formula>
    </cfRule>
  </conditionalFormatting>
  <conditionalFormatting sqref="AJ3:AJ377">
    <cfRule type="cellIs" priority="31" operator="greaterThan" dxfId="129">
      <formula>2</formula>
    </cfRule>
    <cfRule type="cellIs" priority="32" operator="greaterThan" dxfId="128">
      <formula>0</formula>
    </cfRule>
  </conditionalFormatting>
  <pageMargins left="0.75" right="0.75" top="1" bottom="1" header="0.5" footer="0.5"/>
  <pageSetup orientation="portrait" horizontalDpi="0" verticalDpi="0"/>
</worksheet>
</file>

<file path=xl/worksheets/sheet5.xml><?xml version="1.0" encoding="utf-8"?>
<worksheet xmlns="http://schemas.openxmlformats.org/spreadsheetml/2006/main">
  <sheetPr>
    <tabColor theme="5" tint="-0.249977111117893"/>
    <outlinePr summaryBelow="1" summaryRight="1"/>
    <pageSetUpPr/>
  </sheetPr>
  <dimension ref="A1:AV1048576"/>
  <sheetViews>
    <sheetView topLeftCell="U1" workbookViewId="0">
      <selection activeCell="AP5" sqref="AP5"/>
    </sheetView>
  </sheetViews>
  <sheetFormatPr baseColWidth="8" defaultColWidth="10.97265625" defaultRowHeight="15"/>
  <cols>
    <col width="4.19140625" customWidth="1" style="37" min="2" max="2"/>
    <col width="4.68359375" customWidth="1" style="37" min="3" max="3"/>
    <col width="4.19140625" customWidth="1" style="37" min="4" max="5"/>
    <col width="2.33984375" customWidth="1" style="37" min="6" max="6"/>
    <col width="3.69921875" customWidth="1" style="37" min="7" max="8"/>
    <col width="2.8359375" customWidth="1" style="37" min="9" max="9"/>
    <col width="4.19140625" customWidth="1" style="37" min="10" max="10"/>
    <col width="2.33984375" customWidth="1" style="216" min="11" max="11"/>
    <col width="4.3125" customWidth="1" style="37" min="12" max="12"/>
    <col width="4.80859375" customWidth="1" style="37" min="13" max="14"/>
    <col hidden="1" width="6.28515625" customWidth="1" style="37" min="15" max="15"/>
    <col hidden="1" width="5.79296875" customWidth="1" style="37" min="16" max="16"/>
    <col width="4.19140625" customWidth="1" style="37" min="17" max="17"/>
    <col width="4.80859375" customWidth="1" style="37" min="18" max="25"/>
    <col width="5.546875" customWidth="1" style="37" min="26" max="26"/>
    <col width="2.33984375" customWidth="1" style="45" min="27" max="27"/>
    <col width="7.765625" customWidth="1" style="37" min="28" max="36"/>
    <col width="2.8359375" customWidth="1" style="79" min="37" max="37"/>
    <col width="76.328125" customWidth="1" style="37" min="40" max="40"/>
    <col width="8.875" customWidth="1" style="37" min="41" max="41"/>
    <col width="70.28515625" customWidth="1" style="37" min="42" max="42"/>
    <col width="2.8359375" customWidth="1" style="79" min="43" max="43"/>
    <col width="8.875" customWidth="1" style="79" min="44" max="44"/>
    <col width="55.48828125" customWidth="1" style="37" min="47" max="47"/>
    <col width="55.12109375" customWidth="1" style="37" min="48" max="48"/>
    <col width="2.95703125" customWidth="1" style="37" min="49" max="49"/>
  </cols>
  <sheetData>
    <row r="1" ht="17.1" customHeight="1" s="37">
      <c r="A1" s="12" t="n"/>
      <c r="B1" s="290" t="inlineStr">
        <is>
          <t>LX</t>
        </is>
      </c>
      <c r="C1" s="290" t="inlineStr">
        <is>
          <t>IM</t>
        </is>
      </c>
      <c r="D1" s="290" t="inlineStr">
        <is>
          <t>LR</t>
        </is>
      </c>
      <c r="E1" s="290" t="inlineStr">
        <is>
          <t>MC</t>
        </is>
      </c>
      <c r="F1" s="45" t="n"/>
      <c r="G1" s="290" t="inlineStr">
        <is>
          <t>LX</t>
        </is>
      </c>
      <c r="H1" s="290" t="inlineStr">
        <is>
          <t>IM</t>
        </is>
      </c>
      <c r="I1" s="290" t="inlineStr">
        <is>
          <t>LR</t>
        </is>
      </c>
      <c r="J1" s="290" t="inlineStr">
        <is>
          <t>MC</t>
        </is>
      </c>
      <c r="L1" s="222" t="inlineStr">
        <is>
          <t>IM|LX</t>
        </is>
      </c>
      <c r="M1" s="222" t="inlineStr">
        <is>
          <t>LR</t>
        </is>
      </c>
      <c r="N1" s="222" t="inlineStr">
        <is>
          <t>MC</t>
        </is>
      </c>
      <c r="O1" s="450" t="inlineStr">
        <is>
          <t>AW</t>
        </is>
      </c>
      <c r="P1" s="450" t="inlineStr">
        <is>
          <t>MG</t>
        </is>
      </c>
      <c r="Q1" s="83" t="n"/>
      <c r="R1" s="148" t="n"/>
      <c r="S1" s="148" t="inlineStr">
        <is>
          <t>S</t>
        </is>
      </c>
      <c r="T1" s="148" t="inlineStr">
        <is>
          <t>M</t>
        </is>
      </c>
      <c r="U1" s="450" t="inlineStr">
        <is>
          <t>T</t>
        </is>
      </c>
      <c r="V1" s="450" t="inlineStr">
        <is>
          <t>W</t>
        </is>
      </c>
      <c r="W1" s="450" t="inlineStr">
        <is>
          <t>Th</t>
        </is>
      </c>
      <c r="X1" s="450" t="inlineStr">
        <is>
          <t>F</t>
        </is>
      </c>
      <c r="Y1" s="450" t="inlineStr">
        <is>
          <t>S</t>
        </is>
      </c>
      <c r="Z1" s="450" t="inlineStr">
        <is>
          <t>∑</t>
        </is>
      </c>
      <c r="AF1" s="459" t="inlineStr">
        <is>
          <t>f694</t>
        </is>
      </c>
      <c r="AL1" s="320" t="inlineStr">
        <is>
          <t>m5x2</t>
        </is>
      </c>
      <c r="AM1" s="320" t="n"/>
      <c r="AN1" s="320" t="inlineStr">
        <is>
          <t>Review of the last week</t>
        </is>
      </c>
      <c r="AO1" s="320" t="n"/>
      <c r="AP1" s="320" t="inlineStr">
        <is>
          <t xml:space="preserve">What does success look like next week? </t>
        </is>
      </c>
      <c r="AQ1" s="307" t="n"/>
      <c r="AR1" s="307" t="n"/>
      <c r="AS1" s="519" t="n"/>
    </row>
    <row r="2" ht="30" customHeight="1" s="37">
      <c r="A2" s="12" t="n"/>
      <c r="B2" s="445" t="inlineStr">
        <is>
          <t>Updates (30分)</t>
        </is>
      </c>
      <c r="F2" s="45" t="n"/>
      <c r="G2" s="523" t="inlineStr">
        <is>
          <t>1|1 (1:1)</t>
        </is>
      </c>
      <c r="L2" s="445" t="inlineStr">
        <is>
          <t xml:space="preserve">Execution Tracking </t>
        </is>
      </c>
      <c r="Q2" s="83" t="n"/>
      <c r="AB2" s="450" t="inlineStr">
        <is>
          <t xml:space="preserve">IM
</t>
        </is>
      </c>
      <c r="AC2" s="450" t="inlineStr">
        <is>
          <t>MC</t>
        </is>
      </c>
      <c r="AD2" s="450" t="inlineStr">
        <is>
          <t>LR</t>
        </is>
      </c>
      <c r="AE2" s="450" t="inlineStr">
        <is>
          <t xml:space="preserve">r202 </t>
        </is>
      </c>
      <c r="AF2" s="450" t="inlineStr">
        <is>
          <t>Notes</t>
        </is>
      </c>
      <c r="AG2" s="450" t="inlineStr">
        <is>
          <t xml:space="preserve"># Participate </t>
        </is>
      </c>
      <c r="AH2" s="450" t="inlineStr">
        <is>
          <t xml:space="preserve">Rating </t>
        </is>
      </c>
      <c r="AI2" s="450" t="inlineStr">
        <is>
          <t xml:space="preserve">Weekly Updates </t>
        </is>
      </c>
      <c r="AJ2" s="450" t="inlineStr">
        <is>
          <t>Thing</t>
        </is>
      </c>
      <c r="AL2" s="572" t="n">
        <v>651</v>
      </c>
      <c r="AM2" s="572" t="n"/>
      <c r="AO2" s="42" t="n"/>
      <c r="AS2" s="573" t="n"/>
      <c r="AT2" s="42" t="n"/>
    </row>
    <row r="3" ht="33.95" customHeight="1" s="37">
      <c r="A3" s="12" t="n">
        <v>1.1</v>
      </c>
      <c r="C3" s="335" t="n"/>
      <c r="F3" s="45" t="n"/>
      <c r="G3" s="335" t="n"/>
      <c r="H3" s="335" t="n"/>
      <c r="Q3" s="83" t="n"/>
      <c r="R3" s="450" t="n">
        <v>1.1</v>
      </c>
      <c r="Z3" s="450">
        <f>SUM(S3:Y3)</f>
        <v/>
      </c>
      <c r="AI3" s="211" t="n"/>
      <c r="AM3" s="445" t="inlineStr">
        <is>
          <t>MA</t>
        </is>
      </c>
      <c r="AN3" s="450" t="inlineStr">
        <is>
          <t xml:space="preserve">Kept bringing open units down despite the off season. </t>
        </is>
      </c>
      <c r="AO3" s="42" t="n"/>
      <c r="AP3" s="450" t="inlineStr">
        <is>
          <t xml:space="preserve">1. Progress with hiring 
2. Continue to bring down applications
3. 2 KN 47 Leases signed. </t>
        </is>
      </c>
      <c r="AS3" s="573" t="n"/>
      <c r="AT3" s="42" t="n"/>
    </row>
    <row r="4" ht="33.95" customHeight="1" s="37">
      <c r="A4" s="12">
        <f>A3+0.1</f>
        <v/>
      </c>
      <c r="F4" s="45" t="n"/>
      <c r="Q4" s="83" t="n"/>
      <c r="R4" s="450" t="n">
        <v>1.2</v>
      </c>
      <c r="Z4" s="450">
        <f>SUM(S4:Y4)</f>
        <v/>
      </c>
      <c r="AI4" s="211" t="n"/>
      <c r="AM4" s="445" t="inlineStr">
        <is>
          <t>MA</t>
        </is>
      </c>
      <c r="AN4" s="450" t="inlineStr">
        <is>
          <t xml:space="preserve">1. One kn47 lease signed, behind target, though top of funnel looks healthy
2.  We got to offer out stage for the leasing specialist, which I think is great. 
3. Portfolio total is now at 151, but I think we should count all of March as well. 
</t>
        </is>
      </c>
      <c r="AO4" s="42" t="n"/>
      <c r="AP4" s="472" t="inlineStr">
        <is>
          <t xml:space="preserve">1. Roadmaps are not awful. 
2. We have realistic goals for Q1.
3. We're in a good position for tc68. 
4. Progress on roles and responsibilities. </t>
        </is>
      </c>
      <c r="AQ4" s="308" t="n"/>
      <c r="AR4" s="308" t="n"/>
      <c r="AS4" s="573" t="n"/>
      <c r="AT4" s="42" t="n"/>
    </row>
    <row r="5" ht="33.95" customHeight="1" s="37">
      <c r="A5" s="12">
        <f>A4+0.1</f>
        <v/>
      </c>
      <c r="F5" s="45" t="n"/>
      <c r="G5" s="38" t="n"/>
      <c r="Q5" s="83" t="n"/>
      <c r="R5" s="450" t="n">
        <v>1.3</v>
      </c>
      <c r="Z5" s="450">
        <f>SUM(S5:Y5)</f>
        <v/>
      </c>
      <c r="AI5" s="211" t="n"/>
      <c r="AM5" s="445" t="inlineStr">
        <is>
          <t>EE</t>
        </is>
      </c>
      <c r="AN5" s="450" t="inlineStr">
        <is>
          <t xml:space="preserve">1. Roadmaps were pretty good, and while I haven't had all the followups done, at least they are happening. 
2. We are on path for the 
3. Hit all of the goals </t>
        </is>
      </c>
      <c r="AO5" s="42" t="n"/>
      <c r="AP5" s="42" t="inlineStr">
        <is>
          <t xml:space="preserve">1. Roadmaps are locked with a reporting cadence that I can check on. 
2. Continue to make progress with roles and responsibilities. (Jesus + Stefanie)
3. We are on track for occupancy progress at kn47 </t>
        </is>
      </c>
      <c r="AQ5" s="308" t="n"/>
      <c r="AR5" s="308" t="n"/>
      <c r="AS5" s="573" t="n"/>
      <c r="AT5" s="42" t="n"/>
    </row>
    <row r="6" ht="33.95" customHeight="1" s="37">
      <c r="A6" s="12">
        <f>A5+0.1</f>
        <v/>
      </c>
      <c r="F6" s="45" t="n"/>
      <c r="G6" s="38" t="n"/>
      <c r="Q6" s="83" t="n"/>
      <c r="R6" s="450" t="n">
        <v>1.4</v>
      </c>
      <c r="Z6" s="450">
        <f>SUM(S6:Y6)</f>
        <v/>
      </c>
      <c r="AI6" s="293" t="n"/>
      <c r="AL6" s="574" t="n">
        <v>631</v>
      </c>
      <c r="AM6" s="574" t="inlineStr">
        <is>
          <t>EE</t>
        </is>
      </c>
      <c r="AN6" s="450" t="inlineStr">
        <is>
          <t xml:space="preserve">1. We have a soft commitment for $10m </t>
        </is>
      </c>
      <c r="AO6" s="42" t="n"/>
      <c r="AP6" s="42" t="n"/>
      <c r="AQ6" s="308" t="n"/>
      <c r="AR6" s="308" t="n"/>
      <c r="AS6" s="305" t="n"/>
      <c r="AT6" s="42" t="n"/>
    </row>
    <row r="7" ht="33.95" customHeight="1" s="37">
      <c r="A7" s="12">
        <f>A3+1</f>
        <v/>
      </c>
      <c r="F7" s="45" t="n"/>
      <c r="Q7" s="83" t="n"/>
      <c r="R7" s="450" t="n">
        <v>2.1</v>
      </c>
      <c r="Z7" s="450">
        <f>SUM(S7:Y7)</f>
        <v/>
      </c>
      <c r="AI7" s="211" t="n"/>
      <c r="AM7" s="445" t="n"/>
      <c r="AO7" s="42" t="n"/>
      <c r="AP7" s="42" t="n"/>
      <c r="AQ7" s="308" t="n"/>
      <c r="AR7" s="308" t="n"/>
      <c r="AS7" s="306" t="n"/>
      <c r="AT7" s="42" t="n"/>
    </row>
    <row r="8" ht="33.95" customHeight="1" s="37">
      <c r="A8" s="12">
        <f>A7+0.1</f>
        <v/>
      </c>
      <c r="F8" s="45" t="n"/>
      <c r="Q8" s="83" t="n"/>
      <c r="R8" s="450" t="n">
        <v>2.2</v>
      </c>
      <c r="Z8" s="450">
        <f>SUM(S8:Y8)</f>
        <v/>
      </c>
      <c r="AI8" s="211" t="n"/>
      <c r="AM8" s="445" t="n"/>
      <c r="AO8" s="42" t="n"/>
      <c r="AP8" s="42" t="n"/>
      <c r="AQ8" s="308" t="n"/>
      <c r="AR8" s="308" t="n"/>
      <c r="AS8" s="464" t="n"/>
      <c r="AT8" s="42" t="n"/>
    </row>
    <row r="9" ht="33.95" customHeight="1" s="37">
      <c r="A9" s="12">
        <f>A8+0.1</f>
        <v/>
      </c>
      <c r="F9" s="45" t="n"/>
      <c r="L9" s="38" t="n"/>
      <c r="Q9" s="83" t="n"/>
      <c r="R9" s="450" t="n">
        <v>2.3</v>
      </c>
      <c r="Z9" s="450">
        <f>SUM(S9:Y9)</f>
        <v/>
      </c>
      <c r="AM9" s="445" t="n"/>
      <c r="AO9" s="42" t="n"/>
      <c r="AQ9" s="308" t="n"/>
      <c r="AR9" s="308" t="n"/>
      <c r="AS9" s="305" t="n"/>
      <c r="AT9" s="42" t="n"/>
      <c r="AU9" s="225" t="n"/>
      <c r="AV9" s="42" t="n"/>
    </row>
    <row r="10" ht="33.95" customHeight="1" s="37">
      <c r="A10" s="12">
        <f>A9+0.1</f>
        <v/>
      </c>
      <c r="F10" s="45" t="n"/>
      <c r="Q10" s="83" t="n"/>
      <c r="R10" s="450" t="n">
        <v>2.4</v>
      </c>
      <c r="Z10" s="450">
        <f>SUM(S10:Y10)</f>
        <v/>
      </c>
      <c r="AB10" s="314" t="n"/>
      <c r="AC10" s="234" t="n"/>
      <c r="AD10" s="314" t="n"/>
      <c r="AE10" s="315" t="n"/>
      <c r="AI10" s="211" t="n"/>
      <c r="AL10" s="445" t="n"/>
      <c r="AM10" s="445" t="n"/>
      <c r="AO10" s="42" t="n"/>
      <c r="AP10" s="42" t="n"/>
      <c r="AQ10" s="308" t="n"/>
      <c r="AR10" s="308" t="n"/>
      <c r="AT10" s="42" t="n"/>
    </row>
    <row r="11" ht="33.95" customHeight="1" s="37">
      <c r="A11" s="12">
        <f>A7+1</f>
        <v/>
      </c>
      <c r="F11" s="45" t="n"/>
      <c r="Q11" s="83" t="n"/>
      <c r="R11" s="450" t="n">
        <v>3.1</v>
      </c>
      <c r="Z11" s="450">
        <f>SUM(S11:Y11)</f>
        <v/>
      </c>
      <c r="AB11" s="314" t="n"/>
      <c r="AC11" s="234" t="n"/>
      <c r="AD11" s="64" t="n"/>
      <c r="AE11" s="64" t="n"/>
      <c r="AI11" s="211" t="n"/>
      <c r="AM11" s="445" t="n"/>
      <c r="AO11" s="42" t="n"/>
      <c r="AP11" s="42" t="n"/>
      <c r="AQ11" s="308" t="n"/>
      <c r="AR11" s="308" t="n"/>
      <c r="AT11" s="42" t="n"/>
    </row>
    <row r="12" ht="33.95" customHeight="1" s="37">
      <c r="A12" s="12">
        <f>A11+0.1</f>
        <v/>
      </c>
      <c r="F12" s="45" t="n"/>
      <c r="Q12" s="83" t="n"/>
      <c r="R12" s="450" t="n">
        <v>3.2</v>
      </c>
      <c r="Z12" s="450">
        <f>SUM(S12:Y12)</f>
        <v/>
      </c>
      <c r="AM12" s="445" t="n"/>
      <c r="AO12" s="42" t="n"/>
      <c r="AP12" s="42" t="n"/>
      <c r="AQ12" s="308" t="n"/>
      <c r="AR12" s="308" t="n"/>
      <c r="AT12" s="42" t="n"/>
    </row>
    <row r="13" ht="33.95" customHeight="1" s="37">
      <c r="A13" s="12">
        <f>A12+0.1</f>
        <v/>
      </c>
      <c r="F13" s="45" t="n"/>
      <c r="Q13" s="83" t="n"/>
      <c r="R13" s="450" t="n">
        <v>3.3</v>
      </c>
      <c r="Z13" s="450">
        <f>SUM(S13:Y13)</f>
        <v/>
      </c>
      <c r="AM13" s="445" t="n"/>
      <c r="AO13" s="42" t="n"/>
      <c r="AT13" s="42" t="n"/>
    </row>
    <row r="14" ht="33.95" customHeight="1" s="37">
      <c r="A14" s="12">
        <f>A13+0.1</f>
        <v/>
      </c>
      <c r="F14" s="45" t="n"/>
      <c r="Q14" s="83" t="n"/>
      <c r="R14" s="450" t="n">
        <v>3.4</v>
      </c>
      <c r="Z14" s="450">
        <f>SUM(S14:Y14)</f>
        <v/>
      </c>
      <c r="AM14" s="445" t="n"/>
      <c r="AO14" s="42" t="n"/>
      <c r="AT14" s="42" t="n"/>
    </row>
    <row r="15" ht="33.95" customHeight="1" s="37">
      <c r="A15" s="12">
        <f>A14+0.1</f>
        <v/>
      </c>
      <c r="F15" s="45" t="n"/>
      <c r="Q15" s="83" t="n"/>
      <c r="R15" s="450" t="n">
        <v>3.5</v>
      </c>
      <c r="Z15" s="450">
        <f>SUM(S15:Y15)</f>
        <v/>
      </c>
      <c r="AL15" s="574" t="n">
        <v>857</v>
      </c>
      <c r="AM15" s="574" t="n"/>
      <c r="AO15" s="42" t="n"/>
      <c r="AT15" s="42" t="n"/>
    </row>
    <row r="16" ht="33.95" customHeight="1" s="37">
      <c r="A16" s="12" t="n">
        <v>4.1</v>
      </c>
      <c r="F16" s="45" t="n"/>
      <c r="Q16" s="83" t="n"/>
      <c r="R16" s="450" t="n">
        <v>4.1</v>
      </c>
      <c r="Z16" s="450">
        <f>SUM(S16:Y16)</f>
        <v/>
      </c>
      <c r="AM16" s="445" t="n"/>
      <c r="AO16" s="42" t="n"/>
      <c r="AT16" s="42" t="n"/>
    </row>
    <row r="17" ht="33.95" customHeight="1" s="37">
      <c r="A17" s="12">
        <f>A16+0.1</f>
        <v/>
      </c>
      <c r="F17" s="45" t="n"/>
      <c r="Q17" s="83" t="n"/>
      <c r="R17" s="450" t="n">
        <v>4.2</v>
      </c>
      <c r="Z17" s="450">
        <f>SUM(S17:Y17)</f>
        <v/>
      </c>
      <c r="AI17" s="211" t="n"/>
      <c r="AM17" s="445" t="n"/>
      <c r="AO17" s="42" t="n"/>
      <c r="AS17" s="321" t="n"/>
      <c r="AT17" s="42" t="n"/>
    </row>
    <row r="18" ht="33.95" customHeight="1" s="37">
      <c r="A18" s="12">
        <f>A17+0.1</f>
        <v/>
      </c>
      <c r="F18" s="45" t="n"/>
      <c r="Q18" s="83" t="n"/>
      <c r="R18" s="450" t="n">
        <v>4.3</v>
      </c>
      <c r="Z18" s="450">
        <f>SUM(S18:Y18)</f>
        <v/>
      </c>
      <c r="AM18" s="445" t="n"/>
      <c r="AO18" s="42" t="n"/>
      <c r="AT18" s="42" t="n"/>
    </row>
    <row r="19" ht="33.95" customHeight="1" s="37">
      <c r="A19" s="12">
        <f>A18+0.1</f>
        <v/>
      </c>
      <c r="D19" s="38" t="n"/>
      <c r="F19" s="45" t="n"/>
      <c r="Q19" s="83" t="n"/>
      <c r="R19" s="12">
        <f>R18+0.1</f>
        <v/>
      </c>
      <c r="Y19" s="38" t="n"/>
      <c r="Z19" s="450">
        <f>SUM(S19:Y19)</f>
        <v/>
      </c>
      <c r="AL19" s="574" t="n"/>
      <c r="AM19" s="574" t="n"/>
      <c r="AO19" s="42" t="n"/>
      <c r="AS19" s="305" t="n"/>
      <c r="AT19" s="42" t="n"/>
    </row>
    <row r="20" ht="33.95" customHeight="1" s="37">
      <c r="A20" s="450">
        <f>A16+1</f>
        <v/>
      </c>
      <c r="F20" s="45" t="n"/>
      <c r="Q20" s="83" t="n"/>
      <c r="R20" s="450">
        <f>R16+1</f>
        <v/>
      </c>
      <c r="Z20" s="450">
        <f>SUM(S20:Y20)</f>
        <v/>
      </c>
      <c r="AM20" s="445" t="n"/>
      <c r="AO20" s="42" t="n"/>
      <c r="AT20" s="42" t="n"/>
    </row>
    <row r="21" ht="33.95" customHeight="1" s="37">
      <c r="A21" s="12">
        <f>A20+0.1</f>
        <v/>
      </c>
      <c r="F21" s="45" t="n"/>
      <c r="Q21" s="83" t="n"/>
      <c r="R21" s="12">
        <f>R20+0.1</f>
        <v/>
      </c>
      <c r="Z21" s="450">
        <f>SUM(S21:Y21)</f>
        <v/>
      </c>
      <c r="AM21" s="445" t="n"/>
      <c r="AO21" s="42" t="n"/>
    </row>
    <row r="22" ht="33.95" customHeight="1" s="37">
      <c r="A22" s="12">
        <f>A21+0.1</f>
        <v/>
      </c>
      <c r="F22" s="45" t="n"/>
      <c r="O22" s="450" t="n">
        <v>3</v>
      </c>
      <c r="Q22" s="83" t="n"/>
      <c r="R22" s="12">
        <f>R21+0.1</f>
        <v/>
      </c>
      <c r="Z22" s="450">
        <f>SUM(S22:Y22)</f>
        <v/>
      </c>
      <c r="AM22" s="445" t="n"/>
      <c r="AO22" s="42" t="n"/>
    </row>
    <row r="23" ht="33.95" customHeight="1" s="37">
      <c r="A23" s="12">
        <f>A22+0.1</f>
        <v/>
      </c>
      <c r="F23" s="45" t="n"/>
      <c r="Q23" s="83" t="n"/>
      <c r="R23" s="12">
        <f>R22+0.1</f>
        <v/>
      </c>
      <c r="Z23" s="450">
        <f>SUM(S23:Y23)</f>
        <v/>
      </c>
    </row>
    <row r="24" ht="33.95" customHeight="1" s="37">
      <c r="A24" s="450">
        <f>A20+1</f>
        <v/>
      </c>
      <c r="F24" s="45" t="n"/>
      <c r="Q24" s="83" t="n"/>
      <c r="R24" s="450">
        <f>R20+1</f>
        <v/>
      </c>
      <c r="Z24" s="450">
        <f>SUM(S24:Y24)</f>
        <v/>
      </c>
      <c r="AO24" s="42" t="n"/>
    </row>
    <row r="25">
      <c r="A25" s="12">
        <f>A24+0.1</f>
        <v/>
      </c>
      <c r="F25" s="45" t="n"/>
      <c r="Q25" s="83" t="n"/>
      <c r="R25" s="12">
        <f>R24+0.1</f>
        <v/>
      </c>
      <c r="Z25" s="450">
        <f>SUM(S25:Y25)</f>
        <v/>
      </c>
      <c r="AO25" s="42" t="n"/>
    </row>
    <row r="26">
      <c r="A26" s="12">
        <f>A25+0.1</f>
        <v/>
      </c>
      <c r="F26" s="45" t="n"/>
      <c r="Q26" s="83" t="n"/>
      <c r="R26" s="12">
        <f>R25+0.1</f>
        <v/>
      </c>
      <c r="Z26" s="450">
        <f>SUM(S26:Y26)</f>
        <v/>
      </c>
      <c r="AO26" s="42" t="n"/>
    </row>
    <row r="27">
      <c r="A27" s="12">
        <f>A26+0.1</f>
        <v/>
      </c>
      <c r="F27" s="45" t="n"/>
      <c r="Q27" s="83" t="n"/>
      <c r="R27" s="12">
        <f>R26+0.1</f>
        <v/>
      </c>
      <c r="T27" s="38" t="n"/>
      <c r="Z27" s="450">
        <f>SUM(S27:Y27)</f>
        <v/>
      </c>
      <c r="AO27" s="42" t="n"/>
    </row>
    <row r="28">
      <c r="A28" s="12">
        <f>A27+0.1</f>
        <v/>
      </c>
      <c r="F28" s="45" t="n"/>
      <c r="Q28" s="83" t="n"/>
      <c r="R28" s="12">
        <f>R27+0.1</f>
        <v/>
      </c>
      <c r="Z28" s="450">
        <f>SUM(S28:Y28)</f>
        <v/>
      </c>
      <c r="AO28" s="42" t="n"/>
    </row>
    <row r="29">
      <c r="A29" s="12">
        <f>A16+3</f>
        <v/>
      </c>
      <c r="F29" s="45" t="n"/>
      <c r="Q29" s="83" t="n"/>
      <c r="R29" s="12">
        <f>R16+3</f>
        <v/>
      </c>
      <c r="Z29" s="450">
        <f>SUM(S29:Y29)</f>
        <v/>
      </c>
      <c r="AO29" s="42" t="n"/>
    </row>
    <row r="30">
      <c r="A30" s="12">
        <f>A29+0.1</f>
        <v/>
      </c>
      <c r="F30" s="45" t="n"/>
      <c r="Q30" s="83" t="n"/>
      <c r="R30" s="12">
        <f>R29+0.1</f>
        <v/>
      </c>
      <c r="Z30" s="450">
        <f>SUM(S30:Y30)</f>
        <v/>
      </c>
      <c r="AO30" s="42" t="n"/>
    </row>
    <row r="31">
      <c r="A31" s="12">
        <f>A30+0.1</f>
        <v/>
      </c>
      <c r="F31" s="45" t="n"/>
      <c r="Q31" s="83" t="n"/>
      <c r="R31" s="12">
        <f>R30+0.1</f>
        <v/>
      </c>
      <c r="Z31" s="450">
        <f>SUM(S31:Y31)</f>
        <v/>
      </c>
    </row>
    <row r="32">
      <c r="A32" s="12">
        <f>A31+0.1</f>
        <v/>
      </c>
      <c r="F32" s="45" t="n"/>
      <c r="Q32" s="83" t="n"/>
      <c r="R32" s="12">
        <f>R31+0.1</f>
        <v/>
      </c>
      <c r="Z32" s="450">
        <f>SUM(S32:Y32)</f>
        <v/>
      </c>
      <c r="AO32" s="42" t="n"/>
    </row>
    <row r="33">
      <c r="A33" s="450">
        <f>A29+1</f>
        <v/>
      </c>
      <c r="F33" s="45" t="n"/>
      <c r="Q33" s="83" t="n"/>
      <c r="R33" s="450">
        <f>R29+1</f>
        <v/>
      </c>
      <c r="Z33" s="450">
        <f>SUM(S33:Y33)</f>
        <v/>
      </c>
      <c r="AO33" s="42" t="n"/>
    </row>
    <row r="34">
      <c r="A34" s="12">
        <f>A33+0.1</f>
        <v/>
      </c>
      <c r="F34" s="45" t="n"/>
      <c r="Q34" s="83" t="n"/>
      <c r="R34" s="12">
        <f>R33+0.1</f>
        <v/>
      </c>
      <c r="Z34" s="450">
        <f>SUM(S34:Y34)</f>
        <v/>
      </c>
      <c r="AO34" s="42" t="n"/>
    </row>
    <row r="35">
      <c r="A35" s="12">
        <f>A34+0.1</f>
        <v/>
      </c>
      <c r="F35" s="45" t="n"/>
      <c r="Q35" s="83" t="n"/>
      <c r="R35" s="12">
        <f>R34+0.1</f>
        <v/>
      </c>
      <c r="Z35" s="450">
        <f>SUM(S35:Y35)</f>
        <v/>
      </c>
      <c r="AO35" s="42" t="n"/>
    </row>
    <row r="36">
      <c r="A36" s="12">
        <f>A35+0.1</f>
        <v/>
      </c>
      <c r="F36" s="45" t="n"/>
      <c r="Q36" s="83" t="n"/>
      <c r="R36" s="12">
        <f>R35+0.1</f>
        <v/>
      </c>
      <c r="Z36" s="450">
        <f>SUM(S36:Y36)</f>
        <v/>
      </c>
      <c r="AO36" s="42" t="n"/>
    </row>
    <row r="37">
      <c r="A37" s="450">
        <f>A33+1</f>
        <v/>
      </c>
      <c r="F37" s="45" t="n"/>
      <c r="Q37" s="83" t="n"/>
      <c r="R37" s="450">
        <f>R33+1</f>
        <v/>
      </c>
      <c r="Z37" s="450">
        <f>SUM(S37:Y37)</f>
        <v/>
      </c>
      <c r="AO37" s="42" t="n"/>
    </row>
    <row r="38">
      <c r="A38" s="12">
        <f>A37+0.1</f>
        <v/>
      </c>
      <c r="F38" s="45" t="n"/>
      <c r="Q38" s="83" t="n"/>
      <c r="R38" s="12">
        <f>R37+0.1</f>
        <v/>
      </c>
      <c r="Z38" s="450">
        <f>SUM(S38:Y38)</f>
        <v/>
      </c>
      <c r="AO38" s="42" t="n"/>
    </row>
    <row r="39">
      <c r="A39" s="12">
        <f>A38+0.1</f>
        <v/>
      </c>
      <c r="F39" s="45" t="n"/>
      <c r="Q39" s="83" t="n"/>
      <c r="R39" s="12">
        <f>R38+0.1</f>
        <v/>
      </c>
      <c r="Z39" s="450">
        <f>SUM(S39:Y39)</f>
        <v/>
      </c>
      <c r="AO39" s="42" t="n"/>
    </row>
    <row r="40">
      <c r="A40" s="12">
        <f>A39+0.1</f>
        <v/>
      </c>
      <c r="F40" s="45" t="n"/>
      <c r="Q40" s="83" t="n"/>
      <c r="R40" s="12">
        <f>R39+0.1</f>
        <v/>
      </c>
      <c r="Z40" s="450">
        <f>SUM(S40:Y40)</f>
        <v/>
      </c>
      <c r="AO40" s="42" t="n"/>
    </row>
    <row r="41">
      <c r="A41" s="12">
        <f>A40+0.1</f>
        <v/>
      </c>
      <c r="F41" s="45" t="n"/>
      <c r="Q41" s="83" t="n"/>
      <c r="R41" s="12">
        <f>R40+0.1</f>
        <v/>
      </c>
      <c r="Z41" s="450">
        <f>SUM(S41:Y41)</f>
        <v/>
      </c>
      <c r="AO41" s="42" t="n"/>
    </row>
    <row r="42">
      <c r="A42" s="12">
        <f>A29+3</f>
        <v/>
      </c>
      <c r="F42" s="45" t="n"/>
      <c r="Q42" s="83" t="n"/>
      <c r="R42" s="12">
        <f>R29+3</f>
        <v/>
      </c>
      <c r="Z42" s="450">
        <f>SUM(S42:Y42)</f>
        <v/>
      </c>
      <c r="AO42" s="42" t="n"/>
    </row>
    <row r="43" ht="51" customHeight="1" s="37">
      <c r="A43" s="12">
        <f>A42+0.1</f>
        <v/>
      </c>
      <c r="F43" s="45" t="n"/>
      <c r="Q43" s="83" t="n"/>
      <c r="R43" s="12">
        <f>R42+0.1</f>
        <v/>
      </c>
      <c r="Z43" s="450">
        <f>SUM(S43:Y43)</f>
        <v/>
      </c>
      <c r="AL43" s="574" t="n">
        <v>890</v>
      </c>
      <c r="AM43" s="445" t="n"/>
      <c r="AO43" s="42" t="n"/>
    </row>
    <row r="44" ht="51" customHeight="1" s="37">
      <c r="A44" s="12">
        <f>A43+0.1</f>
        <v/>
      </c>
      <c r="F44" s="45" t="n"/>
      <c r="Q44" s="83" t="n"/>
      <c r="R44" s="12">
        <f>R43+0.1</f>
        <v/>
      </c>
      <c r="Z44" s="450">
        <f>SUM(S44:Y44)</f>
        <v/>
      </c>
      <c r="AM44" s="445" t="inlineStr">
        <is>
          <t>MA</t>
        </is>
      </c>
      <c r="AN44" s="472" t="n"/>
      <c r="AO44" s="42" t="n"/>
    </row>
    <row r="45">
      <c r="A45" s="12">
        <f>A44+0.1</f>
        <v/>
      </c>
      <c r="F45" s="45" t="n"/>
      <c r="Q45" s="83" t="n"/>
      <c r="R45" s="12">
        <f>R44+0.1</f>
        <v/>
      </c>
      <c r="Z45" s="450">
        <f>SUM(S45:Y45)</f>
        <v/>
      </c>
      <c r="AO45" s="42" t="n"/>
    </row>
    <row r="46">
      <c r="A46" s="450">
        <f>A42+1</f>
        <v/>
      </c>
      <c r="F46" s="45" t="n"/>
      <c r="Q46" s="83" t="n"/>
      <c r="R46" s="450">
        <f>R42+1</f>
        <v/>
      </c>
      <c r="Z46" s="450">
        <f>SUM(S46:Y46)</f>
        <v/>
      </c>
      <c r="AL46" s="574" t="n">
        <v>910</v>
      </c>
      <c r="AM46" s="450" t="inlineStr">
        <is>
          <t>MA</t>
        </is>
      </c>
      <c r="AO46" s="42" t="n"/>
    </row>
    <row r="47">
      <c r="A47" s="12">
        <f>A46+0.1</f>
        <v/>
      </c>
      <c r="F47" s="45" t="n"/>
      <c r="Q47" s="83" t="n"/>
      <c r="R47" s="12">
        <f>R46+0.1</f>
        <v/>
      </c>
      <c r="Z47" s="450">
        <f>SUM(S47:Y47)</f>
        <v/>
      </c>
      <c r="AM47" s="450" t="inlineStr">
        <is>
          <t>mm</t>
        </is>
      </c>
      <c r="AO47" s="42" t="n"/>
    </row>
    <row r="48">
      <c r="A48" s="12">
        <f>A47+0.1</f>
        <v/>
      </c>
      <c r="F48" s="45" t="n"/>
      <c r="Q48" s="83" t="n"/>
      <c r="R48" s="12">
        <f>R47+0.1</f>
        <v/>
      </c>
      <c r="Z48" s="450">
        <f>SUM(S48:Y48)</f>
        <v/>
      </c>
      <c r="AO48" s="42" t="n"/>
    </row>
    <row r="49">
      <c r="A49" s="12">
        <f>A48+0.1</f>
        <v/>
      </c>
      <c r="F49" s="45" t="n"/>
      <c r="Q49" s="83" t="n"/>
      <c r="R49" s="12">
        <f>R48+0.1</f>
        <v/>
      </c>
      <c r="Z49" s="450">
        <f>SUM(S49:Y49)</f>
        <v/>
      </c>
      <c r="AM49" s="450" t="inlineStr">
        <is>
          <t>OL</t>
        </is>
      </c>
      <c r="AO49" s="42" t="n"/>
    </row>
    <row r="50">
      <c r="A50" s="450">
        <f>A46+1</f>
        <v/>
      </c>
      <c r="F50" s="45" t="n"/>
      <c r="Q50" s="83" t="n"/>
      <c r="R50" s="450">
        <f>R46+1</f>
        <v/>
      </c>
      <c r="Z50" s="450">
        <f>SUM(S50:Y50)</f>
        <v/>
      </c>
      <c r="AL50" s="574" t="n">
        <v>600</v>
      </c>
      <c r="AM50" s="450" t="inlineStr">
        <is>
          <t>MA</t>
        </is>
      </c>
      <c r="AO50" s="42" t="n"/>
    </row>
    <row r="51">
      <c r="A51" s="12">
        <f>A50+0.1</f>
        <v/>
      </c>
      <c r="F51" s="45" t="n"/>
      <c r="Q51" s="83" t="n"/>
      <c r="R51" s="12">
        <f>R50+0.1</f>
        <v/>
      </c>
      <c r="Z51" s="450">
        <f>SUM(S51:Y51)</f>
        <v/>
      </c>
      <c r="AM51" s="450" t="inlineStr">
        <is>
          <t>OL</t>
        </is>
      </c>
      <c r="AO51" s="42" t="n"/>
    </row>
    <row r="52">
      <c r="A52" s="12">
        <f>A51+0.1</f>
        <v/>
      </c>
      <c r="F52" s="45" t="n"/>
      <c r="Q52" s="83" t="n"/>
      <c r="R52" s="12">
        <f>R51+0.1</f>
        <v/>
      </c>
      <c r="T52" s="38" t="n"/>
      <c r="Z52" s="450">
        <f>SUM(S52:Y52)</f>
        <v/>
      </c>
      <c r="AM52" s="450" t="inlineStr">
        <is>
          <t>MA</t>
        </is>
      </c>
      <c r="AO52" s="42" t="n"/>
    </row>
    <row r="53">
      <c r="A53" s="12">
        <f>A52+0.1</f>
        <v/>
      </c>
      <c r="F53" s="45" t="n"/>
      <c r="Q53" s="83" t="n"/>
      <c r="R53" s="12">
        <f>R52+0.1</f>
        <v/>
      </c>
      <c r="Z53" s="450">
        <f>SUM(S53:Y53)</f>
        <v/>
      </c>
      <c r="AM53" s="450" t="inlineStr">
        <is>
          <t>MA</t>
        </is>
      </c>
      <c r="AO53" s="42" t="n"/>
    </row>
    <row r="54">
      <c r="A54" s="12">
        <f>A53+0.1</f>
        <v/>
      </c>
      <c r="F54" s="45" t="n"/>
      <c r="Q54" s="83" t="n"/>
      <c r="R54" s="12">
        <f>R53+0.1</f>
        <v/>
      </c>
      <c r="Z54" s="450">
        <f>SUM(S54:Y54)</f>
        <v/>
      </c>
      <c r="AO54" s="42" t="n"/>
    </row>
    <row r="55">
      <c r="A55" s="450" t="n">
        <v>12.6</v>
      </c>
      <c r="O55" s="83" t="n"/>
      <c r="P55" s="83" t="n"/>
      <c r="Q55" s="83" t="n"/>
      <c r="R55" s="12">
        <f>R54+0.1</f>
        <v/>
      </c>
      <c r="Z55" s="450">
        <f>SUM(S55:Y55)</f>
        <v/>
      </c>
      <c r="AO55" s="42" t="n"/>
    </row>
    <row r="56">
      <c r="A56" s="83" t="n"/>
      <c r="B56" s="83" t="n"/>
      <c r="C56" s="83" t="n"/>
      <c r="D56" s="83" t="n"/>
      <c r="E56" s="83" t="n"/>
      <c r="F56" s="83" t="n"/>
      <c r="G56" s="83" t="n"/>
      <c r="H56" s="83" t="n"/>
      <c r="I56" s="83" t="n"/>
      <c r="J56" s="83" t="n"/>
      <c r="L56" s="83" t="n"/>
      <c r="M56" s="83" t="n"/>
      <c r="N56" s="83" t="n"/>
      <c r="AO56" s="42" t="n"/>
    </row>
    <row r="57">
      <c r="AO57" s="42" t="n"/>
    </row>
    <row r="58">
      <c r="AO58" s="42">
        <f>'1₹+1s'!I58</f>
        <v/>
      </c>
    </row>
    <row r="59">
      <c r="AO59" s="42">
        <f>'1₹+1s'!I59</f>
        <v/>
      </c>
    </row>
    <row r="60">
      <c r="AO60" s="42">
        <f>'1₹+1s'!I60</f>
        <v/>
      </c>
    </row>
    <row r="61">
      <c r="AO61" s="42">
        <f>'1₹+1s'!I61</f>
        <v/>
      </c>
    </row>
    <row r="62">
      <c r="AO62" s="42">
        <f>'1₹+1s'!I62</f>
        <v/>
      </c>
    </row>
    <row r="63">
      <c r="AO63" s="42">
        <f>'1₹+1s'!I63</f>
        <v/>
      </c>
    </row>
    <row r="64">
      <c r="AO64" s="42">
        <f>'1₹+1s'!I64</f>
        <v/>
      </c>
    </row>
    <row r="65">
      <c r="AO65" s="42">
        <f>'1₹+1s'!I65</f>
        <v/>
      </c>
    </row>
    <row r="66">
      <c r="AO66" s="42">
        <f>'1₹+1s'!I66</f>
        <v/>
      </c>
    </row>
    <row r="67">
      <c r="AO67" s="42">
        <f>'1₹+1s'!I67</f>
        <v/>
      </c>
    </row>
    <row r="68">
      <c r="AO68" s="42">
        <f>'1₹+1s'!I68</f>
        <v/>
      </c>
    </row>
    <row r="69">
      <c r="AO69" s="42">
        <f>'1₹+1s'!I69</f>
        <v/>
      </c>
    </row>
    <row r="70">
      <c r="AO70" s="42">
        <f>'1₹+1s'!I70</f>
        <v/>
      </c>
    </row>
    <row r="71">
      <c r="AO71" s="42">
        <f>'1₹+1s'!I71</f>
        <v/>
      </c>
    </row>
    <row r="72">
      <c r="AO72" s="42">
        <f>'1₹+1s'!I72</f>
        <v/>
      </c>
    </row>
    <row r="73">
      <c r="AO73" s="42">
        <f>'1₹+1s'!I73</f>
        <v/>
      </c>
    </row>
    <row r="74">
      <c r="AO74" s="42">
        <f>'1₹+1s'!I74</f>
        <v/>
      </c>
    </row>
    <row r="75">
      <c r="AO75" s="42">
        <f>'1₹+1s'!I75</f>
        <v/>
      </c>
    </row>
    <row r="76">
      <c r="AO76" s="42">
        <f>'1₹+1s'!I76</f>
        <v/>
      </c>
    </row>
    <row r="77">
      <c r="AO77" s="42">
        <f>'1₹+1s'!I77</f>
        <v/>
      </c>
    </row>
    <row r="78">
      <c r="AO78" s="42">
        <f>'1₹+1s'!I78</f>
        <v/>
      </c>
    </row>
    <row r="79">
      <c r="AO79" s="42">
        <f>'1₹+1s'!I79</f>
        <v/>
      </c>
    </row>
    <row r="80">
      <c r="AO80" s="42">
        <f>'1₹+1s'!I80</f>
        <v/>
      </c>
    </row>
    <row r="81">
      <c r="AO81" s="42">
        <f>'1₹+1s'!I81</f>
        <v/>
      </c>
    </row>
    <row r="82">
      <c r="AO82" s="42">
        <f>'1₹+1s'!I82</f>
        <v/>
      </c>
    </row>
    <row r="83">
      <c r="AO83" s="42">
        <f>'1₹+1s'!I83</f>
        <v/>
      </c>
    </row>
    <row r="84">
      <c r="AO84" s="42">
        <f>'1₹+1s'!I84</f>
        <v/>
      </c>
    </row>
    <row r="85">
      <c r="AO85" s="42">
        <f>'1₹+1s'!I85</f>
        <v/>
      </c>
    </row>
    <row r="86">
      <c r="AO86" s="42">
        <f>'1₹+1s'!I86</f>
        <v/>
      </c>
    </row>
    <row r="87">
      <c r="AO87" s="42">
        <f>'1₹+1s'!I87</f>
        <v/>
      </c>
    </row>
    <row r="88">
      <c r="AO88" s="42">
        <f>'1₹+1s'!I88</f>
        <v/>
      </c>
    </row>
    <row r="89">
      <c r="AO89" s="42">
        <f>'1₹+1s'!I89</f>
        <v/>
      </c>
    </row>
    <row r="90">
      <c r="AO90" s="42">
        <f>'1₹+1s'!I90</f>
        <v/>
      </c>
    </row>
    <row r="91">
      <c r="AO91" s="42">
        <f>'1₹+1s'!I91</f>
        <v/>
      </c>
    </row>
    <row r="92">
      <c r="AO92" s="42">
        <f>'1₹+1s'!I92</f>
        <v/>
      </c>
    </row>
    <row r="93">
      <c r="AO93" s="42">
        <f>'1₹+1s'!I93</f>
        <v/>
      </c>
    </row>
    <row r="94">
      <c r="AO94" s="42">
        <f>'1₹+1s'!I94</f>
        <v/>
      </c>
    </row>
    <row r="95">
      <c r="AO95" s="42">
        <f>'1₹+1s'!I95</f>
        <v/>
      </c>
    </row>
    <row r="1048576">
      <c r="AO1048576" s="42">
        <f>'1₹+1s'!I1048576</f>
        <v/>
      </c>
    </row>
  </sheetData>
  <mergeCells count="13">
    <mergeCell ref="AL19:AL22"/>
    <mergeCell ref="AL50:AL53"/>
    <mergeCell ref="AF1:AJ1"/>
    <mergeCell ref="AL46:AL49"/>
    <mergeCell ref="G2:J2"/>
    <mergeCell ref="AL43:AL45"/>
    <mergeCell ref="B2:E2"/>
    <mergeCell ref="AL10:AL14"/>
    <mergeCell ref="AL2:AL5"/>
    <mergeCell ref="L2:N2"/>
    <mergeCell ref="AL15:AL18"/>
    <mergeCell ref="AL6:AL9"/>
    <mergeCell ref="AS1:AV1"/>
  </mergeCells>
  <pageMargins left="0.75" right="0.75" top="1" bottom="1" header="0.5" footer="0.5"/>
  <pageSetup orientation="portrait" horizontalDpi="0" verticalDpi="0"/>
</worksheet>
</file>

<file path=xl/worksheets/sheet6.xml><?xml version="1.0" encoding="utf-8"?>
<worksheet xmlns="http://schemas.openxmlformats.org/spreadsheetml/2006/main">
  <sheetPr codeName="Sheet6">
    <tabColor theme="8" tint="0.3999755851924192"/>
    <outlinePr summaryBelow="1" summaryRight="1"/>
    <pageSetUpPr/>
  </sheetPr>
  <dimension ref="A1:AW57"/>
  <sheetViews>
    <sheetView workbookViewId="0">
      <selection activeCell="B5" sqref="B5"/>
    </sheetView>
  </sheetViews>
  <sheetFormatPr baseColWidth="8" defaultColWidth="10.97265625" defaultRowHeight="15"/>
  <cols>
    <col width="6.0390625" customWidth="1" style="37" min="2" max="2"/>
    <col width="55.48828125" customWidth="1" style="37" min="4" max="4"/>
    <col width="55.12109375" customWidth="1" style="37" min="5" max="5"/>
    <col width="4.4375" customWidth="1" style="37" min="6" max="7"/>
    <col width="3.69921875" customWidth="1" style="37" min="8" max="8"/>
    <col hidden="1" width="3.69921875" customWidth="1" style="37" min="9" max="9"/>
    <col hidden="1" width="5.0546875" customWidth="1" style="37" min="10" max="11"/>
    <col width="5.0546875" customWidth="1" style="37" min="12" max="12"/>
    <col width="2.33984375" customWidth="1" style="37" min="13" max="13"/>
    <col width="3.8203125" customWidth="1" style="37" min="14" max="18"/>
    <col width="5.30078125" customWidth="1" style="37" min="19" max="19"/>
    <col width="2.33984375" customWidth="1" style="216" min="20" max="20"/>
    <col width="7.2734375" customWidth="1" style="37" min="21" max="21"/>
    <col width="4.80859375" customWidth="1" style="37" min="22" max="24"/>
    <col width="6.28515625" customWidth="1" style="37" min="25" max="25"/>
    <col hidden="1" width="6.28515625" customWidth="1" style="37" min="26" max="26"/>
    <col hidden="1" width="5.79296875" customWidth="1" style="37" min="27" max="27"/>
    <col width="4.19140625" customWidth="1" style="37" min="28" max="28"/>
    <col width="4.80859375" customWidth="1" style="37" min="29" max="36"/>
    <col width="5.546875" customWidth="1" style="37" min="37" max="37"/>
    <col width="2.33984375" customWidth="1" style="45" min="38" max="38"/>
    <col width="25.6484375" customWidth="1" style="37" min="39" max="39"/>
    <col width="5.546875" customWidth="1" style="37" min="40" max="46"/>
    <col width="2.8359375" customWidth="1" style="79" min="47" max="48"/>
    <col width="8.875" customWidth="1" style="79" min="49" max="49"/>
  </cols>
  <sheetData>
    <row r="1" ht="17.1" customHeight="1" s="37">
      <c r="A1" s="12" t="n"/>
      <c r="B1" s="519" t="inlineStr">
        <is>
          <t>i9</t>
        </is>
      </c>
      <c r="F1" s="316" t="inlineStr">
        <is>
          <t>BA</t>
        </is>
      </c>
      <c r="G1" s="316" t="inlineStr">
        <is>
          <t>CB</t>
        </is>
      </c>
      <c r="H1" s="316" t="inlineStr">
        <is>
          <t>Jli</t>
        </is>
      </c>
      <c r="I1" s="316" t="inlineStr">
        <is>
          <t>ZB</t>
        </is>
      </c>
      <c r="J1" s="316" t="inlineStr">
        <is>
          <t>AW</t>
        </is>
      </c>
      <c r="K1" s="316" t="inlineStr">
        <is>
          <t>MG</t>
        </is>
      </c>
      <c r="L1" s="316" t="inlineStr">
        <is>
          <t>JLa</t>
        </is>
      </c>
      <c r="M1" s="45" t="n"/>
      <c r="N1" s="316" t="inlineStr">
        <is>
          <t>BA</t>
        </is>
      </c>
      <c r="O1" s="316" t="inlineStr">
        <is>
          <t>CB</t>
        </is>
      </c>
      <c r="P1" s="316" t="inlineStr">
        <is>
          <t>Jli</t>
        </is>
      </c>
      <c r="Q1" s="316" t="inlineStr">
        <is>
          <t>Jla</t>
        </is>
      </c>
      <c r="R1" s="65" t="n"/>
      <c r="S1" s="316" t="inlineStr">
        <is>
          <t>f692</t>
        </is>
      </c>
      <c r="T1" s="65" t="inlineStr">
        <is>
          <t>JLa</t>
        </is>
      </c>
      <c r="U1" s="316" t="inlineStr">
        <is>
          <t>BA</t>
        </is>
      </c>
      <c r="V1" s="316" t="inlineStr">
        <is>
          <t>CB</t>
        </is>
      </c>
      <c r="W1" s="316" t="inlineStr">
        <is>
          <t>Jli</t>
        </is>
      </c>
      <c r="X1" s="316" t="inlineStr">
        <is>
          <t>Jla</t>
        </is>
      </c>
      <c r="Y1" s="316" t="inlineStr">
        <is>
          <t>PP</t>
        </is>
      </c>
      <c r="Z1" s="450" t="inlineStr">
        <is>
          <t>AW</t>
        </is>
      </c>
      <c r="AA1" s="450" t="inlineStr">
        <is>
          <t>MG</t>
        </is>
      </c>
      <c r="AB1" s="83" t="n"/>
      <c r="AC1" s="148" t="n"/>
      <c r="AD1" s="148" t="inlineStr">
        <is>
          <t>S</t>
        </is>
      </c>
      <c r="AE1" s="148" t="inlineStr">
        <is>
          <t>M</t>
        </is>
      </c>
      <c r="AF1" s="450" t="inlineStr">
        <is>
          <t>T</t>
        </is>
      </c>
      <c r="AG1" s="450" t="inlineStr">
        <is>
          <t>W</t>
        </is>
      </c>
      <c r="AH1" s="450" t="inlineStr">
        <is>
          <t>Th</t>
        </is>
      </c>
      <c r="AI1" s="450" t="inlineStr">
        <is>
          <t>F</t>
        </is>
      </c>
      <c r="AJ1" s="450" t="inlineStr">
        <is>
          <t>S</t>
        </is>
      </c>
      <c r="AK1" s="450" t="inlineStr">
        <is>
          <t>∑</t>
        </is>
      </c>
      <c r="AV1" s="307" t="n"/>
      <c r="AW1" s="307" t="n"/>
    </row>
    <row r="2" ht="30" customHeight="1" s="37">
      <c r="A2" s="12" t="n"/>
      <c r="B2" s="464" t="inlineStr">
        <is>
          <t>OL</t>
        </is>
      </c>
      <c r="K2" s="445" t="n"/>
      <c r="L2" s="445" t="n"/>
      <c r="M2" s="45" t="n"/>
      <c r="N2" s="346" t="n"/>
      <c r="O2" s="523" t="n"/>
      <c r="P2" s="523" t="n"/>
      <c r="Q2" s="523" t="n"/>
      <c r="R2" s="523" t="n"/>
      <c r="U2" s="445" t="inlineStr">
        <is>
          <t xml:space="preserve">Execution Tracking Followups </t>
        </is>
      </c>
      <c r="AB2" s="83" t="n"/>
    </row>
    <row r="3" ht="33.95" customHeight="1" s="37">
      <c r="A3" s="12" t="n">
        <v>1.1</v>
      </c>
      <c r="B3" s="450" t="inlineStr">
        <is>
          <t>MA</t>
        </is>
      </c>
      <c r="C3" s="42">
        <f>'1₹+1s'!H2</f>
        <v/>
      </c>
      <c r="D3" s="472" t="inlineStr">
        <is>
          <t xml:space="preserve">•  I let the presentation become more stressful than it should have been. 
•  Finally cleared out comms, but with a delay. </t>
        </is>
      </c>
      <c r="E3" s="450" t="inlineStr">
        <is>
          <t>• All habits (and think about what other org habits I should have) 
• Get RoB that I believe out 
• Have a plan for hiring each</t>
        </is>
      </c>
      <c r="J3" s="335" t="n"/>
      <c r="M3" s="45" t="n"/>
      <c r="AB3" s="83" t="n"/>
      <c r="AC3" s="450" t="n">
        <v>1.1</v>
      </c>
      <c r="AD3" s="450" t="n">
        <v>5</v>
      </c>
      <c r="AE3" s="450">
        <f>35</f>
        <v/>
      </c>
      <c r="AF3" s="450">
        <f>15+30+15+5+15</f>
        <v/>
      </c>
      <c r="AG3" s="450" t="n">
        <v>5</v>
      </c>
      <c r="AH3" s="450" t="n">
        <v>5</v>
      </c>
      <c r="AI3" s="450" t="n">
        <v>5</v>
      </c>
      <c r="AJ3" s="450" t="n">
        <v>5</v>
      </c>
      <c r="AK3" s="450">
        <f>SUM(AD3:AJ3)</f>
        <v/>
      </c>
    </row>
    <row r="4" ht="33.95" customHeight="1" s="37">
      <c r="A4" s="12">
        <f>A3+0.1</f>
        <v/>
      </c>
      <c r="B4" s="450" t="inlineStr">
        <is>
          <t>MA</t>
        </is>
      </c>
      <c r="C4" s="42">
        <f>'1₹+1s'!H3</f>
        <v/>
      </c>
      <c r="D4" s="450" t="inlineStr">
        <is>
          <t xml:space="preserve">• I didn't quite get to all habits. But I did do a RoB, along with a good SLT presentation, which I feel OK about. 
• Others may have liked the offsite, and I think we are trying to build a culture so I get it. Felt like a drain on my time. 
• I'm marking work social time as social time. </t>
        </is>
      </c>
      <c r="E4" s="450" t="inlineStr">
        <is>
          <t xml:space="preserve">• All Habits (including weekly update) 
• Rhythm of business established </t>
        </is>
      </c>
      <c r="M4" s="45" t="n"/>
      <c r="AB4" s="83" t="n"/>
      <c r="AC4" s="450" t="n">
        <v>1.2</v>
      </c>
      <c r="AD4" s="450" t="n">
        <v>5</v>
      </c>
      <c r="AE4" s="450">
        <f>5+SUM(#REF!,30)</f>
        <v/>
      </c>
      <c r="AF4" s="450">
        <f>45+30+30</f>
        <v/>
      </c>
      <c r="AG4" s="450" t="n">
        <v>5</v>
      </c>
      <c r="AH4" s="450" t="n">
        <v>0</v>
      </c>
      <c r="AI4" s="450" t="n">
        <v>0</v>
      </c>
      <c r="AJ4" s="450">
        <f>SUM(#REF!,#REF!,#REF!,#REF!,H4,#REF!,6,5)</f>
        <v/>
      </c>
      <c r="AK4" s="450">
        <f>SUM(AD4:AJ4)</f>
        <v/>
      </c>
      <c r="AV4" s="308" t="n"/>
      <c r="AW4" s="308" t="n"/>
    </row>
    <row r="5" ht="33.95" customHeight="1" s="37">
      <c r="A5" s="12">
        <f>A4+0.1</f>
        <v/>
      </c>
      <c r="B5" s="450" t="inlineStr">
        <is>
          <t>EE</t>
        </is>
      </c>
      <c r="C5" s="42">
        <f>'1₹+1s'!H4</f>
        <v/>
      </c>
      <c r="D5" s="450" t="inlineStr">
        <is>
          <t xml:space="preserve">• Not a great showing at the promotions meeting. 
• SLT went pretty well. 
• Mario is presenting more which is good.  </t>
        </is>
      </c>
      <c r="E5" s="450" t="inlineStr">
        <is>
          <t>•Offsite goes well
•Hove a vision for how offsites work in the future 
•Get initial ramp docs for Andy</t>
        </is>
      </c>
      <c r="M5" s="45" t="n"/>
      <c r="AB5" s="83" t="n"/>
      <c r="AC5" s="450" t="n">
        <v>1.3</v>
      </c>
      <c r="AD5" s="450" t="n">
        <v>5</v>
      </c>
      <c r="AE5" s="450" t="n">
        <v>5</v>
      </c>
      <c r="AF5" s="450">
        <f>30+S4</f>
        <v/>
      </c>
      <c r="AG5" s="450">
        <f>90+5+30</f>
        <v/>
      </c>
      <c r="AH5" s="450" t="n">
        <v>5</v>
      </c>
      <c r="AI5" s="450" t="n">
        <v>5</v>
      </c>
      <c r="AJ5" s="450" t="n">
        <v>5</v>
      </c>
      <c r="AK5" s="450">
        <f>SUM(AD5:AJ5)</f>
        <v/>
      </c>
      <c r="AV5" s="308" t="n"/>
      <c r="AW5" s="308" t="n"/>
    </row>
    <row r="6" ht="33.95" customHeight="1" s="37">
      <c r="A6" s="12">
        <f>A5+0.1</f>
        <v/>
      </c>
      <c r="C6" s="42">
        <f>'1₹+1s'!H5</f>
        <v/>
      </c>
      <c r="M6" s="45" t="n"/>
      <c r="AB6" s="83" t="n"/>
      <c r="AC6" s="450" t="n">
        <v>1.4</v>
      </c>
      <c r="AD6" s="450" t="n">
        <v>5</v>
      </c>
      <c r="AE6" s="450" t="n">
        <v>65</v>
      </c>
      <c r="AF6" s="450" t="n">
        <v>35</v>
      </c>
      <c r="AG6" s="450">
        <f>25+5+23</f>
        <v/>
      </c>
      <c r="AH6" s="450">
        <f>15+5</f>
        <v/>
      </c>
      <c r="AI6" s="450">
        <f>5+15</f>
        <v/>
      </c>
      <c r="AJ6" s="450" t="n">
        <v>5</v>
      </c>
      <c r="AK6" s="450">
        <f>SUM(AD6:AJ6)</f>
        <v/>
      </c>
      <c r="AV6" s="308" t="n"/>
      <c r="AW6" s="308" t="n"/>
    </row>
    <row r="7" ht="33.95" customHeight="1" s="37">
      <c r="A7" s="12">
        <f>A3+1</f>
        <v/>
      </c>
      <c r="C7" s="42">
        <f>'1₹+1s'!H6</f>
        <v/>
      </c>
      <c r="M7" s="45" t="n"/>
      <c r="AB7" s="83" t="n"/>
      <c r="AC7" s="450" t="n">
        <v>2.1</v>
      </c>
      <c r="AD7" s="450" t="n">
        <v>5</v>
      </c>
      <c r="AE7" s="450">
        <f>30+15+5+SUM(#REF!)</f>
        <v/>
      </c>
      <c r="AF7" s="450">
        <f>5+15+30+15</f>
        <v/>
      </c>
      <c r="AG7" s="450">
        <f>35+10</f>
        <v/>
      </c>
      <c r="AH7" s="450" t="n">
        <v>15</v>
      </c>
      <c r="AI7" s="450" t="n">
        <v>5</v>
      </c>
      <c r="AJ7" s="450">
        <f>5+30+SUM(#REF!,#REF!,#REF!)</f>
        <v/>
      </c>
      <c r="AK7" s="450">
        <f>SUM(AD7:AJ7)</f>
        <v/>
      </c>
      <c r="AV7" s="308" t="n"/>
      <c r="AW7" s="308" t="n"/>
    </row>
    <row r="8" ht="33.95" customHeight="1" s="37">
      <c r="A8" s="12">
        <f>A7+0.1</f>
        <v/>
      </c>
      <c r="C8" s="42">
        <f>'1₹+1s'!H7</f>
        <v/>
      </c>
      <c r="M8" s="45" t="n"/>
      <c r="AB8" s="83" t="n"/>
      <c r="AC8" s="450" t="n">
        <v>2.2</v>
      </c>
      <c r="AD8" s="450">
        <f>5+15</f>
        <v/>
      </c>
      <c r="AE8" s="450">
        <f>5+15+15</f>
        <v/>
      </c>
      <c r="AF8" s="450">
        <f>5+20+25+8+15+60</f>
        <v/>
      </c>
      <c r="AG8" s="450" t="n">
        <v>5</v>
      </c>
      <c r="AH8" s="450">
        <f>19+5</f>
        <v/>
      </c>
      <c r="AI8" s="450">
        <f>5+100+SUM(#REF!,#REF!,#REF!)</f>
        <v/>
      </c>
      <c r="AJ8" s="450" t="n">
        <v>5</v>
      </c>
      <c r="AK8" s="450">
        <f>SUM(AD8:AJ8)</f>
        <v/>
      </c>
      <c r="AV8" s="308" t="n"/>
      <c r="AW8" s="308" t="n"/>
    </row>
    <row r="9" ht="33.95" customHeight="1" s="37">
      <c r="A9" s="12">
        <f>A8+0.1</f>
        <v/>
      </c>
      <c r="C9" s="42">
        <f>'1₹+1s'!H8</f>
        <v/>
      </c>
      <c r="D9" s="225" t="n"/>
      <c r="E9" s="42" t="n"/>
      <c r="M9" s="45" t="n"/>
      <c r="U9" s="38" t="n"/>
      <c r="AB9" s="83" t="n"/>
      <c r="AC9" s="450" t="n">
        <v>2.3</v>
      </c>
      <c r="AD9" s="450" t="n">
        <v>0</v>
      </c>
      <c r="AE9" s="450" t="n">
        <v>0</v>
      </c>
      <c r="AF9" s="450" t="n">
        <v>5</v>
      </c>
      <c r="AG9" s="450" t="n">
        <v>0</v>
      </c>
      <c r="AH9" s="450" t="n">
        <v>0</v>
      </c>
      <c r="AI9" s="450" t="n">
        <v>5</v>
      </c>
      <c r="AJ9" s="450" t="n">
        <v>0</v>
      </c>
      <c r="AK9" s="450">
        <f>SUM(AD9:AJ9)</f>
        <v/>
      </c>
      <c r="AV9" s="308" t="n"/>
      <c r="AW9" s="308" t="n"/>
    </row>
    <row r="10" ht="33.95" customHeight="1" s="37">
      <c r="A10" s="12">
        <f>A9+0.1</f>
        <v/>
      </c>
      <c r="C10" s="42">
        <f>'1₹+1s'!H9</f>
        <v/>
      </c>
      <c r="M10" s="45" t="n"/>
      <c r="AB10" s="83" t="n"/>
      <c r="AC10" s="450" t="n">
        <v>2.4</v>
      </c>
      <c r="AD10" s="450">
        <f>5</f>
        <v/>
      </c>
      <c r="AE10" s="450">
        <f>#REF!+5+10+#REF!+#REF!</f>
        <v/>
      </c>
      <c r="AF10" s="450">
        <f>5+15+30+20+40</f>
        <v/>
      </c>
      <c r="AG10" s="450" t="n">
        <v>5</v>
      </c>
      <c r="AH10" s="450">
        <f>5+23+#REF!+#REF!+#REF!+H10</f>
        <v/>
      </c>
      <c r="AI10" s="450" t="n">
        <v>5</v>
      </c>
      <c r="AJ10" s="450" t="n">
        <v>5</v>
      </c>
      <c r="AK10" s="450">
        <f>SUM(AD10:AJ10)</f>
        <v/>
      </c>
      <c r="AV10" s="308" t="n"/>
      <c r="AW10" s="308" t="n"/>
    </row>
    <row r="11" ht="33.95" customHeight="1" s="37">
      <c r="A11" s="12">
        <f>A7+1</f>
        <v/>
      </c>
      <c r="C11" s="42">
        <f>'1₹+1s'!H10</f>
        <v/>
      </c>
      <c r="M11" s="45" t="n"/>
      <c r="AB11" s="83" t="n"/>
      <c r="AC11" s="450" t="n">
        <v>3.1</v>
      </c>
      <c r="AD11" s="450">
        <f>SUM(#REF!+#REF!,#REF!,#REF!,#REF!,S11)</f>
        <v/>
      </c>
      <c r="AE11" s="450" t="n">
        <v>5</v>
      </c>
      <c r="AF11" s="450" t="n">
        <v>5</v>
      </c>
      <c r="AG11" s="450" t="n">
        <v>5</v>
      </c>
      <c r="AI11" s="450" t="n">
        <v>5</v>
      </c>
      <c r="AK11" s="450">
        <f>SUM(AD11:AJ11)</f>
        <v/>
      </c>
      <c r="AV11" s="308" t="n"/>
      <c r="AW11" s="308" t="n"/>
    </row>
    <row r="12" ht="33.95" customHeight="1" s="37">
      <c r="A12" s="12">
        <f>A11+0.1</f>
        <v/>
      </c>
      <c r="C12" s="42">
        <f>'1₹+1s'!H11</f>
        <v/>
      </c>
      <c r="M12" s="45" t="n"/>
      <c r="AB12" s="83" t="n"/>
      <c r="AC12" s="450" t="n">
        <v>3.2</v>
      </c>
      <c r="AD12" s="450">
        <f>5+SUM(#REF!,#REF!,#REF!,#REF!)</f>
        <v/>
      </c>
      <c r="AE12" s="450" t="n">
        <v>5</v>
      </c>
      <c r="AF12" s="450" t="n">
        <v>5</v>
      </c>
      <c r="AG12" s="450" t="n">
        <v>5</v>
      </c>
      <c r="AH12" s="450" t="n">
        <v>5</v>
      </c>
      <c r="AI12" s="450" t="n">
        <v>65</v>
      </c>
      <c r="AK12" s="450">
        <f>SUM(AD12:AJ12)</f>
        <v/>
      </c>
      <c r="AV12" s="308" t="n"/>
      <c r="AW12" s="308" t="n"/>
    </row>
    <row r="13" ht="33.95" customHeight="1" s="37">
      <c r="A13" s="12">
        <f>A12+0.1</f>
        <v/>
      </c>
      <c r="C13" s="42">
        <f>'1₹+1s'!H12</f>
        <v/>
      </c>
      <c r="M13" s="45" t="n"/>
      <c r="AB13" s="83" t="n"/>
      <c r="AC13" s="450" t="n">
        <v>3.3</v>
      </c>
      <c r="AH13" s="450" t="n">
        <v>5</v>
      </c>
      <c r="AK13" s="450">
        <f>SUM(AD13:AJ13)</f>
        <v/>
      </c>
    </row>
    <row r="14" ht="33.95" customHeight="1" s="37">
      <c r="A14" s="12">
        <f>A13+0.1</f>
        <v/>
      </c>
      <c r="C14" s="42">
        <f>'1₹+1s'!H13</f>
        <v/>
      </c>
      <c r="M14" s="45" t="n"/>
      <c r="AB14" s="83" t="n"/>
      <c r="AC14" s="450" t="n">
        <v>3.4</v>
      </c>
      <c r="AE14" s="450" t="n">
        <v>5</v>
      </c>
      <c r="AF14" s="450">
        <f>5+S14</f>
        <v/>
      </c>
      <c r="AG14" s="450">
        <f>5+37</f>
        <v/>
      </c>
      <c r="AI14" s="450" t="n">
        <v>5</v>
      </c>
      <c r="AJ14" s="450" t="n">
        <v>5</v>
      </c>
      <c r="AK14" s="450">
        <f>SUM(AD14:AJ14)</f>
        <v/>
      </c>
    </row>
    <row r="15" ht="33.95" customHeight="1" s="37">
      <c r="A15" s="12">
        <f>A14+0.1</f>
        <v/>
      </c>
      <c r="C15" s="42">
        <f>'1₹+1s'!H14</f>
        <v/>
      </c>
      <c r="M15" s="45" t="n"/>
      <c r="AB15" s="83" t="n"/>
      <c r="AC15" s="450" t="n">
        <v>3.5</v>
      </c>
      <c r="AD15" s="450" t="n">
        <v>5</v>
      </c>
      <c r="AH15" s="450">
        <f>45+30+18+60</f>
        <v/>
      </c>
      <c r="AI15" s="450" t="n">
        <v>5</v>
      </c>
      <c r="AJ15" s="450">
        <f>5+SUM(#REF!,#REF!,#REF!)</f>
        <v/>
      </c>
      <c r="AK15" s="450">
        <f>SUM(AD15:AJ15)</f>
        <v/>
      </c>
    </row>
    <row r="16" ht="33.95" customHeight="1" s="37">
      <c r="A16" s="12" t="n">
        <v>4.1</v>
      </c>
      <c r="C16" s="42">
        <f>'1₹+1s'!H15</f>
        <v/>
      </c>
      <c r="M16" s="45" t="n"/>
      <c r="AB16" s="83" t="n"/>
      <c r="AC16" s="450" t="n">
        <v>4.1</v>
      </c>
      <c r="AD16" s="450">
        <f>#REF!+55</f>
        <v/>
      </c>
      <c r="AE16" s="450">
        <f>45+5</f>
        <v/>
      </c>
      <c r="AF16" s="450">
        <f>5+#REF!+15</f>
        <v/>
      </c>
      <c r="AG16" s="450">
        <f>53+5</f>
        <v/>
      </c>
      <c r="AH16" s="450">
        <f>5+5</f>
        <v/>
      </c>
      <c r="AI16" s="450" t="n">
        <v>5</v>
      </c>
      <c r="AJ16" s="450">
        <f>5+75+11</f>
        <v/>
      </c>
      <c r="AK16" s="450">
        <f>SUM(AD16:AJ16)</f>
        <v/>
      </c>
    </row>
    <row r="17" ht="33.95" customHeight="1" s="37">
      <c r="A17" s="12">
        <f>A16+0.1</f>
        <v/>
      </c>
      <c r="C17" s="42">
        <f>'1₹+1s'!H14</f>
        <v/>
      </c>
      <c r="M17" s="45" t="n"/>
      <c r="AB17" s="83" t="n"/>
      <c r="AC17" s="450" t="n">
        <v>4.2</v>
      </c>
      <c r="AD17" s="450" t="n">
        <v>5</v>
      </c>
      <c r="AE17" s="450" t="n">
        <v>5</v>
      </c>
      <c r="AF17" s="450" t="n">
        <v>15</v>
      </c>
      <c r="AG17" s="450">
        <f>S17+5</f>
        <v/>
      </c>
      <c r="AH17" s="450">
        <f>65</f>
        <v/>
      </c>
      <c r="AK17" s="450">
        <f>SUM(AD17:AJ17)</f>
        <v/>
      </c>
    </row>
    <row r="18" ht="33.95" customHeight="1" s="37">
      <c r="A18" s="12">
        <f>A17+0.1</f>
        <v/>
      </c>
      <c r="C18" s="42">
        <f>'1₹+1s'!H15</f>
        <v/>
      </c>
      <c r="M18" s="45" t="n"/>
      <c r="AB18" s="83" t="n"/>
      <c r="AC18" s="450" t="n">
        <v>4.3</v>
      </c>
      <c r="AD18" s="450" t="n">
        <v>5</v>
      </c>
      <c r="AE18" s="450" t="n">
        <v>20</v>
      </c>
      <c r="AH18" s="450" t="n">
        <v>5</v>
      </c>
      <c r="AI18" s="450">
        <f>#REF!+5</f>
        <v/>
      </c>
      <c r="AJ18" s="450" t="n">
        <v>5</v>
      </c>
      <c r="AK18" s="450">
        <f>SUM(AD18:AJ18)</f>
        <v/>
      </c>
    </row>
    <row r="19" ht="33.95" customHeight="1" s="37">
      <c r="A19" s="12">
        <f>A18+0.1</f>
        <v/>
      </c>
      <c r="C19" s="42">
        <f>'1₹+1s'!H16</f>
        <v/>
      </c>
      <c r="M19" s="45" t="n"/>
      <c r="AB19" s="83" t="n"/>
      <c r="AC19" s="12">
        <f>AC18+0.1</f>
        <v/>
      </c>
      <c r="AD19" s="450">
        <f>85</f>
        <v/>
      </c>
      <c r="AE19" s="450" t="n">
        <v>5</v>
      </c>
      <c r="AF19" s="450">
        <f>28+20+5</f>
        <v/>
      </c>
      <c r="AG19" s="450" t="n">
        <v>5</v>
      </c>
      <c r="AH19" s="450" t="n">
        <v>5</v>
      </c>
      <c r="AI19" s="450" t="n">
        <v>5</v>
      </c>
      <c r="AJ19" s="38" t="n">
        <v>5</v>
      </c>
      <c r="AK19" s="450">
        <f>SUM(AD19:AJ19)</f>
        <v/>
      </c>
    </row>
    <row r="20" ht="33.95" customHeight="1" s="37">
      <c r="A20" s="450">
        <f>A16+1</f>
        <v/>
      </c>
      <c r="C20" s="42">
        <f>'1₹+1s'!H17</f>
        <v/>
      </c>
      <c r="M20" s="45" t="n"/>
      <c r="AB20" s="83" t="n"/>
      <c r="AC20" s="450">
        <f>AC16+1</f>
        <v/>
      </c>
      <c r="AD20" s="450">
        <f>30</f>
        <v/>
      </c>
      <c r="AE20" s="450" t="n">
        <v>5</v>
      </c>
      <c r="AI20" s="450" t="n">
        <v>5</v>
      </c>
      <c r="AJ20" s="450" t="n">
        <v>5</v>
      </c>
      <c r="AK20" s="450">
        <f>SUM(AD20:AJ20)</f>
        <v/>
      </c>
    </row>
    <row r="21" ht="33.95" customHeight="1" s="37">
      <c r="A21" s="12">
        <f>A20+0.1</f>
        <v/>
      </c>
      <c r="C21" s="42">
        <f>'1₹+1s'!H18</f>
        <v/>
      </c>
      <c r="I21" s="234" t="n"/>
      <c r="J21" s="234" t="n"/>
      <c r="K21" s="199" t="n"/>
      <c r="L21" s="199" t="n"/>
      <c r="M21" s="45" t="n"/>
      <c r="AB21" s="83" t="n"/>
      <c r="AC21" s="12">
        <f>AC20+0.1</f>
        <v/>
      </c>
      <c r="AD21" s="450" t="n">
        <v>5</v>
      </c>
      <c r="AE21" s="450" t="n">
        <v>5</v>
      </c>
      <c r="AF21" s="450" t="n">
        <v>5</v>
      </c>
      <c r="AG21" s="450">
        <f>65+30</f>
        <v/>
      </c>
      <c r="AH21" s="450" t="n">
        <v>5</v>
      </c>
      <c r="AK21" s="450">
        <f>SUM(AD21:AJ21)</f>
        <v/>
      </c>
    </row>
    <row r="22" ht="33.95" customHeight="1" s="37">
      <c r="A22" s="12">
        <f>A21+0.1</f>
        <v/>
      </c>
      <c r="C22" s="42">
        <f>'1₹+1s'!H19</f>
        <v/>
      </c>
      <c r="M22" s="45" t="n"/>
      <c r="Z22" s="450" t="n">
        <v>3</v>
      </c>
      <c r="AB22" s="83" t="n"/>
      <c r="AC22" s="12">
        <f>AC21+0.1</f>
        <v/>
      </c>
      <c r="AE22" s="450" t="n">
        <v>5</v>
      </c>
      <c r="AH22" s="450">
        <f>45+5</f>
        <v/>
      </c>
      <c r="AI22" s="450">
        <f>65</f>
        <v/>
      </c>
      <c r="AK22" s="450">
        <f>SUM(AD22:AJ22)</f>
        <v/>
      </c>
    </row>
    <row r="23" ht="33.95" customHeight="1" s="37">
      <c r="A23" s="12">
        <f>A22+0.1</f>
        <v/>
      </c>
      <c r="C23" s="42">
        <f>'1₹+1s'!H20</f>
        <v/>
      </c>
      <c r="I23" s="234" t="n"/>
      <c r="M23" s="45" t="n"/>
      <c r="AB23" s="83" t="n"/>
      <c r="AC23" s="12">
        <f>AC22+0.1</f>
        <v/>
      </c>
      <c r="AK23" s="450">
        <f>SUM(AD23:AJ23)</f>
        <v/>
      </c>
    </row>
    <row r="24" ht="33.95" customHeight="1" s="37">
      <c r="A24" s="450">
        <f>A20+1</f>
        <v/>
      </c>
      <c r="C24" s="42">
        <f>'1₹+1s'!H21</f>
        <v/>
      </c>
      <c r="I24" s="234" t="n"/>
      <c r="M24" s="45" t="n"/>
      <c r="AB24" s="83" t="n"/>
      <c r="AC24" s="450">
        <f>AC20+1</f>
        <v/>
      </c>
      <c r="AE24" s="450" t="n">
        <v>5</v>
      </c>
      <c r="AF24" s="450" t="n">
        <v>5</v>
      </c>
      <c r="AG24" s="450" t="n">
        <v>5</v>
      </c>
      <c r="AI24" s="450" t="n">
        <v>5</v>
      </c>
      <c r="AJ24" s="450">
        <f>65</f>
        <v/>
      </c>
      <c r="AK24" s="450">
        <f>SUM(AD24:AJ24)</f>
        <v/>
      </c>
    </row>
    <row r="25">
      <c r="A25" s="12">
        <f>A24+0.1</f>
        <v/>
      </c>
      <c r="C25" s="42">
        <f>'1₹+1s'!H22</f>
        <v/>
      </c>
      <c r="M25" s="45" t="n"/>
      <c r="AB25" s="83" t="n"/>
      <c r="AC25" s="12">
        <f>AC24+0.1</f>
        <v/>
      </c>
      <c r="AI25" s="450" t="n">
        <v>35</v>
      </c>
      <c r="AK25" s="450">
        <f>SUM(AD25:AJ25)</f>
        <v/>
      </c>
    </row>
    <row r="26">
      <c r="A26" s="12">
        <f>A25+0.1</f>
        <v/>
      </c>
      <c r="C26" s="42">
        <f>'1₹+1s'!H23</f>
        <v/>
      </c>
      <c r="M26" s="45" t="n"/>
      <c r="AB26" s="83" t="n"/>
      <c r="AC26" s="12">
        <f>AC25+0.1</f>
        <v/>
      </c>
      <c r="AD26" s="450">
        <f>35+12</f>
        <v/>
      </c>
      <c r="AE26" s="450" t="n">
        <v>5</v>
      </c>
      <c r="AF26" s="450" t="n">
        <v>5</v>
      </c>
      <c r="AG26" s="450" t="n">
        <v>5</v>
      </c>
      <c r="AH26" s="450" t="n">
        <v>5</v>
      </c>
      <c r="AJ26" s="450" t="n">
        <v>5</v>
      </c>
      <c r="AK26" s="450">
        <f>SUM(AD26:AJ26)</f>
        <v/>
      </c>
    </row>
    <row r="27">
      <c r="A27" s="12">
        <f>A26+0.1</f>
        <v/>
      </c>
      <c r="C27" s="42">
        <f>'1₹+1s'!H24</f>
        <v/>
      </c>
      <c r="M27" s="45" t="n"/>
      <c r="AB27" s="83" t="n"/>
      <c r="AC27" s="12">
        <f>AC26+0.1</f>
        <v/>
      </c>
      <c r="AE27" s="38" t="n"/>
      <c r="AH27" s="450" t="n">
        <v>5</v>
      </c>
      <c r="AI27" s="450" t="n">
        <v>5</v>
      </c>
      <c r="AK27" s="450">
        <f>SUM(AD27:AJ27)</f>
        <v/>
      </c>
    </row>
    <row r="28">
      <c r="A28" s="12">
        <f>A27+0.1</f>
        <v/>
      </c>
      <c r="C28" s="42">
        <f>'1₹+1s'!H25</f>
        <v/>
      </c>
      <c r="M28" s="45" t="n"/>
      <c r="O28" s="450" t="n">
        <v>30</v>
      </c>
      <c r="S28" s="450">
        <f>75</f>
        <v/>
      </c>
      <c r="V28" s="450" t="n">
        <v>15</v>
      </c>
      <c r="AB28" s="83" t="n"/>
      <c r="AC28" s="12">
        <f>AC27+0.1</f>
        <v/>
      </c>
      <c r="AD28" s="450" t="n">
        <v>5</v>
      </c>
      <c r="AE28" s="450" t="n">
        <v>5</v>
      </c>
      <c r="AF28" s="450">
        <f>S28+O28+5+15</f>
        <v/>
      </c>
      <c r="AK28" s="450">
        <f>SUM(AD28:AJ28)</f>
        <v/>
      </c>
    </row>
    <row r="29">
      <c r="A29" s="12">
        <f>A16+3</f>
        <v/>
      </c>
      <c r="C29" s="42">
        <f>'1₹+1s'!H26</f>
        <v/>
      </c>
      <c r="M29" s="45" t="n"/>
      <c r="S29" s="450" t="n">
        <v>60</v>
      </c>
      <c r="AB29" s="83" t="n"/>
      <c r="AC29" s="12">
        <f>AC16+3</f>
        <v/>
      </c>
      <c r="AD29" s="450" t="n">
        <v>5</v>
      </c>
      <c r="AE29" s="450" t="n">
        <v>5</v>
      </c>
      <c r="AF29" s="450" t="n">
        <v>5</v>
      </c>
      <c r="AG29" s="450" t="n">
        <v>5</v>
      </c>
      <c r="AH29" s="450">
        <f>S29+5</f>
        <v/>
      </c>
      <c r="AK29" s="450">
        <f>SUM(AD29:AJ29)</f>
        <v/>
      </c>
    </row>
    <row r="30">
      <c r="A30" s="12">
        <f>A29+0.1</f>
        <v/>
      </c>
      <c r="C30" s="42">
        <f>'1₹+1s'!H27</f>
        <v/>
      </c>
      <c r="M30" s="45" t="n"/>
      <c r="S30" s="450" t="n">
        <v>30</v>
      </c>
      <c r="AB30" s="83" t="n"/>
      <c r="AC30" s="12">
        <f>AC29+0.1</f>
        <v/>
      </c>
      <c r="AG30" s="450">
        <f>65</f>
        <v/>
      </c>
      <c r="AH30" s="450" t="n">
        <v>65</v>
      </c>
      <c r="AI30" s="450" t="n">
        <v>30</v>
      </c>
      <c r="AJ30" s="450">
        <f>S30</f>
        <v/>
      </c>
      <c r="AK30" s="450">
        <f>SUM(AD30:AJ30)</f>
        <v/>
      </c>
    </row>
    <row r="31">
      <c r="A31" s="12">
        <f>A30+0.1</f>
        <v/>
      </c>
      <c r="C31" s="42">
        <f>'1₹+1s'!H28</f>
        <v/>
      </c>
      <c r="M31" s="45" t="n"/>
      <c r="AB31" s="83" t="n"/>
      <c r="AC31" s="12">
        <f>AC30+0.1</f>
        <v/>
      </c>
      <c r="AD31" s="450">
        <f>120+29 + 10 + 30 + 13 + 5</f>
        <v/>
      </c>
      <c r="AF31" s="450" t="n">
        <v>30</v>
      </c>
      <c r="AG31" s="450">
        <f>40+30 + 5 + 20</f>
        <v/>
      </c>
      <c r="AK31" s="450">
        <f>SUM(AD31:AJ31)</f>
        <v/>
      </c>
    </row>
    <row r="32">
      <c r="A32" s="12">
        <f>A31+0.1</f>
        <v/>
      </c>
      <c r="C32" s="42">
        <f>'1₹+1s'!H29</f>
        <v/>
      </c>
      <c r="M32" s="45" t="n"/>
      <c r="AB32" s="83" t="n"/>
      <c r="AC32" s="12">
        <f>AC31+0.1</f>
        <v/>
      </c>
      <c r="AD32" s="450" t="n">
        <v>0</v>
      </c>
      <c r="AE32" s="450">
        <f>5+40 + 35</f>
        <v/>
      </c>
      <c r="AI32" s="450" t="n">
        <v>35</v>
      </c>
      <c r="AJ32" s="450">
        <f>65</f>
        <v/>
      </c>
      <c r="AK32" s="450">
        <f>SUM(AD32:AJ32)</f>
        <v/>
      </c>
    </row>
    <row r="33">
      <c r="A33" s="450">
        <f>A29+1</f>
        <v/>
      </c>
      <c r="C33" s="42">
        <f>'1₹+1s'!H30</f>
        <v/>
      </c>
      <c r="M33" s="45" t="n"/>
      <c r="AB33" s="83" t="n"/>
      <c r="AC33" s="450">
        <f>AC29+1</f>
        <v/>
      </c>
      <c r="AD33" s="450" t="n">
        <v>0</v>
      </c>
      <c r="AE33" s="450">
        <f>30+5 + 60</f>
        <v/>
      </c>
      <c r="AK33" s="450">
        <f>SUM(AD33:AJ33)</f>
        <v/>
      </c>
    </row>
    <row r="34">
      <c r="A34" s="12">
        <f>A33+0.1</f>
        <v/>
      </c>
      <c r="C34" s="42">
        <f>'1₹+1s'!H31</f>
        <v/>
      </c>
      <c r="M34" s="45" t="n"/>
      <c r="O34" s="450" t="n">
        <v>30</v>
      </c>
      <c r="S34" s="450">
        <f>30+30</f>
        <v/>
      </c>
      <c r="W34" s="450" t="n">
        <v>30</v>
      </c>
      <c r="AB34" s="83" t="n"/>
      <c r="AC34" s="12">
        <f>AC33+0.1</f>
        <v/>
      </c>
      <c r="AD34" s="450">
        <f>25</f>
        <v/>
      </c>
      <c r="AE34" s="450">
        <f>O34+5</f>
        <v/>
      </c>
      <c r="AH34" s="450">
        <f>S34+5</f>
        <v/>
      </c>
      <c r="AI34" s="450">
        <f>W34+5</f>
        <v/>
      </c>
      <c r="AK34" s="450">
        <f>SUM(AD34:AJ34)</f>
        <v/>
      </c>
    </row>
    <row r="35">
      <c r="A35" s="12">
        <f>A34+0.1</f>
        <v/>
      </c>
      <c r="C35" s="42">
        <f>'1₹+1s'!H32</f>
        <v/>
      </c>
      <c r="M35" s="45" t="n"/>
      <c r="S35" s="450">
        <f>53</f>
        <v/>
      </c>
      <c r="AB35" s="83" t="n"/>
      <c r="AC35" s="12">
        <f>AC34+0.1</f>
        <v/>
      </c>
      <c r="AD35" s="450" t="n">
        <v>0</v>
      </c>
      <c r="AE35" s="450">
        <f>53+5</f>
        <v/>
      </c>
      <c r="AF35" s="450">
        <f>45+5</f>
        <v/>
      </c>
      <c r="AG35" s="450" t="n">
        <v>0</v>
      </c>
      <c r="AH35" s="450">
        <f>65</f>
        <v/>
      </c>
      <c r="AI35" s="450">
        <f>45+30+30+30+5</f>
        <v/>
      </c>
      <c r="AJ35" s="450" t="n">
        <v>0</v>
      </c>
      <c r="AK35" s="450">
        <f>SUM(AD35:AJ35)</f>
        <v/>
      </c>
    </row>
    <row r="36">
      <c r="A36" s="12">
        <f>A35+0.1</f>
        <v/>
      </c>
      <c r="C36" s="42">
        <f>'1₹+1s'!H33</f>
        <v/>
      </c>
      <c r="M36" s="45" t="n"/>
      <c r="S36" s="450">
        <f>65+30 + 15</f>
        <v/>
      </c>
      <c r="Y36" s="450" t="n">
        <v>20</v>
      </c>
      <c r="AB36" s="83" t="n"/>
      <c r="AC36" s="12">
        <f>AC35+0.1</f>
        <v/>
      </c>
      <c r="AE36" s="450">
        <f>65+5 + 30 + 20</f>
        <v/>
      </c>
      <c r="AG36" s="450">
        <f>15</f>
        <v/>
      </c>
      <c r="AI36" s="450">
        <f>60+45</f>
        <v/>
      </c>
      <c r="AK36" s="450">
        <f>SUM(AD36:AJ36)</f>
        <v/>
      </c>
    </row>
    <row r="37">
      <c r="A37" s="450">
        <f>A33+1</f>
        <v/>
      </c>
      <c r="C37" s="42">
        <f>'1₹+1s'!H34</f>
        <v/>
      </c>
      <c r="M37" s="45" t="n"/>
      <c r="U37" s="450" t="n">
        <v>45</v>
      </c>
      <c r="AB37" s="83" t="n"/>
      <c r="AC37" s="450">
        <f>AC33+1</f>
        <v/>
      </c>
      <c r="AF37" s="450" t="n">
        <v>20</v>
      </c>
      <c r="AI37" s="450">
        <f>U37+5</f>
        <v/>
      </c>
      <c r="AK37" s="450">
        <f>SUM(AD37:AJ37)</f>
        <v/>
      </c>
    </row>
    <row r="38">
      <c r="A38" s="12">
        <f>A37+0.1</f>
        <v/>
      </c>
      <c r="C38" s="42">
        <f>'1₹+1s'!H35</f>
        <v/>
      </c>
      <c r="M38" s="45" t="n"/>
      <c r="AB38" s="83" t="n"/>
      <c r="AC38" s="12">
        <f>AC37+0.1</f>
        <v/>
      </c>
      <c r="AK38" s="450">
        <f>SUM(AD38:AJ38)</f>
        <v/>
      </c>
    </row>
    <row r="39">
      <c r="A39" s="12">
        <f>A38+0.1</f>
        <v/>
      </c>
      <c r="C39" s="42">
        <f>'1₹+1s'!H36</f>
        <v/>
      </c>
      <c r="M39" s="45" t="n"/>
      <c r="AB39" s="83" t="n"/>
      <c r="AC39" s="12">
        <f>AC38+0.1</f>
        <v/>
      </c>
      <c r="AK39" s="450">
        <f>SUM(AD39:AJ39)</f>
        <v/>
      </c>
    </row>
    <row r="40">
      <c r="A40" s="12">
        <f>A39+0.1</f>
        <v/>
      </c>
      <c r="C40" s="42">
        <f>'1₹+1s'!H37</f>
        <v/>
      </c>
      <c r="M40" s="45" t="n"/>
      <c r="AB40" s="83" t="n"/>
      <c r="AC40" s="12">
        <f>AC39+0.1</f>
        <v/>
      </c>
      <c r="AF40" s="450" t="n">
        <v>20</v>
      </c>
      <c r="AK40" s="450">
        <f>SUM(AD40:AJ40)</f>
        <v/>
      </c>
    </row>
    <row r="41">
      <c r="A41" s="12">
        <f>A40+0.1</f>
        <v/>
      </c>
      <c r="C41" s="42">
        <f>'1₹+1s'!H38</f>
        <v/>
      </c>
      <c r="M41" s="45" t="n"/>
      <c r="AB41" s="83" t="n"/>
      <c r="AC41" s="12">
        <f>AC40+0.1</f>
        <v/>
      </c>
      <c r="AK41" s="450">
        <f>SUM(AD41:AJ41)</f>
        <v/>
      </c>
    </row>
    <row r="42">
      <c r="A42" s="12">
        <f>A29+3</f>
        <v/>
      </c>
      <c r="C42" s="42">
        <f>'1₹+1s'!H39</f>
        <v/>
      </c>
      <c r="M42" s="45" t="n"/>
      <c r="N42" s="450" t="n">
        <v>30</v>
      </c>
      <c r="AB42" s="83" t="n"/>
      <c r="AC42" s="12">
        <f>AC29+3</f>
        <v/>
      </c>
      <c r="AI42" s="450" t="n">
        <v>30</v>
      </c>
      <c r="AK42" s="450">
        <f>SUM(AD42:AJ42)</f>
        <v/>
      </c>
    </row>
    <row r="43">
      <c r="A43" s="12">
        <f>A42+0.1</f>
        <v/>
      </c>
      <c r="C43" s="42">
        <f>'1₹+1s'!H40</f>
        <v/>
      </c>
      <c r="M43" s="45" t="n"/>
      <c r="AB43" s="83" t="n"/>
      <c r="AC43" s="12">
        <f>AC42+0.1</f>
        <v/>
      </c>
      <c r="AG43" s="450">
        <f>30+30</f>
        <v/>
      </c>
      <c r="AK43" s="450">
        <f>SUM(AD43:AJ43)</f>
        <v/>
      </c>
    </row>
    <row r="44">
      <c r="A44" s="12">
        <f>A43+0.1</f>
        <v/>
      </c>
      <c r="C44" s="42">
        <f>'1₹+1s'!H41</f>
        <v/>
      </c>
      <c r="M44" s="45" t="n"/>
      <c r="AB44" s="83" t="n"/>
      <c r="AC44" s="12">
        <f>AC43+0.1</f>
        <v/>
      </c>
      <c r="AK44" s="450">
        <f>SUM(AD44:AJ44)</f>
        <v/>
      </c>
    </row>
    <row r="45">
      <c r="A45" s="12">
        <f>A44+0.1</f>
        <v/>
      </c>
      <c r="C45" s="42">
        <f>'1₹+1s'!H42</f>
        <v/>
      </c>
      <c r="M45" s="45" t="n"/>
      <c r="AB45" s="83" t="n"/>
      <c r="AC45" s="12">
        <f>AC44+0.1</f>
        <v/>
      </c>
      <c r="AK45" s="450">
        <f>SUM(AD45:AJ45)</f>
        <v/>
      </c>
    </row>
    <row r="46">
      <c r="A46" s="450">
        <f>A42+1</f>
        <v/>
      </c>
      <c r="C46" s="42">
        <f>'1₹+1s'!H43</f>
        <v/>
      </c>
      <c r="M46" s="45" t="n"/>
      <c r="AB46" s="83" t="n"/>
      <c r="AC46" s="450">
        <f>AC42+1</f>
        <v/>
      </c>
      <c r="AK46" s="450">
        <f>SUM(AD46:AJ46)</f>
        <v/>
      </c>
      <c r="AM46" s="450" t="e">
        <v>#VALUE!</v>
      </c>
    </row>
    <row r="47" ht="51" customHeight="1" s="37">
      <c r="A47" s="12">
        <f>A46+0.1</f>
        <v/>
      </c>
      <c r="C47" s="42">
        <f>'1₹+1s'!H44</f>
        <v/>
      </c>
      <c r="M47" s="45" t="n"/>
      <c r="AB47" s="83" t="n"/>
      <c r="AC47" s="12">
        <f>AC46+0.1</f>
        <v/>
      </c>
      <c r="AK47" s="450">
        <f>SUM(AD47:AJ47)</f>
        <v/>
      </c>
      <c r="AM47" s="450" t="e">
        <v>#VALUE!</v>
      </c>
    </row>
    <row r="48">
      <c r="A48" s="12">
        <f>A47+0.1</f>
        <v/>
      </c>
      <c r="C48" s="42">
        <f>'1₹+1s'!H47</f>
        <v/>
      </c>
      <c r="M48" s="45" t="n"/>
      <c r="AB48" s="83" t="n"/>
      <c r="AC48" s="12">
        <f>AC47+0.1</f>
        <v/>
      </c>
      <c r="AK48" s="450">
        <f>SUM(AD48:AJ48)</f>
        <v/>
      </c>
    </row>
    <row r="49">
      <c r="A49" s="12">
        <f>A48+0.1</f>
        <v/>
      </c>
      <c r="C49" s="42">
        <f>'1₹+1s'!H48</f>
        <v/>
      </c>
      <c r="M49" s="45" t="n"/>
      <c r="AB49" s="83" t="n"/>
      <c r="AC49" s="12">
        <f>AC48+0.1</f>
        <v/>
      </c>
      <c r="AK49" s="450">
        <f>SUM(AD49:AJ49)</f>
        <v/>
      </c>
    </row>
    <row r="50">
      <c r="A50" s="450">
        <f>A46+1</f>
        <v/>
      </c>
      <c r="C50" s="42">
        <f>'1₹+1s'!H49</f>
        <v/>
      </c>
      <c r="M50" s="45" t="n"/>
      <c r="AB50" s="83" t="n"/>
      <c r="AC50" s="450">
        <f>AC46+1</f>
        <v/>
      </c>
      <c r="AK50" s="450">
        <f>SUM(AD50:AJ50)</f>
        <v/>
      </c>
    </row>
    <row r="51">
      <c r="A51" s="12">
        <f>A50+0.1</f>
        <v/>
      </c>
      <c r="C51" s="42">
        <f>'1₹+1s'!H50</f>
        <v/>
      </c>
      <c r="M51" s="45" t="n"/>
      <c r="AB51" s="83" t="n"/>
      <c r="AC51" s="12">
        <f>AC50+0.1</f>
        <v/>
      </c>
      <c r="AK51" s="450">
        <f>SUM(AD51:AJ51)</f>
        <v/>
      </c>
    </row>
    <row r="52">
      <c r="A52" s="12">
        <f>A51+0.1</f>
        <v/>
      </c>
      <c r="C52" s="42">
        <f>'1₹+1s'!H51</f>
        <v/>
      </c>
      <c r="M52" s="45" t="n"/>
      <c r="AB52" s="83" t="n"/>
      <c r="AC52" s="12">
        <f>AC51+0.1</f>
        <v/>
      </c>
      <c r="AE52" s="38" t="n"/>
      <c r="AK52" s="450">
        <f>SUM(AD52:AJ52)</f>
        <v/>
      </c>
    </row>
    <row r="53">
      <c r="A53" s="12">
        <f>A52+0.1</f>
        <v/>
      </c>
      <c r="C53" s="42">
        <f>'1₹+1s'!H52</f>
        <v/>
      </c>
      <c r="M53" s="45" t="n"/>
      <c r="AB53" s="83" t="n"/>
      <c r="AC53" s="12">
        <f>AC52+0.1</f>
        <v/>
      </c>
      <c r="AK53" s="450">
        <f>SUM(AD53:AJ53)</f>
        <v/>
      </c>
    </row>
    <row r="54">
      <c r="A54" s="12">
        <f>A53+0.1</f>
        <v/>
      </c>
      <c r="C54" s="42">
        <f>'1₹+1s'!H53</f>
        <v/>
      </c>
      <c r="M54" s="45" t="n"/>
      <c r="AB54" s="83" t="n"/>
      <c r="AC54" s="12">
        <f>AC53+0.1</f>
        <v/>
      </c>
      <c r="AK54" s="450">
        <f>SUM(AD54:AJ54)</f>
        <v/>
      </c>
    </row>
    <row r="55">
      <c r="A55" s="450" t="n">
        <v>12.6</v>
      </c>
      <c r="C55" s="42">
        <f>'1₹+1s'!H54</f>
        <v/>
      </c>
      <c r="Z55" s="83" t="n"/>
      <c r="AA55" s="83" t="n"/>
      <c r="AB55" s="83" t="n"/>
      <c r="AC55" s="12">
        <f>AC54+0.1</f>
        <v/>
      </c>
      <c r="AK55" s="450">
        <f>SUM(AD55:AJ55)</f>
        <v/>
      </c>
    </row>
    <row r="56">
      <c r="A56" s="83" t="n"/>
      <c r="C56" s="42">
        <f>'1₹+1s'!H55</f>
        <v/>
      </c>
      <c r="F56" s="83" t="n"/>
      <c r="G56" s="83" t="n"/>
      <c r="H56" s="83" t="n"/>
      <c r="I56" s="83" t="n"/>
      <c r="J56" s="83" t="n"/>
      <c r="K56" s="83" t="n"/>
      <c r="L56" s="83" t="n"/>
      <c r="M56" s="83" t="n"/>
      <c r="N56" s="83" t="n"/>
      <c r="O56" s="83" t="n"/>
      <c r="P56" s="83" t="n"/>
      <c r="Q56" s="83" t="n"/>
      <c r="R56" s="83" t="n"/>
      <c r="S56" s="83" t="n"/>
      <c r="U56" s="83" t="n"/>
      <c r="V56" s="83" t="n"/>
      <c r="W56" s="83" t="n"/>
      <c r="X56" s="83" t="n"/>
      <c r="Y56" s="83" t="n"/>
    </row>
    <row r="57">
      <c r="C57" s="42">
        <f>'1₹+1s'!H56</f>
        <v/>
      </c>
    </row>
  </sheetData>
  <mergeCells count="2">
    <mergeCell ref="B1:E1"/>
    <mergeCell ref="U2:AA2"/>
  </mergeCells>
  <pageMargins left="0.75" right="0.75" top="1" bottom="1" header="0.5" footer="0.5"/>
  <pageSetup orientation="portrait" horizontalDpi="0" verticalDpi="0"/>
</worksheet>
</file>

<file path=xl/worksheets/sheet7.xml><?xml version="1.0" encoding="utf-8"?>
<worksheet xmlns="http://schemas.openxmlformats.org/spreadsheetml/2006/main">
  <sheetPr codeName="Sheet4">
    <tabColor rgb="FF88F79A"/>
    <outlinePr summaryBelow="1" summaryRight="1"/>
    <pageSetUpPr/>
  </sheetPr>
  <dimension ref="A1:BF181"/>
  <sheetViews>
    <sheetView workbookViewId="0">
      <selection activeCell="I7" sqref="I7"/>
    </sheetView>
  </sheetViews>
  <sheetFormatPr baseColWidth="8" defaultColWidth="10.97265625" defaultRowHeight="15"/>
  <cols>
    <col width="7.02734375" customWidth="1" style="37" min="1" max="1"/>
    <col width="5.671875" customWidth="1" style="37" min="2" max="2"/>
    <col width="6.53515625" customWidth="1" style="37" min="3" max="3"/>
    <col width="5.0546875" customWidth="1" style="37" min="4" max="4"/>
    <col width="4.4375" customWidth="1" style="37" min="5" max="9"/>
    <col width="5.546875" customWidth="1" style="37" min="10" max="10"/>
    <col width="4.80859375" customWidth="1" style="37" min="11" max="13"/>
    <col width="5.546875" customWidth="1" style="37" min="14" max="14"/>
    <col width="6.1640625" customWidth="1" style="37" min="15" max="15"/>
    <col width="5.546875" customWidth="1" style="37" min="16" max="16"/>
    <col width="4.80859375" customWidth="1" style="37" min="17" max="17"/>
    <col width="5.17578125" customWidth="1" style="37" min="18" max="18"/>
    <col width="5.0546875" customWidth="1" style="37" min="19" max="19"/>
    <col width="4.80859375" customWidth="1" style="37" min="20" max="20"/>
    <col width="5.0546875" customWidth="1" style="37" min="21" max="21"/>
    <col width="4.19140625" customWidth="1" style="37" min="22" max="22"/>
    <col width="4.4375" customWidth="1" style="37" min="23" max="23"/>
    <col width="5.30078125" customWidth="1" style="37" min="24" max="24"/>
    <col width="5.671875" customWidth="1" style="37" min="25" max="26"/>
    <col width="3.8203125" customWidth="1" style="37" min="27" max="27"/>
    <col width="4.19140625" customWidth="1" style="37" min="28" max="28"/>
    <col width="3.8203125" customWidth="1" style="37" min="29" max="29"/>
    <col width="5.17578125" customWidth="1" style="37" min="30" max="30"/>
    <col width="4.80859375" customWidth="1" style="37" min="31" max="31"/>
    <col width="5.0546875" customWidth="1" style="37" min="32" max="32"/>
    <col width="5.17578125" customWidth="1" style="37" min="33" max="34"/>
    <col width="5.17578125" bestFit="1" customWidth="1" style="37" min="35" max="35"/>
    <col width="3.8203125" customWidth="1" style="37" min="36" max="37"/>
    <col width="6.28515625" customWidth="1" style="37" min="38" max="38"/>
    <col width="4.80859375" customWidth="1" style="37" min="39" max="39"/>
    <col width="5.30078125" customWidth="1" style="37" min="40" max="40"/>
    <col width="5.79296875" customWidth="1" style="45" min="41" max="42"/>
    <col width="44.515625" customWidth="1" style="45" min="43" max="43"/>
    <col width="2.8359375" customWidth="1" style="79" min="44" max="44"/>
    <col width="10.8515625" customWidth="1" style="45" min="45" max="58"/>
  </cols>
  <sheetData>
    <row r="1" ht="74.25" customFormat="1" customHeight="1" s="40">
      <c r="A1" s="419" t="n"/>
      <c r="B1" s="48" t="n">
        <v>5</v>
      </c>
      <c r="C1" s="49" t="inlineStr">
        <is>
          <t>5^1 s</t>
        </is>
      </c>
      <c r="D1" s="50" t="inlineStr">
        <is>
          <t>5^1 g</t>
        </is>
      </c>
      <c r="E1" s="49" t="inlineStr">
        <is>
          <t>i9 HPM</t>
        </is>
      </c>
      <c r="F1" s="49" t="inlineStr">
        <is>
          <t>社
+
hcbp</t>
        </is>
      </c>
      <c r="G1" s="49" t="inlineStr">
        <is>
          <t>时→
f692</t>
        </is>
      </c>
      <c r="H1" s="51" t="inlineStr">
        <is>
          <t>f693</t>
        </is>
      </c>
      <c r="I1" s="49" t="inlineStr">
        <is>
          <t>i9/m7</t>
        </is>
      </c>
      <c r="J1" s="51" t="inlineStr">
        <is>
          <t>1 -2₲</t>
        </is>
      </c>
      <c r="K1" s="51" t="inlineStr">
        <is>
          <t>VM|LI|MSGR</t>
        </is>
      </c>
      <c r="L1" s="51" t="inlineStr">
        <is>
          <t>-1₦ checkin</t>
        </is>
      </c>
      <c r="M1" s="52" t="inlineStr">
        <is>
          <t>f694</t>
        </is>
      </c>
      <c r="N1" s="51" t="inlineStr">
        <is>
          <t>1 xk88</t>
        </is>
      </c>
      <c r="O1" s="49" t="inlineStr">
        <is>
          <t>1 xk87</t>
        </is>
      </c>
      <c r="P1" s="52" t="inlineStr">
        <is>
          <t xml:space="preserve">周末 + aos </t>
        </is>
      </c>
      <c r="Q1" s="51" t="inlineStr">
        <is>
          <t>5^1*2 c084</t>
        </is>
      </c>
      <c r="R1" s="49" t="inlineStr">
        <is>
          <t>s897</t>
        </is>
      </c>
      <c r="S1" s="51" t="inlineStr">
        <is>
          <t>5^1 hcmc</t>
        </is>
      </c>
      <c r="T1" s="49" t="inlineStr">
        <is>
          <t>5^1 hcbc</t>
        </is>
      </c>
      <c r="U1" s="52" t="inlineStr">
        <is>
          <t>long o314</t>
        </is>
      </c>
      <c r="V1" s="51" t="inlineStr">
        <is>
          <t>hcbd: groceries</t>
        </is>
      </c>
      <c r="W1" s="49" t="inlineStr">
        <is>
          <t>5^1 hcme</t>
        </is>
      </c>
      <c r="X1" s="52" t="inlineStr">
        <is>
          <t>出
罗
日</t>
        </is>
      </c>
      <c r="Y1" s="51" t="inlineStr">
        <is>
          <t>5^1 hci</t>
        </is>
      </c>
      <c r="Z1" s="52" t="inlineStr">
        <is>
          <t>长冥想</t>
        </is>
      </c>
      <c r="AA1" s="49" t="inlineStr">
        <is>
          <t>业写</t>
        </is>
      </c>
      <c r="AB1" s="300" t="inlineStr">
        <is>
          <t>一起饭</t>
        </is>
      </c>
      <c r="AC1" s="52" t="inlineStr">
        <is>
          <t>nails</t>
        </is>
      </c>
      <c r="AD1" s="51" t="inlineStr">
        <is>
          <t>AoS</t>
        </is>
      </c>
      <c r="AE1" s="51" t="inlineStr">
        <is>
          <t>family</t>
        </is>
      </c>
      <c r="AF1" s="51" t="inlineStr">
        <is>
          <t>s897</t>
        </is>
      </c>
      <c r="AG1" s="51" t="inlineStr">
        <is>
          <t xml:space="preserve">relax {60} </t>
        </is>
      </c>
      <c r="AH1" s="49" t="inlineStr">
        <is>
          <t>轩轩丰富</t>
        </is>
      </c>
      <c r="AI1" s="49" t="inlineStr">
        <is>
          <t>琪琪丰富</t>
        </is>
      </c>
      <c r="AJ1" s="51" t="inlineStr">
        <is>
          <t>i447</t>
        </is>
      </c>
      <c r="AK1" s="52" t="inlineStr">
        <is>
          <t>对身</t>
        </is>
      </c>
      <c r="AL1" s="52" t="inlineStr">
        <is>
          <t>f695</t>
        </is>
      </c>
      <c r="AM1" s="52" t="inlineStr">
        <is>
          <t xml:space="preserve">kids nature </t>
        </is>
      </c>
      <c r="AN1" s="86" t="inlineStr">
        <is>
          <t>∑</t>
        </is>
      </c>
      <c r="AO1" s="63" t="inlineStr">
        <is>
          <t>avg</t>
        </is>
      </c>
      <c r="AP1" s="63" t="n"/>
      <c r="AQ1" s="301" t="inlineStr">
        <is>
          <t>5^1 ₦ Efficiency Clearance</t>
        </is>
      </c>
      <c r="AR1" s="304" t="n"/>
      <c r="AS1" s="82" t="n"/>
      <c r="AT1" s="82" t="n"/>
      <c r="AU1" s="82" t="n"/>
      <c r="AV1" s="82" t="n"/>
      <c r="AW1" s="82" t="n"/>
      <c r="AX1" s="82" t="n"/>
      <c r="AY1" s="82" t="n"/>
      <c r="AZ1" s="82" t="n"/>
      <c r="BA1" s="82" t="n"/>
      <c r="BB1" s="82" t="n"/>
      <c r="BC1" s="82" t="n"/>
      <c r="BD1" s="82" t="n"/>
      <c r="BE1" s="82" t="n"/>
      <c r="BF1" s="82" t="n"/>
    </row>
    <row r="2">
      <c r="B2" s="153" t="inlineStr">
        <is>
          <t>p(t)</t>
        </is>
      </c>
      <c r="C2" s="429" t="n">
        <v>20</v>
      </c>
      <c r="D2" s="28" t="n">
        <v>20</v>
      </c>
      <c r="E2" s="190" t="n">
        <v>60</v>
      </c>
      <c r="F2" s="19" t="n">
        <v>30</v>
      </c>
      <c r="G2" s="428" t="n">
        <v>10</v>
      </c>
      <c r="H2" s="13" t="n">
        <v>30</v>
      </c>
      <c r="I2" s="190" t="n">
        <v>10</v>
      </c>
      <c r="J2" s="21" t="n">
        <v>13</v>
      </c>
      <c r="K2" s="65" t="n">
        <v>10</v>
      </c>
      <c r="L2" s="21" t="n">
        <v>10</v>
      </c>
      <c r="M2" s="190" t="n">
        <v>5</v>
      </c>
      <c r="N2" s="87" t="n">
        <v>5</v>
      </c>
      <c r="O2" s="87" t="n">
        <v>8</v>
      </c>
      <c r="P2" s="87" t="n">
        <v>20</v>
      </c>
      <c r="Q2" s="437" t="n">
        <v>15</v>
      </c>
      <c r="R2" s="437">
        <f>meta!C73</f>
        <v/>
      </c>
      <c r="S2" s="190" t="n">
        <v>8</v>
      </c>
      <c r="T2" s="335" t="n">
        <v>5</v>
      </c>
      <c r="U2" s="81" t="n">
        <v>30</v>
      </c>
      <c r="V2" s="18" t="n">
        <v>15</v>
      </c>
      <c r="W2" s="154" t="n">
        <v>30</v>
      </c>
      <c r="X2" s="335" t="n">
        <v>10</v>
      </c>
      <c r="Y2" s="29" t="n">
        <v>15</v>
      </c>
      <c r="Z2" s="80" t="n">
        <v>60</v>
      </c>
      <c r="AA2" s="89" t="n">
        <v>60</v>
      </c>
      <c r="AB2" s="290" t="n">
        <v>90</v>
      </c>
      <c r="AC2" s="29" t="n">
        <v>3</v>
      </c>
      <c r="AD2" s="10" t="n">
        <v>15</v>
      </c>
      <c r="AE2" s="13" t="n">
        <v>120</v>
      </c>
      <c r="AF2" s="113" t="n">
        <v>120</v>
      </c>
      <c r="AG2" s="337" t="n">
        <v>60</v>
      </c>
      <c r="AH2" s="87" t="n">
        <v>120</v>
      </c>
      <c r="AI2" s="64" t="n">
        <v>120</v>
      </c>
      <c r="AJ2" s="29" t="n">
        <v>20</v>
      </c>
      <c r="AK2" s="10" t="n">
        <v>60</v>
      </c>
      <c r="AL2" s="248" t="n">
        <v>10</v>
      </c>
      <c r="AM2" s="427" t="n">
        <v>120</v>
      </c>
      <c r="AN2" s="120">
        <f>SUM(C2:AL2)</f>
        <v/>
      </c>
      <c r="AO2" s="83" t="n"/>
      <c r="AP2" s="83" t="n"/>
    </row>
    <row r="3" ht="18" customHeight="1" s="37">
      <c r="B3" s="153" t="inlineStr">
        <is>
          <t>e(分)</t>
        </is>
      </c>
      <c r="C3" s="76" t="n">
        <v>45</v>
      </c>
      <c r="D3" s="76" t="n">
        <v>5</v>
      </c>
      <c r="E3" s="63" t="n">
        <v>60</v>
      </c>
      <c r="F3" s="85" t="n">
        <v>40</v>
      </c>
      <c r="G3" s="235" t="n">
        <v>30</v>
      </c>
      <c r="H3" s="235" t="n">
        <v>30</v>
      </c>
      <c r="I3" s="235" t="n">
        <v>40</v>
      </c>
      <c r="J3" s="378" t="n">
        <v>20</v>
      </c>
      <c r="K3" s="424" t="n">
        <v>20</v>
      </c>
      <c r="L3" s="378" t="n">
        <v>15</v>
      </c>
      <c r="M3" s="235" t="n">
        <v>10</v>
      </c>
      <c r="N3" s="235" t="n">
        <v>15</v>
      </c>
      <c r="O3" s="235" t="n">
        <v>30</v>
      </c>
      <c r="P3" s="235" t="n">
        <v>20</v>
      </c>
      <c r="Q3" s="235" t="n">
        <v>15</v>
      </c>
      <c r="R3" s="235" t="n">
        <v>30</v>
      </c>
      <c r="S3" s="235" t="n">
        <v>15</v>
      </c>
      <c r="T3" s="235" t="n">
        <v>15</v>
      </c>
      <c r="U3" s="85" t="n">
        <v>15</v>
      </c>
      <c r="V3" s="235" t="n">
        <v>20</v>
      </c>
      <c r="W3" s="235" t="n">
        <v>25</v>
      </c>
      <c r="X3" s="85" t="n">
        <v>20</v>
      </c>
      <c r="Y3" s="235" t="n">
        <v>15</v>
      </c>
      <c r="Z3" s="235" t="n">
        <v>30</v>
      </c>
      <c r="AA3" s="235" t="n">
        <v>80</v>
      </c>
      <c r="AB3" s="63" t="n">
        <v>100</v>
      </c>
      <c r="AC3" s="235" t="n">
        <v>3</v>
      </c>
      <c r="AD3" s="235" t="n">
        <v>15</v>
      </c>
      <c r="AE3" s="85" t="n">
        <v>120</v>
      </c>
      <c r="AF3" s="85" t="n">
        <v>120</v>
      </c>
      <c r="AG3" s="85" t="n">
        <v>60</v>
      </c>
      <c r="AH3" s="85" t="n">
        <v>120</v>
      </c>
      <c r="AI3" s="85" t="n">
        <v>120</v>
      </c>
      <c r="AJ3" s="425" t="n">
        <v>25</v>
      </c>
      <c r="AK3" s="235" t="n">
        <v>30</v>
      </c>
      <c r="AL3" s="235" t="n">
        <v>25</v>
      </c>
      <c r="AM3" s="85" t="n">
        <v>120</v>
      </c>
      <c r="AN3" s="120">
        <f>SUM(C3:AM3)</f>
        <v/>
      </c>
      <c r="AO3" s="83" t="n"/>
      <c r="AP3" s="83" t="n"/>
    </row>
    <row r="4">
      <c r="A4" s="45" t="inlineStr">
        <is>
          <t>sf21</t>
        </is>
      </c>
      <c r="B4" s="153" t="n">
        <v>1.1</v>
      </c>
      <c r="C4" s="38" t="n">
        <v>45</v>
      </c>
      <c r="D4" s="450" t="n">
        <v>20</v>
      </c>
      <c r="F4" s="450" t="n">
        <v>35</v>
      </c>
      <c r="G4" s="450" t="n">
        <v>20</v>
      </c>
      <c r="H4" s="450" t="n">
        <v>30</v>
      </c>
      <c r="I4" s="450" t="n">
        <v>60</v>
      </c>
      <c r="J4" s="450" t="n">
        <v>20</v>
      </c>
      <c r="K4" s="450" t="n">
        <v>25</v>
      </c>
      <c r="L4" s="450" t="n">
        <v>15</v>
      </c>
      <c r="M4" s="450" t="n">
        <v>21</v>
      </c>
      <c r="N4" s="450" t="n">
        <v>15</v>
      </c>
      <c r="O4" s="450" t="n">
        <v>30</v>
      </c>
      <c r="P4" s="450" t="n">
        <v>20</v>
      </c>
      <c r="Q4" s="450" t="n">
        <v>15</v>
      </c>
      <c r="R4" s="450" t="n">
        <v>25</v>
      </c>
      <c r="S4" s="450" t="n">
        <v>10</v>
      </c>
      <c r="T4" s="450" t="n">
        <v>15</v>
      </c>
      <c r="U4" s="450" t="n">
        <v>22</v>
      </c>
      <c r="V4" s="450" t="n">
        <v>20</v>
      </c>
      <c r="W4" s="450" t="n">
        <v>30</v>
      </c>
      <c r="X4" s="450" t="n">
        <v>20</v>
      </c>
      <c r="Y4" s="450" t="n">
        <v>15</v>
      </c>
      <c r="Z4" s="450" t="n">
        <v>15</v>
      </c>
      <c r="AA4" s="316" t="n">
        <v>80</v>
      </c>
      <c r="AB4" s="64">
        <f>40+30+30 + 30</f>
        <v/>
      </c>
      <c r="AC4" s="450" t="n">
        <v>3</v>
      </c>
      <c r="AD4" s="450" t="n">
        <v>15</v>
      </c>
      <c r="AE4" s="450">
        <f>20+20+20</f>
        <v/>
      </c>
      <c r="AF4" s="450" t="n">
        <v>120</v>
      </c>
      <c r="AG4" s="450" t="n">
        <v>60</v>
      </c>
      <c r="AH4" s="450" t="n">
        <v>120</v>
      </c>
      <c r="AI4" s="450" t="n">
        <v>120</v>
      </c>
      <c r="AJ4" s="450" t="n">
        <v>25</v>
      </c>
      <c r="AK4" s="450" t="n">
        <v>20</v>
      </c>
      <c r="AL4" s="450" t="n">
        <v>25</v>
      </c>
      <c r="AM4" s="450" t="n">
        <v>120</v>
      </c>
      <c r="AN4" s="120">
        <f>SUM(C4:AL4)</f>
        <v/>
      </c>
      <c r="AO4" s="529">
        <f>SUM(AN4:AN7)/(AN$3*4)</f>
        <v/>
      </c>
      <c r="AP4" s="575">
        <f>AVERAGE(AO4:AO16)</f>
        <v/>
      </c>
      <c r="AQ4" s="530" t="n"/>
    </row>
    <row r="5">
      <c r="A5" s="45" t="inlineStr">
        <is>
          <t>sf21</t>
        </is>
      </c>
      <c r="B5" s="153">
        <f>B4+0.1</f>
        <v/>
      </c>
      <c r="C5" s="450" t="n">
        <v>45</v>
      </c>
      <c r="D5" s="450" t="n">
        <v>20</v>
      </c>
      <c r="E5" s="450" t="n">
        <v>60</v>
      </c>
      <c r="F5" s="450" t="n">
        <v>20</v>
      </c>
      <c r="G5" s="450" t="n">
        <v>20</v>
      </c>
      <c r="H5" s="450" t="n">
        <v>30</v>
      </c>
      <c r="I5" s="450" t="n">
        <v>60</v>
      </c>
      <c r="J5" s="450" t="n">
        <v>20</v>
      </c>
      <c r="K5" s="450" t="n">
        <v>25</v>
      </c>
      <c r="L5" s="450" t="n">
        <v>15</v>
      </c>
      <c r="M5" s="450" t="n">
        <v>10</v>
      </c>
      <c r="N5" s="450" t="n">
        <v>15</v>
      </c>
      <c r="O5" s="450" t="n">
        <v>30</v>
      </c>
      <c r="P5" s="450" t="n">
        <v>20</v>
      </c>
      <c r="Q5" s="450" t="n">
        <v>15</v>
      </c>
      <c r="R5" s="450" t="n">
        <v>25</v>
      </c>
      <c r="S5" s="450" t="n">
        <v>10</v>
      </c>
      <c r="T5" s="450" t="n">
        <v>15</v>
      </c>
      <c r="U5" s="450" t="n">
        <v>29</v>
      </c>
      <c r="V5" s="450" t="n">
        <v>20</v>
      </c>
      <c r="W5" s="450" t="n">
        <v>30</v>
      </c>
      <c r="X5" s="450" t="n">
        <v>20</v>
      </c>
      <c r="Y5" s="450" t="n">
        <v>15</v>
      </c>
      <c r="Z5" s="450" t="n">
        <v>18</v>
      </c>
      <c r="AA5" s="316" t="n">
        <v>80</v>
      </c>
      <c r="AB5" s="450" t="n">
        <v>130</v>
      </c>
      <c r="AC5" s="450" t="n">
        <v>3</v>
      </c>
      <c r="AE5" s="450" t="n">
        <v>80</v>
      </c>
      <c r="AF5" s="450" t="n">
        <v>120</v>
      </c>
      <c r="AG5" s="450" t="n">
        <v>60</v>
      </c>
      <c r="AH5" s="450" t="n">
        <v>120</v>
      </c>
      <c r="AI5" s="450" t="n">
        <v>120</v>
      </c>
      <c r="AL5" s="450" t="n">
        <v>25</v>
      </c>
      <c r="AM5" s="450" t="n">
        <v>120</v>
      </c>
      <c r="AN5" s="120">
        <f>SUM(C5:AL5)</f>
        <v/>
      </c>
      <c r="AO5" s="570" t="n"/>
      <c r="AP5" s="576" t="n"/>
    </row>
    <row r="6">
      <c r="A6" s="45" t="inlineStr">
        <is>
          <t>sf21</t>
        </is>
      </c>
      <c r="B6" s="153">
        <f>B5+0.1</f>
        <v/>
      </c>
      <c r="C6" s="450" t="n">
        <v>45</v>
      </c>
      <c r="D6" s="450" t="n">
        <v>20</v>
      </c>
      <c r="F6" s="450" t="n">
        <v>15</v>
      </c>
      <c r="G6" s="450" t="n">
        <v>20</v>
      </c>
      <c r="I6" s="450" t="n">
        <v>60</v>
      </c>
      <c r="J6" s="450" t="n">
        <v>20</v>
      </c>
      <c r="K6" s="450" t="n">
        <v>25</v>
      </c>
      <c r="L6" s="450" t="n">
        <v>15</v>
      </c>
      <c r="N6" s="450" t="n">
        <v>15</v>
      </c>
      <c r="O6" s="450" t="n">
        <v>30</v>
      </c>
      <c r="P6" s="450" t="n">
        <v>20</v>
      </c>
      <c r="Q6" s="450" t="n">
        <v>15</v>
      </c>
      <c r="R6" s="450" t="n">
        <v>25</v>
      </c>
      <c r="S6" s="450" t="n">
        <v>10</v>
      </c>
      <c r="T6" s="450" t="n">
        <v>15</v>
      </c>
      <c r="U6" s="450" t="n">
        <v>21</v>
      </c>
      <c r="V6" s="450" t="n">
        <v>20</v>
      </c>
      <c r="W6" s="450" t="n">
        <v>30</v>
      </c>
      <c r="X6" s="450" t="n">
        <v>20</v>
      </c>
      <c r="Y6" s="450" t="n">
        <v>15</v>
      </c>
      <c r="Z6" s="450" t="n">
        <v>15</v>
      </c>
      <c r="AA6" s="316" t="n">
        <v>20</v>
      </c>
      <c r="AG6" s="450" t="n">
        <v>60</v>
      </c>
      <c r="AH6" s="450" t="n">
        <v>10</v>
      </c>
      <c r="AI6" s="450" t="n">
        <v>10</v>
      </c>
      <c r="AM6" s="450" t="n">
        <v>120</v>
      </c>
      <c r="AN6" s="120">
        <f>SUM(C6:AL6)</f>
        <v/>
      </c>
      <c r="AO6" s="570" t="n"/>
      <c r="AP6" s="576" t="n"/>
    </row>
    <row r="7">
      <c r="A7" s="45" t="inlineStr">
        <is>
          <t>sf21</t>
        </is>
      </c>
      <c r="B7" s="153">
        <f>B6+0.1</f>
        <v/>
      </c>
      <c r="L7" s="38" t="n"/>
      <c r="U7" s="450" t="n">
        <v>25</v>
      </c>
      <c r="X7" s="450" t="n">
        <v>20</v>
      </c>
      <c r="Z7" s="450" t="n">
        <v>23</v>
      </c>
      <c r="AM7" s="450" t="n">
        <v>60</v>
      </c>
      <c r="AN7" s="120">
        <f>SUM(C7:AL7)</f>
        <v/>
      </c>
      <c r="AO7" s="570" t="n"/>
      <c r="AP7" s="576" t="n"/>
    </row>
    <row r="8">
      <c r="A8" s="45" t="inlineStr">
        <is>
          <t>sf21</t>
        </is>
      </c>
      <c r="B8" s="153">
        <f>B4+1</f>
        <v/>
      </c>
      <c r="K8" s="38" t="n"/>
      <c r="Z8" s="450" t="n">
        <v>16</v>
      </c>
      <c r="AN8" s="120">
        <f>SUM(C8:AK8)</f>
        <v/>
      </c>
      <c r="AO8" s="524">
        <f>SUM(AN8:AN11)/(AN$3*4)</f>
        <v/>
      </c>
      <c r="AP8" s="576" t="n"/>
      <c r="AQ8" s="530" t="n"/>
    </row>
    <row r="9">
      <c r="A9" s="45" t="inlineStr">
        <is>
          <t>sf21</t>
        </is>
      </c>
      <c r="B9" s="153">
        <f>B8+0.1</f>
        <v/>
      </c>
      <c r="AN9" s="120">
        <f>SUM(C9:AL9)</f>
        <v/>
      </c>
      <c r="AO9" s="570" t="n"/>
      <c r="AP9" s="576" t="n"/>
    </row>
    <row r="10" ht="17.1" customHeight="1" s="37">
      <c r="A10" s="45" t="inlineStr">
        <is>
          <t>sf21</t>
        </is>
      </c>
      <c r="B10" s="153">
        <f>B9+0.1</f>
        <v/>
      </c>
      <c r="M10" s="38" t="n"/>
      <c r="AN10" s="119">
        <f>SUM(C10:AK10)</f>
        <v/>
      </c>
      <c r="AO10" s="570" t="n"/>
      <c r="AP10" s="576" t="n"/>
    </row>
    <row r="11">
      <c r="A11" s="45" t="inlineStr">
        <is>
          <t>sf21</t>
        </is>
      </c>
      <c r="B11" s="153">
        <f>B10+0.1</f>
        <v/>
      </c>
      <c r="M11" s="38" t="n"/>
      <c r="AN11" s="120">
        <f>SUM(C10:AJ10)</f>
        <v/>
      </c>
      <c r="AO11" s="570" t="n"/>
      <c r="AP11" s="576" t="n"/>
    </row>
    <row r="12" hidden="1" ht="17.1" customHeight="1" s="37">
      <c r="A12" s="45" t="inlineStr">
        <is>
          <t>sf21</t>
        </is>
      </c>
      <c r="B12" s="153">
        <f>B8+1</f>
        <v/>
      </c>
      <c r="C12" s="38" t="n"/>
      <c r="AN12" s="120">
        <f>SUM(C11:AJ11)</f>
        <v/>
      </c>
      <c r="AO12" s="525">
        <f>SUM(AN12:AN16)/(AN$3*5)</f>
        <v/>
      </c>
      <c r="AP12" s="576" t="n"/>
      <c r="AQ12" s="530" t="n"/>
    </row>
    <row r="13" hidden="1" s="37">
      <c r="A13" s="45" t="inlineStr">
        <is>
          <t>sf21</t>
        </is>
      </c>
      <c r="B13" s="153">
        <f>B12+0.1</f>
        <v/>
      </c>
      <c r="C13" s="38" t="n"/>
      <c r="L13" s="38" t="n"/>
      <c r="AN13" s="120">
        <f>SUM(C13:AL13)</f>
        <v/>
      </c>
      <c r="AO13" s="570" t="n"/>
      <c r="AP13" s="576" t="n"/>
    </row>
    <row r="14" hidden="1" s="37">
      <c r="A14" s="45" t="inlineStr">
        <is>
          <t>sf21</t>
        </is>
      </c>
      <c r="B14" s="153">
        <f>B13+0.1</f>
        <v/>
      </c>
      <c r="C14" s="38" t="n"/>
      <c r="AN14" s="119">
        <f>SUM(C14:AK14)</f>
        <v/>
      </c>
      <c r="AO14" s="570" t="n"/>
      <c r="AP14" s="576" t="n"/>
    </row>
    <row r="15" hidden="1" s="37">
      <c r="A15" s="45" t="inlineStr">
        <is>
          <t>sf21</t>
        </is>
      </c>
      <c r="B15" s="153">
        <f>B14+0.1</f>
        <v/>
      </c>
      <c r="C15" s="38" t="n"/>
      <c r="J15" s="38" t="n"/>
      <c r="AN15" s="119">
        <f>SUM(C15:AK15)</f>
        <v/>
      </c>
      <c r="AO15" s="570" t="n"/>
      <c r="AP15" s="576" t="n"/>
    </row>
    <row r="16" hidden="1" ht="17.1" customHeight="1" s="37">
      <c r="A16" s="45" t="inlineStr">
        <is>
          <t>sf21</t>
        </is>
      </c>
      <c r="B16" s="153">
        <f>B15+0.1</f>
        <v/>
      </c>
      <c r="J16" s="38" t="n"/>
      <c r="AN16" s="120">
        <f>SUM(C15:AJ15)</f>
        <v/>
      </c>
      <c r="AO16" s="571" t="n"/>
      <c r="AP16" s="577" t="n"/>
    </row>
    <row r="17" hidden="1" ht="17.1" customHeight="1" s="37">
      <c r="A17" s="45" t="inlineStr">
        <is>
          <t>sf21</t>
        </is>
      </c>
      <c r="B17" s="153" t="n">
        <v>4.1</v>
      </c>
      <c r="AN17" s="120">
        <f>SUM(C16:AJ16)</f>
        <v/>
      </c>
      <c r="AO17" s="529">
        <f>SUM(AN17:AN20)/(AN$3*4)</f>
        <v/>
      </c>
      <c r="AP17" s="575">
        <f>AVERAGE(AO17:AO29)</f>
        <v/>
      </c>
      <c r="AQ17" s="530" t="n"/>
    </row>
    <row r="18" hidden="1" s="37">
      <c r="A18" s="45" t="inlineStr">
        <is>
          <t>sf21</t>
        </is>
      </c>
      <c r="B18" s="153">
        <f>B17+0.1</f>
        <v/>
      </c>
      <c r="AN18" s="120">
        <f>SUM(C17:AJ17)</f>
        <v/>
      </c>
      <c r="AO18" s="570" t="n"/>
      <c r="AP18" s="576" t="n"/>
    </row>
    <row r="19" hidden="1" s="37">
      <c r="A19" s="45" t="inlineStr">
        <is>
          <t>sf21</t>
        </is>
      </c>
      <c r="B19" s="153">
        <f>B18+0.1</f>
        <v/>
      </c>
      <c r="AN19" s="120">
        <f>SUM(C18:AJ18)</f>
        <v/>
      </c>
      <c r="AO19" s="570" t="n"/>
      <c r="AP19" s="576" t="n"/>
    </row>
    <row r="20" hidden="1" ht="17.1" customHeight="1" s="37">
      <c r="A20" s="45" t="inlineStr">
        <is>
          <t>sf21</t>
        </is>
      </c>
      <c r="B20" s="153">
        <f>B19+0.1</f>
        <v/>
      </c>
      <c r="AN20" s="120">
        <f>SUM(C19:AJ19)</f>
        <v/>
      </c>
      <c r="AO20" s="570" t="n"/>
      <c r="AP20" s="576" t="n"/>
    </row>
    <row r="21" hidden="1" s="37">
      <c r="A21" s="45" t="inlineStr">
        <is>
          <t>sf21</t>
        </is>
      </c>
      <c r="B21" s="153">
        <f>B17+1</f>
        <v/>
      </c>
      <c r="J21" s="38" t="n"/>
      <c r="AN21" s="120">
        <f>SUM(C20:AJ20)</f>
        <v/>
      </c>
      <c r="AO21" s="524">
        <f>SUM(AN21:AN24)/(AN$3*4)</f>
        <v/>
      </c>
      <c r="AP21" s="576" t="n"/>
      <c r="AQ21" s="530" t="n"/>
    </row>
    <row r="22" hidden="1" ht="17.1" customHeight="1" s="37">
      <c r="A22" s="45" t="inlineStr">
        <is>
          <t>sf21</t>
        </is>
      </c>
      <c r="B22" s="153">
        <f>B21+0.1</f>
        <v/>
      </c>
      <c r="AN22" s="120">
        <f>SUM(C21:AJ21)</f>
        <v/>
      </c>
      <c r="AO22" s="570" t="n"/>
      <c r="AP22" s="576" t="n"/>
    </row>
    <row r="23" hidden="1" s="37">
      <c r="A23" s="45" t="inlineStr">
        <is>
          <t>sf21</t>
        </is>
      </c>
      <c r="B23" s="153">
        <f>B22+0.1</f>
        <v/>
      </c>
      <c r="AN23" s="120">
        <f>SUM(C22:AJ22)</f>
        <v/>
      </c>
      <c r="AO23" s="570" t="n"/>
      <c r="AP23" s="576" t="n"/>
    </row>
    <row r="24" hidden="1" s="37">
      <c r="A24" s="45" t="inlineStr">
        <is>
          <t>sf21</t>
        </is>
      </c>
      <c r="B24" s="153">
        <f>B23+0.1</f>
        <v/>
      </c>
      <c r="AH24" s="38" t="n"/>
      <c r="AN24" s="120">
        <f>SUM(C23:AJ23)</f>
        <v/>
      </c>
      <c r="AO24" s="570" t="n"/>
      <c r="AP24" s="576" t="n"/>
    </row>
    <row r="25" hidden="1" s="37">
      <c r="A25" s="45" t="inlineStr">
        <is>
          <t>sf21</t>
        </is>
      </c>
      <c r="B25" s="153">
        <f>B21+1</f>
        <v/>
      </c>
      <c r="AN25" s="120">
        <f>SUM(C24:AJ24)</f>
        <v/>
      </c>
      <c r="AO25" s="525">
        <f>SUM(AN25:AN29)/(AN$3*5)</f>
        <v/>
      </c>
      <c r="AP25" s="576" t="n"/>
      <c r="AQ25" s="530" t="n"/>
    </row>
    <row r="26" hidden="1" s="37">
      <c r="A26" s="45" t="inlineStr">
        <is>
          <t>sf21</t>
        </is>
      </c>
      <c r="B26" s="153">
        <f>B25+0.1</f>
        <v/>
      </c>
      <c r="J26" s="38" t="n"/>
      <c r="AN26" s="120">
        <f>SUM(C25:AJ25)</f>
        <v/>
      </c>
      <c r="AO26" s="570" t="n"/>
      <c r="AP26" s="576" t="n"/>
    </row>
    <row r="27" hidden="1" ht="17.1" customHeight="1" s="37">
      <c r="A27" s="45" t="inlineStr">
        <is>
          <t>sf21</t>
        </is>
      </c>
      <c r="B27" s="153">
        <f>B26+0.1</f>
        <v/>
      </c>
      <c r="AN27" s="120">
        <f>SUM(C26:AJ26)</f>
        <v/>
      </c>
      <c r="AO27" s="570" t="n"/>
      <c r="AP27" s="576" t="n"/>
    </row>
    <row r="28" hidden="1" s="37">
      <c r="A28" s="45" t="inlineStr">
        <is>
          <t>sf21</t>
        </is>
      </c>
      <c r="B28" s="153">
        <f>B27+0.1</f>
        <v/>
      </c>
      <c r="AN28" s="120">
        <f>SUM(C27:AJ27)</f>
        <v/>
      </c>
      <c r="AO28" s="570" t="n"/>
      <c r="AP28" s="576" t="n"/>
    </row>
    <row r="29" hidden="1" ht="17.1" customHeight="1" s="37">
      <c r="A29" s="45" t="inlineStr">
        <is>
          <t>sf21</t>
        </is>
      </c>
      <c r="B29" s="153">
        <f>B28+0.1</f>
        <v/>
      </c>
      <c r="AN29" s="120">
        <f>SUM(C28:AJ28)</f>
        <v/>
      </c>
      <c r="AO29" s="571" t="n"/>
      <c r="AP29" s="577" t="n"/>
    </row>
    <row r="30" hidden="1" ht="17.1" customHeight="1" s="37">
      <c r="A30" s="45" t="inlineStr">
        <is>
          <t>sf21</t>
        </is>
      </c>
      <c r="B30" s="153">
        <f>B17+3</f>
        <v/>
      </c>
      <c r="AN30" s="120">
        <f>SUM(C29:AJ29)</f>
        <v/>
      </c>
      <c r="AO30" s="529">
        <f>SUM(AN30:AN33)/(AN$3*4)</f>
        <v/>
      </c>
      <c r="AP30" s="575">
        <f>AVERAGE(AO30:AO42)</f>
        <v/>
      </c>
      <c r="AQ30" s="530" t="n"/>
    </row>
    <row r="31" hidden="1" s="37">
      <c r="A31" s="45" t="inlineStr">
        <is>
          <t>sf21</t>
        </is>
      </c>
      <c r="B31" s="153">
        <f>B30+0.1</f>
        <v/>
      </c>
      <c r="AN31" s="120">
        <f>SUM(C30:AJ30)</f>
        <v/>
      </c>
      <c r="AO31" s="570" t="n"/>
      <c r="AP31" s="576" t="n"/>
    </row>
    <row r="32" hidden="1" s="37">
      <c r="A32" s="45" t="inlineStr">
        <is>
          <t>sf21</t>
        </is>
      </c>
      <c r="B32" s="153">
        <f>B31+0.1</f>
        <v/>
      </c>
      <c r="AN32" s="120">
        <f>SUM(C31:AJ31)</f>
        <v/>
      </c>
      <c r="AO32" s="570" t="n"/>
      <c r="AP32" s="576" t="n"/>
    </row>
    <row r="33" hidden="1" s="37">
      <c r="A33" s="45" t="inlineStr">
        <is>
          <t>sf21</t>
        </is>
      </c>
      <c r="B33" s="153">
        <f>B32+0.1</f>
        <v/>
      </c>
      <c r="AN33" s="120">
        <f>SUM(C32:AJ32)</f>
        <v/>
      </c>
      <c r="AO33" s="570" t="n"/>
      <c r="AP33" s="576" t="n"/>
    </row>
    <row r="34" hidden="1" s="37">
      <c r="A34" s="45" t="inlineStr">
        <is>
          <t>sf21</t>
        </is>
      </c>
      <c r="B34" s="153">
        <f>B30+1</f>
        <v/>
      </c>
      <c r="AN34" s="120">
        <f>SUM(C33:AJ33)</f>
        <v/>
      </c>
      <c r="AO34" s="524">
        <f>SUM(AN34:AN37)/(AN$3*4)</f>
        <v/>
      </c>
      <c r="AP34" s="576" t="n"/>
      <c r="AQ34" s="530" t="n"/>
    </row>
    <row r="35" hidden="1" ht="17.1" customHeight="1" s="37">
      <c r="A35" s="45" t="inlineStr">
        <is>
          <t>sf21</t>
        </is>
      </c>
      <c r="B35" s="153">
        <f>B34+0.1</f>
        <v/>
      </c>
      <c r="G35" s="38" t="n"/>
      <c r="J35" s="38" t="n"/>
      <c r="AN35" s="120">
        <f>SUM(C34:AJ34)</f>
        <v/>
      </c>
      <c r="AO35" s="570" t="n"/>
      <c r="AP35" s="576" t="n"/>
    </row>
    <row r="36" hidden="1" s="37">
      <c r="A36" s="45" t="inlineStr">
        <is>
          <t>sf21</t>
        </is>
      </c>
      <c r="B36" s="153">
        <f>B35+0.1</f>
        <v/>
      </c>
      <c r="L36" s="38" t="n"/>
      <c r="AN36" s="120">
        <f>SUM(C35:AJ35)</f>
        <v/>
      </c>
      <c r="AO36" s="570" t="n"/>
      <c r="AP36" s="576" t="n"/>
    </row>
    <row r="37" hidden="1" s="37">
      <c r="A37" s="45" t="inlineStr">
        <is>
          <t>sf21</t>
        </is>
      </c>
      <c r="B37" s="153">
        <f>B36+0.1</f>
        <v/>
      </c>
      <c r="AN37" s="120">
        <f>SUM(C36:AJ36)</f>
        <v/>
      </c>
      <c r="AO37" s="570" t="n"/>
      <c r="AP37" s="576" t="n"/>
    </row>
    <row r="38" hidden="1" s="37">
      <c r="A38" s="45" t="inlineStr">
        <is>
          <t>sf21</t>
        </is>
      </c>
      <c r="B38" s="153">
        <f>B34+1</f>
        <v/>
      </c>
      <c r="C38" s="38" t="n"/>
      <c r="D38" s="38" t="n"/>
      <c r="AN38" s="120">
        <f>SUM(C37:AJ37)</f>
        <v/>
      </c>
      <c r="AO38" s="525">
        <f>SUM(AN38:AN42)/(AN$3*5)</f>
        <v/>
      </c>
      <c r="AP38" s="576" t="n"/>
      <c r="AQ38" s="530" t="n"/>
    </row>
    <row r="39" hidden="1" s="37">
      <c r="A39" s="45" t="inlineStr">
        <is>
          <t>sf21</t>
        </is>
      </c>
      <c r="B39" s="153">
        <f>B38+0.1</f>
        <v/>
      </c>
      <c r="AN39" s="120">
        <f>SUM(C38:AJ38)</f>
        <v/>
      </c>
      <c r="AO39" s="570" t="n"/>
      <c r="AP39" s="576" t="n"/>
    </row>
    <row r="40" hidden="1" ht="17.1" customHeight="1" s="37">
      <c r="A40" s="45" t="inlineStr">
        <is>
          <t>sf21</t>
        </is>
      </c>
      <c r="B40" s="153">
        <f>B39+0.1</f>
        <v/>
      </c>
      <c r="D40" s="38" t="n"/>
      <c r="AN40" s="120">
        <f>SUM(C39:AJ39)</f>
        <v/>
      </c>
      <c r="AO40" s="570" t="n"/>
      <c r="AP40" s="576" t="n"/>
    </row>
    <row r="41" hidden="1" s="37">
      <c r="A41" s="45" t="inlineStr">
        <is>
          <t>sf21</t>
        </is>
      </c>
      <c r="B41" s="153">
        <f>B40+0.1</f>
        <v/>
      </c>
      <c r="AN41" s="120">
        <f>SUM(C40:AJ40)</f>
        <v/>
      </c>
      <c r="AO41" s="570" t="n"/>
      <c r="AP41" s="576" t="n"/>
    </row>
    <row r="42" hidden="1" ht="17.1" customHeight="1" s="37">
      <c r="A42" s="45" t="inlineStr">
        <is>
          <t>sf21</t>
        </is>
      </c>
      <c r="B42" s="153">
        <f>B41+0.1</f>
        <v/>
      </c>
      <c r="AN42" s="120">
        <f>SUM(C41:AJ41)</f>
        <v/>
      </c>
      <c r="AO42" s="571" t="n"/>
      <c r="AP42" s="577" t="n"/>
    </row>
    <row r="43" hidden="1" ht="17.1" customHeight="1" s="37">
      <c r="A43" s="45" t="inlineStr">
        <is>
          <t>sf21</t>
        </is>
      </c>
      <c r="B43" s="153">
        <f>B30+3</f>
        <v/>
      </c>
      <c r="J43" s="38" t="n"/>
      <c r="AN43" s="120">
        <f>SUM(C42:AJ42)</f>
        <v/>
      </c>
      <c r="AO43" s="529">
        <f>SUM(AN43:AN46)/(AN$3*4)</f>
        <v/>
      </c>
      <c r="AP43" s="575">
        <f>AVERAGE(AO43:AO55)</f>
        <v/>
      </c>
      <c r="AQ43" s="530" t="n"/>
    </row>
    <row r="44" hidden="1" s="37">
      <c r="A44" s="45" t="inlineStr">
        <is>
          <t>sf21</t>
        </is>
      </c>
      <c r="B44" s="153">
        <f>B43+0.1</f>
        <v/>
      </c>
      <c r="AN44" s="120">
        <f>SUM(C43:AJ43)</f>
        <v/>
      </c>
      <c r="AO44" s="570" t="n"/>
      <c r="AP44" s="576" t="n"/>
    </row>
    <row r="45" hidden="1" s="37">
      <c r="A45" s="45" t="inlineStr">
        <is>
          <t>sf21</t>
        </is>
      </c>
      <c r="B45" s="153">
        <f>B44+0.1</f>
        <v/>
      </c>
      <c r="AN45" s="120">
        <f>SUM(C44:AJ44)</f>
        <v/>
      </c>
      <c r="AO45" s="570" t="n"/>
      <c r="AP45" s="576" t="n"/>
    </row>
    <row r="46" hidden="1" s="37">
      <c r="A46" s="45" t="inlineStr">
        <is>
          <t>sf21</t>
        </is>
      </c>
      <c r="B46" s="153">
        <f>B45+0.1</f>
        <v/>
      </c>
      <c r="L46" s="38" t="n"/>
      <c r="AN46" s="120">
        <f>SUM(C45:AJ45)</f>
        <v/>
      </c>
      <c r="AO46" s="570" t="n"/>
      <c r="AP46" s="576" t="n"/>
    </row>
    <row r="47" hidden="1" s="37">
      <c r="A47" s="45" t="inlineStr">
        <is>
          <t>sf21</t>
        </is>
      </c>
      <c r="B47" s="153">
        <f>B43+1</f>
        <v/>
      </c>
      <c r="L47" s="38" t="n"/>
      <c r="AN47" s="120">
        <f>SUM(C46:AJ46)</f>
        <v/>
      </c>
      <c r="AO47" s="529">
        <f>SUM(AN47:AN50)/(AN$3*4)</f>
        <v/>
      </c>
      <c r="AP47" s="576" t="n"/>
      <c r="AQ47" s="530" t="n"/>
    </row>
    <row r="48" hidden="1" ht="17.1" customHeight="1" s="37">
      <c r="A48" s="45" t="inlineStr">
        <is>
          <t>sf21</t>
        </is>
      </c>
      <c r="B48" s="153">
        <f>B47+0.1</f>
        <v/>
      </c>
      <c r="AN48" s="120">
        <f>SUM(C47:AJ47)</f>
        <v/>
      </c>
      <c r="AO48" s="570" t="n"/>
      <c r="AP48" s="576" t="n"/>
    </row>
    <row r="49" hidden="1" s="37">
      <c r="A49" s="45" t="inlineStr">
        <is>
          <t>sf21</t>
        </is>
      </c>
      <c r="B49" s="153">
        <f>B48+0.1</f>
        <v/>
      </c>
      <c r="AN49" s="120">
        <f>SUM(C48:AJ48)</f>
        <v/>
      </c>
      <c r="AO49" s="570" t="n"/>
      <c r="AP49" s="576" t="n"/>
    </row>
    <row r="50" hidden="1" s="37">
      <c r="A50" s="45" t="inlineStr">
        <is>
          <t>sf21</t>
        </is>
      </c>
      <c r="B50" s="153">
        <f>B49+0.1</f>
        <v/>
      </c>
      <c r="AN50" s="120">
        <f>SUM(C49:AJ49)</f>
        <v/>
      </c>
      <c r="AO50" s="570" t="n"/>
      <c r="AP50" s="576" t="n"/>
    </row>
    <row r="51" hidden="1" s="37">
      <c r="A51" s="45" t="inlineStr">
        <is>
          <t>sf21</t>
        </is>
      </c>
      <c r="B51" s="153">
        <f>B47+1</f>
        <v/>
      </c>
      <c r="AN51" s="120">
        <f>SUM(C50:AJ50)</f>
        <v/>
      </c>
      <c r="AO51" s="525">
        <f>SUM(AN51:AN55)/(AN$3*5)</f>
        <v/>
      </c>
      <c r="AP51" s="576" t="n"/>
      <c r="AQ51" s="531" t="n"/>
    </row>
    <row r="52" hidden="1" s="37">
      <c r="A52" s="45" t="inlineStr">
        <is>
          <t>sf21</t>
        </is>
      </c>
      <c r="B52" s="153">
        <f>B51+0.1</f>
        <v/>
      </c>
      <c r="AN52" s="120">
        <f>SUM(C51:AJ51)</f>
        <v/>
      </c>
      <c r="AO52" s="570" t="n"/>
      <c r="AP52" s="576" t="n"/>
    </row>
    <row r="53" hidden="1" ht="17.1" customHeight="1" s="37">
      <c r="A53" s="45" t="inlineStr">
        <is>
          <t>sf21</t>
        </is>
      </c>
      <c r="B53" s="153">
        <f>B52+0.1</f>
        <v/>
      </c>
      <c r="AN53" s="120">
        <f>SUM(C52:AJ52)</f>
        <v/>
      </c>
      <c r="AO53" s="570" t="n"/>
      <c r="AP53" s="576" t="n"/>
    </row>
    <row r="54" hidden="1" s="37">
      <c r="A54" s="45" t="inlineStr">
        <is>
          <t>sf21</t>
        </is>
      </c>
      <c r="B54" s="153">
        <f>B53+0.1</f>
        <v/>
      </c>
      <c r="AN54" s="120">
        <f>SUM(C53:AJ53)</f>
        <v/>
      </c>
      <c r="AO54" s="570" t="n"/>
      <c r="AP54" s="576" t="n"/>
    </row>
    <row r="55" hidden="1" ht="17.1" customHeight="1" s="37">
      <c r="A55" s="45" t="inlineStr">
        <is>
          <t>sf21</t>
        </is>
      </c>
      <c r="B55" s="153">
        <f>B54+0.1</f>
        <v/>
      </c>
      <c r="AN55" s="120">
        <f>SUM(C54:AJ54)</f>
        <v/>
      </c>
      <c r="AO55" s="571" t="n"/>
      <c r="AP55" s="577" t="n"/>
    </row>
    <row r="56">
      <c r="B56" s="173" t="n"/>
      <c r="C56" s="174" t="n"/>
      <c r="D56" s="174" t="n"/>
      <c r="E56" s="174" t="n"/>
      <c r="F56" s="174" t="n"/>
      <c r="G56" s="174" t="n"/>
      <c r="H56" s="174" t="n"/>
      <c r="I56" s="175" t="n"/>
      <c r="J56" s="174" t="n"/>
      <c r="K56" s="174" t="n"/>
      <c r="L56" s="174" t="n"/>
      <c r="M56" s="174" t="n"/>
      <c r="N56" s="174" t="n"/>
      <c r="O56" s="174" t="n"/>
      <c r="P56" s="174" t="n"/>
      <c r="Q56" s="174" t="n"/>
      <c r="R56" s="174" t="n"/>
      <c r="S56" s="174" t="n"/>
      <c r="T56" s="174" t="n"/>
      <c r="U56" s="174" t="n"/>
      <c r="V56" s="174" t="n"/>
      <c r="W56" s="174" t="n"/>
      <c r="X56" s="174" t="n"/>
      <c r="Y56" s="174" t="n"/>
      <c r="Z56" s="174" t="n"/>
      <c r="AA56" s="174" t="n"/>
      <c r="AB56" s="174" t="n"/>
      <c r="AC56" s="174" t="n"/>
      <c r="AD56" s="174" t="n"/>
      <c r="AE56" s="174" t="n"/>
      <c r="AF56" s="174" t="n"/>
      <c r="AG56" s="174" t="n"/>
      <c r="AH56" s="174" t="n"/>
      <c r="AI56" s="174" t="n"/>
      <c r="AJ56" s="174" t="n"/>
      <c r="AK56" s="174" t="n"/>
      <c r="AL56" s="174" t="n"/>
      <c r="AM56" s="174" t="n"/>
      <c r="AN56" s="174" t="n"/>
      <c r="AO56" s="174" t="n"/>
      <c r="AP56" s="174" t="n"/>
    </row>
    <row r="57">
      <c r="B57" s="153" t="n"/>
      <c r="AL57" s="2" t="n"/>
      <c r="AM57" s="2" t="n"/>
    </row>
    <row r="58" ht="17.1" customHeight="1" s="37"/>
    <row r="59" ht="17.1" customHeight="1" s="37">
      <c r="A59" s="69" t="n"/>
      <c r="B59" s="69" t="n"/>
      <c r="C59" s="69" t="n"/>
      <c r="D59" s="69" t="inlineStr">
        <is>
          <t>₹</t>
        </is>
      </c>
      <c r="E59" s="70" t="n">
        <v>1</v>
      </c>
      <c r="F59" s="70" t="n">
        <v>2</v>
      </c>
      <c r="G59" s="70" t="n">
        <v>3</v>
      </c>
      <c r="H59" s="70">
        <f>G59+1</f>
        <v/>
      </c>
      <c r="I59" s="70">
        <f>H59+1</f>
        <v/>
      </c>
      <c r="J59" s="70">
        <f>I59+1</f>
        <v/>
      </c>
      <c r="K59" s="70">
        <f>J59+1</f>
        <v/>
      </c>
      <c r="L59" s="70">
        <f>K59+1</f>
        <v/>
      </c>
      <c r="M59" s="70">
        <f>L59+1</f>
        <v/>
      </c>
      <c r="N59" s="70">
        <f>M59+1</f>
        <v/>
      </c>
      <c r="O59" s="70">
        <f>N59+1</f>
        <v/>
      </c>
      <c r="P59" s="70">
        <f>O59+1</f>
        <v/>
      </c>
      <c r="Y59" s="71" t="inlineStr">
        <is>
          <t>cat</t>
        </is>
      </c>
      <c r="Z59" s="71" t="n"/>
      <c r="AA59" s="71" t="inlineStr">
        <is>
          <t>task</t>
        </is>
      </c>
      <c r="AB59" s="71" t="n"/>
      <c r="AC59" s="71" t="n"/>
      <c r="AD59" s="71" t="inlineStr">
        <is>
          <t>⊝分</t>
        </is>
      </c>
      <c r="AE59" s="69" t="n"/>
      <c r="AF59" s="69" t="inlineStr">
        <is>
          <t>Q1</t>
        </is>
      </c>
      <c r="AG59" s="69" t="inlineStr">
        <is>
          <t>Q2</t>
        </is>
      </c>
      <c r="AH59" s="69" t="n"/>
      <c r="AI59" s="69" t="inlineStr">
        <is>
          <t>Q3</t>
        </is>
      </c>
      <c r="AJ59" s="69" t="inlineStr">
        <is>
          <t>Q4</t>
        </is>
      </c>
      <c r="AK59" s="83" t="n"/>
    </row>
    <row r="60" ht="17.1" customHeight="1" s="37">
      <c r="A60" s="235" t="n">
        <v>1</v>
      </c>
      <c r="B60" s="369" t="inlineStr">
        <is>
          <t>5^2 org</t>
        </is>
      </c>
      <c r="C60" s="337" t="n"/>
      <c r="D60" s="148" t="n">
        <v>60</v>
      </c>
      <c r="E60" s="394" t="n">
        <v>60</v>
      </c>
      <c r="P60" s="394" t="n"/>
      <c r="Y60" s="85" t="n"/>
      <c r="Z60" s="335" t="n"/>
      <c r="AA60" s="335" t="n"/>
      <c r="AB60" s="335" t="n"/>
      <c r="AC60" s="335" t="n"/>
      <c r="AD60" s="2" t="n"/>
      <c r="AE60" s="335" t="n"/>
      <c r="AK60" s="83" t="n"/>
    </row>
    <row r="61" ht="17.1" customHeight="1" s="37">
      <c r="A61" s="235" t="n">
        <v>3</v>
      </c>
      <c r="B61" s="370" t="inlineStr">
        <is>
          <t>5^2 s (上月的)</t>
        </is>
      </c>
      <c r="C61" s="340" t="n"/>
      <c r="D61" s="148" t="n">
        <v>60</v>
      </c>
      <c r="E61" s="395" t="n">
        <v>60</v>
      </c>
      <c r="Y61" s="85" t="inlineStr">
        <is>
          <t>m5x2</t>
        </is>
      </c>
      <c r="Z61" s="85" t="n"/>
      <c r="AA61" s="445" t="inlineStr">
        <is>
          <t xml:space="preserve">r202 Leasing </t>
        </is>
      </c>
      <c r="AD61" s="29" t="n">
        <v>200</v>
      </c>
      <c r="AE61" s="20" t="n"/>
      <c r="AF61" s="450" t="n">
        <v>100</v>
      </c>
      <c r="AK61" s="83" t="n"/>
    </row>
    <row r="62" ht="17.1" customHeight="1" s="37">
      <c r="A62" s="235" t="n">
        <v>3</v>
      </c>
      <c r="B62" s="370" t="inlineStr">
        <is>
          <t>5^2 g (5^3 checkin)</t>
        </is>
      </c>
      <c r="C62" s="340" t="n"/>
      <c r="D62" s="148" t="n">
        <v>60</v>
      </c>
      <c r="Y62" s="439" t="n"/>
      <c r="Z62" s="439" t="n"/>
      <c r="AA62" s="445" t="inlineStr">
        <is>
          <t>r202 TRS</t>
        </is>
      </c>
      <c r="AD62" s="450" t="n">
        <v>200</v>
      </c>
      <c r="AF62" s="450" t="n">
        <v>100</v>
      </c>
    </row>
    <row r="63" ht="17.1" customHeight="1" s="37">
      <c r="A63" s="235" t="n">
        <v>4</v>
      </c>
      <c r="B63" s="371" t="inlineStr">
        <is>
          <t>Date / Fancy Act</t>
        </is>
      </c>
      <c r="C63" s="351" t="n"/>
      <c r="D63" s="148" t="n">
        <v>180</v>
      </c>
      <c r="E63" s="64" t="n">
        <v>120</v>
      </c>
      <c r="P63" s="322" t="n"/>
      <c r="Y63" s="85" t="n"/>
      <c r="Z63" s="85" t="n"/>
      <c r="AA63" s="445" t="inlineStr">
        <is>
          <t>r203</t>
        </is>
      </c>
      <c r="AD63" s="29" t="n">
        <v>200</v>
      </c>
      <c r="AE63" s="20" t="n"/>
      <c r="AF63" s="450" t="n">
        <v>100</v>
      </c>
      <c r="AK63" s="83" t="n"/>
    </row>
    <row r="64" ht="17.1" customHeight="1" s="37">
      <c r="A64" s="235" t="n">
        <v>3</v>
      </c>
      <c r="B64" s="144" t="inlineStr">
        <is>
          <t>5^2 time audit + checksum for prev. month</t>
        </is>
      </c>
      <c r="C64" s="338" t="n"/>
      <c r="D64" s="148" t="n">
        <v>10</v>
      </c>
      <c r="E64" s="100" t="n">
        <v>10</v>
      </c>
      <c r="P64" s="100" t="n"/>
      <c r="Y64" s="85" t="n"/>
      <c r="Z64" s="85" t="n"/>
      <c r="AA64" s="445" t="inlineStr">
        <is>
          <t>r203 - proj</t>
        </is>
      </c>
      <c r="AD64" s="12" t="n">
        <v>100</v>
      </c>
      <c r="AE64" s="20" t="n"/>
      <c r="AF64" s="335" t="n">
        <v>50</v>
      </c>
      <c r="AG64" s="335" t="n"/>
      <c r="AH64" s="335" t="n"/>
      <c r="AI64" s="335" t="n"/>
      <c r="AK64" s="83" t="n"/>
    </row>
    <row r="65" ht="17.1" customHeight="1" s="37">
      <c r="A65" s="235" t="n">
        <v>6</v>
      </c>
      <c r="B65" s="372" t="inlineStr">
        <is>
          <t>Rent roll prelim check</t>
        </is>
      </c>
      <c r="C65" s="352" t="n"/>
      <c r="D65" s="148" t="n">
        <v>15</v>
      </c>
      <c r="Y65" s="85" t="n"/>
      <c r="Z65" s="85" t="n"/>
      <c r="AA65" s="445" t="inlineStr">
        <is>
          <t>c12n</t>
        </is>
      </c>
      <c r="AD65" s="12" t="n">
        <v>100</v>
      </c>
      <c r="AE65" s="20" t="n"/>
    </row>
    <row r="66" ht="17.1" customHeight="1" s="37">
      <c r="A66" s="235" t="n">
        <v>7</v>
      </c>
      <c r="B66" s="372" t="inlineStr">
        <is>
          <t>r202 P&amp;L</t>
        </is>
      </c>
      <c r="C66" s="352" t="n"/>
      <c r="D66" s="148" t="n">
        <v>10</v>
      </c>
      <c r="Y66" s="85" t="n"/>
      <c r="Z66" s="85" t="n"/>
      <c r="AA66" s="445" t="inlineStr">
        <is>
          <t>h5c7</t>
        </is>
      </c>
      <c r="AD66" s="450" t="n">
        <v>80</v>
      </c>
      <c r="AE66" s="20" t="n"/>
    </row>
    <row r="67" ht="15.95" customHeight="1" s="37">
      <c r="A67" s="235" t="n">
        <v>7</v>
      </c>
      <c r="B67" s="372" t="inlineStr">
        <is>
          <t>h5c7 P&amp;L</t>
        </is>
      </c>
      <c r="C67" s="352" t="n"/>
      <c r="D67" s="148" t="n">
        <v>10</v>
      </c>
      <c r="Y67" s="85" t="n"/>
      <c r="Z67" s="85" t="n"/>
      <c r="AA67" s="445" t="inlineStr">
        <is>
          <t>m5x2</t>
        </is>
      </c>
      <c r="AD67" s="12" t="n">
        <v>200</v>
      </c>
      <c r="AE67" s="20" t="n"/>
    </row>
    <row r="68" ht="15.95" customHeight="1" s="37">
      <c r="A68" s="235" t="n">
        <v>7</v>
      </c>
      <c r="B68" s="372" t="inlineStr">
        <is>
          <t>r203 P&amp;L</t>
        </is>
      </c>
      <c r="C68" s="352" t="n"/>
      <c r="D68" s="335" t="n">
        <v>10</v>
      </c>
      <c r="Y68" s="85" t="inlineStr">
        <is>
          <t>PFS</t>
        </is>
      </c>
      <c r="Z68" s="85" t="n"/>
      <c r="AD68" s="450" t="n">
        <v>80</v>
      </c>
      <c r="AE68" s="335" t="n"/>
      <c r="AK68" s="83" t="n"/>
    </row>
    <row r="69" ht="15.95" customHeight="1" s="37">
      <c r="A69" s="235" t="n">
        <v>7</v>
      </c>
      <c r="B69" s="372" t="inlineStr">
        <is>
          <t>m5x2 0,I, II P&amp;L</t>
        </is>
      </c>
      <c r="C69" s="352" t="n"/>
      <c r="D69" s="148" t="n">
        <v>100</v>
      </c>
      <c r="E69" s="450" t="n">
        <v>50</v>
      </c>
      <c r="Y69" s="85" t="inlineStr">
        <is>
          <t>hcm</t>
        </is>
      </c>
      <c r="Z69" s="85" t="n"/>
      <c r="AA69" s="445" t="inlineStr">
        <is>
          <t>Moral Audit</t>
        </is>
      </c>
      <c r="AD69" s="12" t="n">
        <v>40</v>
      </c>
      <c r="AE69" s="20" t="n"/>
      <c r="AK69" s="83" t="n"/>
    </row>
    <row r="70" ht="17.1" customHeight="1" s="37">
      <c r="A70" s="235" t="n">
        <v>8</v>
      </c>
      <c r="B70" s="373" t="inlineStr">
        <is>
          <t>Snail mail Triage</t>
        </is>
      </c>
      <c r="C70" s="353" t="n"/>
      <c r="D70" s="148" t="n">
        <v>30</v>
      </c>
      <c r="Y70" s="85" t="inlineStr">
        <is>
          <t>xk88</t>
        </is>
      </c>
      <c r="Z70" s="85" t="n"/>
      <c r="AA70" s="488" t="inlineStr">
        <is>
          <t>State of the Union Day</t>
        </is>
      </c>
      <c r="AD70" s="12" t="n">
        <v>400</v>
      </c>
      <c r="AE70" s="20" t="n"/>
      <c r="AK70" s="83" t="n"/>
    </row>
    <row r="71" ht="15.95" customHeight="1" s="37">
      <c r="A71" s="235" t="n">
        <v>12</v>
      </c>
      <c r="B71" s="416" t="inlineStr">
        <is>
          <t>Medium event w/LX (7+ ppl/不是家)</t>
        </is>
      </c>
      <c r="C71" s="416" t="n"/>
      <c r="D71" s="148" t="n">
        <v>180</v>
      </c>
      <c r="E71" s="450" t="n">
        <v>180</v>
      </c>
      <c r="P71" s="406" t="n"/>
      <c r="Y71" s="85" t="inlineStr">
        <is>
          <t>g245</t>
        </is>
      </c>
      <c r="Z71" s="85" t="n"/>
      <c r="AA71" s="445" t="inlineStr">
        <is>
          <t xml:space="preserve">4g checkin </t>
        </is>
      </c>
      <c r="AD71" s="12" t="n">
        <v>40</v>
      </c>
      <c r="AE71" s="20" t="n"/>
      <c r="AK71" s="83" t="n"/>
    </row>
    <row r="72" ht="15.95" customHeight="1" s="37">
      <c r="A72" s="235" t="n">
        <v>15</v>
      </c>
      <c r="B72" s="354" t="inlineStr">
        <is>
          <t>1 ₦ efficiency</t>
        </is>
      </c>
      <c r="C72" s="354" t="n"/>
      <c r="D72" s="148" t="n">
        <v>25</v>
      </c>
      <c r="P72" s="395" t="n"/>
      <c r="Y72" s="85" t="inlineStr">
        <is>
          <t>g245</t>
        </is>
      </c>
      <c r="Z72" s="85" t="n"/>
      <c r="AA72" s="445" t="inlineStr">
        <is>
          <t>prev 5^3 survey</t>
        </is>
      </c>
      <c r="AD72" s="12" t="n">
        <v>45</v>
      </c>
      <c r="AE72" s="20" t="n"/>
      <c r="AK72" s="83" t="n"/>
    </row>
    <row r="73" ht="15.95" customHeight="1" s="37">
      <c r="A73" s="235" t="n">
        <v>16</v>
      </c>
      <c r="B73" s="353" t="inlineStr">
        <is>
          <t>dealflow + 现金</t>
        </is>
      </c>
      <c r="C73" s="353" t="n"/>
      <c r="D73" s="148" t="n">
        <v>25</v>
      </c>
      <c r="P73" s="290" t="n"/>
      <c r="Y73" s="85" t="inlineStr">
        <is>
          <t>g245</t>
        </is>
      </c>
      <c r="Z73" s="85" t="n"/>
      <c r="AA73" s="445" t="inlineStr">
        <is>
          <t>₦ Refresh</t>
        </is>
      </c>
      <c r="AD73" s="12" t="n">
        <v>60</v>
      </c>
      <c r="AE73" s="20" t="n"/>
      <c r="AK73" s="83" t="n"/>
    </row>
    <row r="74" ht="15.95" customHeight="1" s="37">
      <c r="A74" s="235" t="n">
        <v>17</v>
      </c>
      <c r="B74" s="133" t="inlineStr">
        <is>
          <t>more hair</t>
        </is>
      </c>
      <c r="C74" s="133" t="n"/>
      <c r="D74" s="148" t="n">
        <v>10</v>
      </c>
      <c r="Y74" s="85" t="inlineStr">
        <is>
          <t>g245</t>
        </is>
      </c>
      <c r="Z74" s="85" t="n"/>
      <c r="AA74" s="445" t="inlineStr">
        <is>
          <t>1s meta</t>
        </is>
      </c>
      <c r="AD74" s="12" t="n">
        <v>30</v>
      </c>
      <c r="AE74" s="20" t="n"/>
      <c r="AK74" s="83" t="n"/>
    </row>
    <row r="75" ht="15.95" customHeight="1" s="37">
      <c r="A75" s="235" t="n">
        <v>18</v>
      </c>
      <c r="B75" s="415" t="inlineStr">
        <is>
          <t>xk87 habits + 学</t>
        </is>
      </c>
      <c r="C75" s="415" t="n"/>
      <c r="D75" s="148" t="n">
        <v>60</v>
      </c>
      <c r="Y75" s="85" t="inlineStr">
        <is>
          <t>g245</t>
        </is>
      </c>
      <c r="Z75" s="85" t="n"/>
      <c r="AA75" s="445" t="inlineStr">
        <is>
          <t>2s meta</t>
        </is>
      </c>
      <c r="AD75" s="12" t="n">
        <v>30</v>
      </c>
      <c r="AE75" s="20" t="n"/>
      <c r="AK75" s="83" t="n"/>
    </row>
    <row r="76" ht="15.95" customHeight="1" s="37">
      <c r="A76" s="235" t="n">
        <v>19</v>
      </c>
      <c r="B76" s="339" t="inlineStr">
        <is>
          <t xml:space="preserve">State of Mind </t>
        </is>
      </c>
      <c r="C76" s="339" t="n"/>
      <c r="D76" s="148" t="n">
        <v>30</v>
      </c>
      <c r="Y76" s="85" t="inlineStr">
        <is>
          <t>f693</t>
        </is>
      </c>
      <c r="Z76" s="85" t="n"/>
      <c r="AA76" s="445" t="inlineStr">
        <is>
          <t>Talk with reports about career progress</t>
        </is>
      </c>
      <c r="AD76" s="12" t="inlineStr">
        <is>
          <t xml:space="preserve">100 x rprt </t>
        </is>
      </c>
      <c r="AE76" s="20" t="n"/>
      <c r="AK76" s="83" t="n"/>
    </row>
    <row r="77" ht="15.95" customHeight="1" s="37">
      <c r="A77" s="235" t="n">
        <v>20</v>
      </c>
      <c r="B77" s="339" t="inlineStr">
        <is>
          <t>Read + Comment on -1; -5; -25</t>
        </is>
      </c>
      <c r="C77" s="339" t="n"/>
      <c r="D77" s="148" t="n">
        <v>30</v>
      </c>
      <c r="P77" s="45" t="n"/>
      <c r="Y77" s="85" t="inlineStr">
        <is>
          <t>f693</t>
        </is>
      </c>
      <c r="Z77" s="85" t="n"/>
      <c r="AA77" s="445" t="inlineStr">
        <is>
          <t>Talk about skip level reports</t>
        </is>
      </c>
      <c r="AD77" s="12" t="inlineStr">
        <is>
          <t xml:space="preserve">30 x rprt </t>
        </is>
      </c>
      <c r="AE77" s="20" t="n"/>
      <c r="AK77" s="83" t="n"/>
    </row>
    <row r="78" ht="15.95" customHeight="1" s="37">
      <c r="A78" s="235" t="n">
        <v>22</v>
      </c>
      <c r="B78" s="417" t="inlineStr">
        <is>
          <t>Replace CPAP</t>
        </is>
      </c>
      <c r="C78" s="417" t="n"/>
      <c r="D78" s="148" t="n">
        <v>10</v>
      </c>
      <c r="Y78" s="85" t="inlineStr">
        <is>
          <t>hcb</t>
        </is>
      </c>
      <c r="Z78" s="85" t="n"/>
      <c r="AA78" s="445" t="inlineStr">
        <is>
          <t>Bodyspec</t>
        </is>
      </c>
      <c r="AD78" s="12" t="n">
        <v>100</v>
      </c>
      <c r="AE78" s="20" t="n"/>
      <c r="AK78" s="83" t="n"/>
    </row>
    <row r="79" ht="15.95" customHeight="1" s="37">
      <c r="A79" s="235" t="n">
        <v>24</v>
      </c>
      <c r="B79" s="351" t="inlineStr">
        <is>
          <t>Toy / Book 换</t>
        </is>
      </c>
      <c r="C79" s="351" t="n"/>
      <c r="D79" s="148" t="n">
        <v>30</v>
      </c>
      <c r="P79" s="64" t="n"/>
      <c r="Y79" s="85" t="inlineStr">
        <is>
          <t>hcb</t>
        </is>
      </c>
      <c r="Z79" s="85" t="n"/>
      <c r="AA79" s="445" t="inlineStr">
        <is>
          <t>mile run + chest strength</t>
        </is>
      </c>
      <c r="AD79" s="12" t="n">
        <v>80</v>
      </c>
      <c r="AE79" s="20" t="n"/>
      <c r="AK79" s="83" t="n"/>
    </row>
    <row r="80" ht="15.95" customHeight="1" s="37">
      <c r="A80" s="235" t="n">
        <v>26</v>
      </c>
      <c r="B80" s="339" t="inlineStr">
        <is>
          <t>Upset Review （上月的）</t>
        </is>
      </c>
      <c r="C80" s="339" t="n"/>
      <c r="D80" s="148" t="n">
        <v>30</v>
      </c>
      <c r="P80" s="339" t="n"/>
      <c r="Y80" s="85" t="inlineStr">
        <is>
          <t>f693</t>
        </is>
      </c>
      <c r="Z80" s="85" t="n"/>
      <c r="AA80" s="445" t="inlineStr">
        <is>
          <t xml:space="preserve">Feedback + Roles </t>
        </is>
      </c>
      <c r="AB80" s="445" t="n"/>
      <c r="AC80" s="445" t="n"/>
      <c r="AE80" s="20" t="n"/>
      <c r="AK80" s="83" t="n"/>
    </row>
    <row r="81" ht="15.95" customHeight="1" s="37">
      <c r="A81" s="235" t="n">
        <v>28</v>
      </c>
      <c r="B81" s="417" t="inlineStr">
        <is>
          <t>5^0 g meta</t>
        </is>
      </c>
      <c r="C81" s="417" t="n"/>
      <c r="D81" s="148" t="n">
        <v>15</v>
      </c>
      <c r="Y81" s="85" t="n"/>
      <c r="Z81" s="85" t="n"/>
      <c r="AA81" s="445" t="inlineStr">
        <is>
          <t>阿珊</t>
        </is>
      </c>
      <c r="AB81" s="445" t="n"/>
      <c r="AC81" s="445" t="n"/>
      <c r="AD81" s="12" t="n">
        <v>200</v>
      </c>
      <c r="AE81" s="20" t="n"/>
      <c r="AK81" s="83" t="n"/>
    </row>
    <row r="82" ht="15.95" customHeight="1" s="37">
      <c r="A82" s="235" t="n">
        <v>29</v>
      </c>
      <c r="B82" s="415" t="inlineStr">
        <is>
          <t>Plan下月特日</t>
        </is>
      </c>
      <c r="C82" s="415" t="n"/>
      <c r="D82" s="335" t="n">
        <v>100</v>
      </c>
      <c r="Y82" s="85" t="n"/>
      <c r="Z82" s="85" t="n"/>
      <c r="AA82" s="445" t="inlineStr">
        <is>
          <t>Ian</t>
        </is>
      </c>
      <c r="AB82" s="445" t="n"/>
      <c r="AC82" s="445" t="n"/>
      <c r="AD82" s="148" t="n">
        <v>200</v>
      </c>
      <c r="AE82" s="20" t="n"/>
      <c r="AK82" s="83" t="n"/>
    </row>
    <row r="83" ht="15.95" customHeight="1" s="37">
      <c r="A83" s="450" t="n">
        <v>30</v>
      </c>
      <c r="B83" s="488" t="inlineStr">
        <is>
          <t>Ashan checkin</t>
        </is>
      </c>
      <c r="C83" s="488" t="n"/>
      <c r="D83" s="45" t="n">
        <v>100</v>
      </c>
      <c r="E83" s="45" t="n"/>
      <c r="F83" s="45" t="n">
        <v>100</v>
      </c>
      <c r="G83" s="45" t="n"/>
      <c r="H83" s="45" t="n"/>
      <c r="I83" s="45" t="n"/>
      <c r="J83" s="45" t="n"/>
      <c r="K83" s="45" t="n"/>
      <c r="L83" s="45" t="n"/>
      <c r="M83" s="45" t="n"/>
      <c r="N83" s="322" t="n">
        <v>100</v>
      </c>
      <c r="O83" s="45" t="n"/>
      <c r="P83" s="322" t="n">
        <v>60</v>
      </c>
      <c r="Y83" s="85" t="n"/>
      <c r="Z83" s="85" t="n"/>
      <c r="AA83" s="445" t="inlineStr">
        <is>
          <t>Ben</t>
        </is>
      </c>
      <c r="AB83" s="445" t="n"/>
      <c r="AC83" s="445" t="n"/>
      <c r="AD83" s="450" t="n">
        <v>200</v>
      </c>
      <c r="AE83" s="20" t="n"/>
      <c r="AK83" s="83" t="n"/>
    </row>
    <row r="84" ht="15.95" customHeight="1" s="37">
      <c r="A84" s="450" t="n">
        <v>31</v>
      </c>
      <c r="B84" s="415" t="inlineStr">
        <is>
          <t xml:space="preserve">Special Event (s) </t>
        </is>
      </c>
      <c r="C84" s="415" t="n"/>
      <c r="D84" s="45" t="n">
        <v>200</v>
      </c>
      <c r="E84" s="45" t="n"/>
      <c r="F84" s="45">
        <f>200+0.78*200</f>
        <v/>
      </c>
      <c r="G84" s="45" t="n">
        <v>0</v>
      </c>
      <c r="H84" s="45" t="n">
        <v>0</v>
      </c>
      <c r="I84" s="45" t="n">
        <v>0</v>
      </c>
      <c r="J84" s="45" t="n">
        <v>100</v>
      </c>
      <c r="K84" s="45" t="n">
        <v>100</v>
      </c>
      <c r="L84" s="45" t="n">
        <v>100</v>
      </c>
      <c r="M84" s="45" t="n">
        <v>100</v>
      </c>
      <c r="N84" s="45" t="n"/>
      <c r="O84" s="45" t="n">
        <v>200</v>
      </c>
      <c r="P84" s="322" t="n">
        <v>200</v>
      </c>
      <c r="Y84" s="85" t="n"/>
      <c r="Z84" s="85" t="n"/>
      <c r="AA84" s="445" t="n"/>
      <c r="AB84" s="445" t="n"/>
      <c r="AC84" s="445" t="n"/>
      <c r="AD84" s="450" t="n">
        <v>200</v>
      </c>
      <c r="AE84" s="20" t="n"/>
      <c r="AK84" s="83" t="n"/>
    </row>
    <row r="85" ht="18" customHeight="1" s="37">
      <c r="A85" s="83" t="inlineStr">
        <is>
          <t>∑</t>
        </is>
      </c>
      <c r="B85" s="83" t="n"/>
      <c r="C85" s="83" t="n"/>
      <c r="D85" s="76">
        <f>SUM(D60:D84)</f>
        <v/>
      </c>
      <c r="E85" s="76">
        <f>SUM(E60:E82)</f>
        <v/>
      </c>
      <c r="F85" s="76">
        <f>SUM(F60:F84)</f>
        <v/>
      </c>
      <c r="G85" s="76">
        <f>SUM(G60:G82)</f>
        <v/>
      </c>
      <c r="H85" s="76">
        <f>SUM(H60:H82)</f>
        <v/>
      </c>
      <c r="I85" s="76">
        <f>SUM(I60:I82)</f>
        <v/>
      </c>
      <c r="J85" s="76">
        <f>SUM(J60:J84)</f>
        <v/>
      </c>
      <c r="K85" s="76">
        <f>SUM(K60:K82)</f>
        <v/>
      </c>
      <c r="L85" s="76">
        <f>SUM(L60:L82)</f>
        <v/>
      </c>
      <c r="M85" s="76">
        <f>SUM(M60:M82)</f>
        <v/>
      </c>
      <c r="N85" s="76">
        <f>SUM(N60:N82)</f>
        <v/>
      </c>
      <c r="O85" s="76">
        <f>SUM(O60:O82)</f>
        <v/>
      </c>
      <c r="P85" s="76">
        <f>SUM(P60:P82)</f>
        <v/>
      </c>
      <c r="Y85" s="85" t="inlineStr">
        <is>
          <t>qz12</t>
        </is>
      </c>
      <c r="Z85" s="85" t="n"/>
      <c r="AA85" s="445" t="inlineStr">
        <is>
          <t>time&lt;&gt;$ calculation</t>
        </is>
      </c>
      <c r="AB85" s="445" t="n"/>
      <c r="AC85" s="445" t="n"/>
      <c r="AD85" s="12" t="n">
        <v>10</v>
      </c>
      <c r="AE85" s="20" t="n"/>
      <c r="AK85" s="83" t="n"/>
    </row>
    <row r="86" ht="18" customHeight="1" s="37">
      <c r="A86" s="83" t="n"/>
      <c r="B86" s="83" t="n"/>
      <c r="C86" s="83" t="n"/>
      <c r="D86" s="76" t="n"/>
      <c r="E86" s="246">
        <f>SUM(E85:G85)/(D85*3)</f>
        <v/>
      </c>
      <c r="F86" s="246" t="n"/>
      <c r="G86" s="246" t="n"/>
      <c r="H86" s="246">
        <f>SUM(H85:J85)/(($D85-30)*3)</f>
        <v/>
      </c>
      <c r="I86" s="246" t="n"/>
      <c r="J86" s="246" t="n"/>
      <c r="K86" s="246">
        <f>SUM(K85:M85)/(($D85-30)*3)</f>
        <v/>
      </c>
      <c r="L86" s="76" t="n"/>
      <c r="M86" s="76" t="n"/>
      <c r="N86" s="76" t="n"/>
      <c r="O86" s="76" t="n"/>
      <c r="Y86" s="85" t="inlineStr">
        <is>
          <t>wb</t>
        </is>
      </c>
      <c r="Z86" s="85" t="n"/>
      <c r="AA86" s="445" t="inlineStr">
        <is>
          <t>efficiency (下季度）</t>
        </is>
      </c>
      <c r="AB86" s="445" t="n"/>
      <c r="AC86" s="445" t="n"/>
      <c r="AD86" s="12" t="n">
        <v>400</v>
      </c>
      <c r="AE86" s="20" t="n"/>
      <c r="AK86" s="83" t="n"/>
    </row>
    <row r="87" ht="18" customHeight="1" s="37">
      <c r="A87" s="83" t="n"/>
      <c r="B87" s="83" t="n"/>
      <c r="C87" s="83" t="n"/>
      <c r="D87" s="76" t="n"/>
      <c r="E87" s="246" t="n"/>
      <c r="F87" s="246" t="n"/>
      <c r="G87" s="246" t="n"/>
      <c r="H87" s="274">
        <f>SUM(H60:J82)</f>
        <v/>
      </c>
      <c r="I87" s="274">
        <f>SUM(H85:J85)</f>
        <v/>
      </c>
      <c r="J87" s="274" t="n"/>
      <c r="K87" s="274">
        <f>SUM(K60:L82)</f>
        <v/>
      </c>
      <c r="L87" s="274" t="n"/>
      <c r="M87" s="76" t="n"/>
      <c r="N87" s="76" t="n"/>
      <c r="O87" s="76" t="n"/>
      <c r="Y87" s="85" t="inlineStr">
        <is>
          <t>qz12</t>
        </is>
      </c>
      <c r="Z87" s="85" t="n"/>
      <c r="AA87" s="445" t="inlineStr">
        <is>
          <t>Net Worth</t>
        </is>
      </c>
      <c r="AB87" s="445" t="n"/>
      <c r="AC87" s="445" t="n"/>
      <c r="AD87" s="12" t="n">
        <v>100</v>
      </c>
      <c r="AE87" s="20" t="n"/>
      <c r="AK87" s="83" t="n"/>
    </row>
    <row r="88" ht="17.1" customHeight="1" s="37">
      <c r="B88" s="153" t="n"/>
      <c r="Y88" s="85" t="n"/>
      <c r="Z88" s="85" t="n"/>
      <c r="AA88" s="445" t="n"/>
      <c r="AB88" s="445" t="n"/>
      <c r="AC88" s="445" t="n"/>
      <c r="AD88" s="12" t="n"/>
      <c r="AE88" s="20" t="n"/>
      <c r="AK88" s="83" t="n"/>
    </row>
    <row r="89" ht="17.1" customHeight="1" s="37">
      <c r="B89" s="336" t="inlineStr">
        <is>
          <t>cat</t>
        </is>
      </c>
      <c r="C89" s="336" t="inlineStr">
        <is>
          <t>Task</t>
        </is>
      </c>
      <c r="D89" s="63" t="n"/>
      <c r="E89" s="63" t="n"/>
      <c r="F89" s="76" t="inlineStr">
        <is>
          <t>Time</t>
        </is>
      </c>
      <c r="G89" s="76" t="n"/>
      <c r="H89" s="76" t="n"/>
      <c r="I89" s="76" t="inlineStr">
        <is>
          <t>₹</t>
        </is>
      </c>
      <c r="J89" s="76" t="n"/>
      <c r="K89" s="76" t="n"/>
      <c r="L89" s="76" t="n"/>
      <c r="M89" s="336" t="n">
        <v>2019</v>
      </c>
      <c r="N89" s="336" t="n">
        <v>2020</v>
      </c>
      <c r="O89" s="336" t="n">
        <v>2021</v>
      </c>
      <c r="P89" s="336" t="inlineStr">
        <is>
          <t>2022</t>
        </is>
      </c>
      <c r="Q89" s="336">
        <f>P89+1</f>
        <v/>
      </c>
      <c r="R89" s="336">
        <f>Q89+1</f>
        <v/>
      </c>
      <c r="S89" s="274" t="n">
        <v>2025</v>
      </c>
      <c r="T89" s="440" t="n">
        <v>2026</v>
      </c>
      <c r="Y89" s="85" t="inlineStr">
        <is>
          <t>m5x2</t>
        </is>
      </c>
      <c r="Z89" s="85" t="n"/>
      <c r="AA89" s="445" t="inlineStr">
        <is>
          <t xml:space="preserve">Stress Test </t>
        </is>
      </c>
      <c r="AB89" s="445" t="n"/>
      <c r="AC89" s="445" t="n"/>
      <c r="AD89" s="12" t="n">
        <v>60</v>
      </c>
      <c r="AE89" s="20" t="n"/>
      <c r="AK89" s="83" t="n"/>
    </row>
    <row r="90" ht="15.95" customHeight="1" s="37">
      <c r="B90" s="450" t="inlineStr">
        <is>
          <t>m5x7</t>
        </is>
      </c>
      <c r="C90" s="450" t="inlineStr">
        <is>
          <t>annual rent review</t>
        </is>
      </c>
      <c r="F90" s="335" t="n">
        <v>90</v>
      </c>
      <c r="G90" s="335" t="n"/>
      <c r="I90" s="335" t="n">
        <v>300</v>
      </c>
      <c r="K90" s="148" t="n"/>
      <c r="L90" s="148" t="n"/>
      <c r="M90" s="248" t="n">
        <v>300</v>
      </c>
      <c r="N90" s="396" t="n">
        <v>300</v>
      </c>
      <c r="O90" s="396" t="n">
        <v>300</v>
      </c>
      <c r="P90" s="290" t="n">
        <v>300</v>
      </c>
      <c r="Q90" s="290" t="n">
        <v>300</v>
      </c>
      <c r="R90" s="290" t="n">
        <v>300</v>
      </c>
      <c r="S90" s="290" t="n">
        <v>150</v>
      </c>
      <c r="T90" s="450" t="n">
        <v>250</v>
      </c>
      <c r="Y90" s="45" t="inlineStr">
        <is>
          <t xml:space="preserve">xk87 </t>
        </is>
      </c>
      <c r="AA90" s="445" t="inlineStr">
        <is>
          <t xml:space="preserve">PTC and Kids Checkin </t>
        </is>
      </c>
      <c r="AB90" s="445" t="n"/>
      <c r="AC90" s="445" t="n"/>
      <c r="AD90" s="450" t="n">
        <v>180</v>
      </c>
      <c r="AE90" s="20" t="n"/>
      <c r="AK90" s="83" t="n"/>
    </row>
    <row r="91" ht="17.1" customHeight="1" s="37">
      <c r="B91" s="450" t="inlineStr">
        <is>
          <t>g245</t>
        </is>
      </c>
      <c r="C91" s="472" t="inlineStr">
        <is>
          <t xml:space="preserve">5^4 g + s </t>
        </is>
      </c>
      <c r="F91" s="335" t="n">
        <v>900</v>
      </c>
      <c r="G91" s="335" t="n"/>
      <c r="I91" s="335" t="n"/>
      <c r="K91" s="148" t="n"/>
      <c r="L91" s="148" t="n"/>
      <c r="M91" s="148" t="n"/>
      <c r="N91" s="148" t="n"/>
      <c r="O91" s="148" t="n"/>
      <c r="P91" s="148" t="n"/>
      <c r="Q91" s="148" t="n"/>
      <c r="R91" s="148" t="n"/>
      <c r="S91" s="148" t="n"/>
      <c r="T91" s="148" t="n"/>
      <c r="Y91" s="45" t="inlineStr">
        <is>
          <t>qz12</t>
        </is>
      </c>
      <c r="Z91" s="45" t="n"/>
      <c r="AA91" s="401" t="inlineStr">
        <is>
          <t>JM P&amp;L  (上月的)</t>
        </is>
      </c>
      <c r="AB91" s="401" t="n"/>
      <c r="AC91" s="401" t="n"/>
      <c r="AD91" s="12" t="n">
        <v>60</v>
      </c>
      <c r="AE91" s="20" t="n"/>
      <c r="AK91" s="83" t="n"/>
    </row>
    <row r="92" ht="17.1" customHeight="1" s="37">
      <c r="C92" s="445" t="inlineStr">
        <is>
          <t>hcm</t>
        </is>
      </c>
      <c r="D92" s="445" t="n"/>
      <c r="J92" s="335" t="n">
        <v>200</v>
      </c>
      <c r="K92" s="148" t="n"/>
      <c r="L92" s="148" t="n"/>
      <c r="M92" s="399" t="n">
        <v>100</v>
      </c>
      <c r="N92" s="399" t="n">
        <v>200</v>
      </c>
      <c r="O92" s="399" t="n">
        <v>200</v>
      </c>
      <c r="P92" s="399" t="n">
        <v>200</v>
      </c>
      <c r="Q92" s="399" t="n">
        <v>200</v>
      </c>
      <c r="R92" s="400" t="n">
        <v>200</v>
      </c>
      <c r="S92" s="400" t="n">
        <v>200</v>
      </c>
      <c r="T92" s="400" t="n">
        <v>200</v>
      </c>
      <c r="Y92" s="45" t="inlineStr">
        <is>
          <t>家</t>
        </is>
      </c>
      <c r="Z92" s="45" t="n"/>
      <c r="AA92" s="401" t="inlineStr">
        <is>
          <t>rlx fam Weekend</t>
        </is>
      </c>
      <c r="AB92" s="401" t="n"/>
      <c r="AC92" s="401" t="n"/>
      <c r="AD92" s="12" t="n">
        <v>200</v>
      </c>
      <c r="AE92" s="20" t="n"/>
      <c r="AK92" s="83" t="n"/>
    </row>
    <row r="93" ht="17.1" customHeight="1" s="37">
      <c r="C93" s="450" t="inlineStr">
        <is>
          <t>hci</t>
        </is>
      </c>
      <c r="J93" s="335" t="n">
        <v>100</v>
      </c>
      <c r="K93" s="148" t="n"/>
      <c r="L93" s="148" t="n"/>
      <c r="M93" s="397" t="n">
        <v>100</v>
      </c>
      <c r="N93" s="397" t="n">
        <v>200</v>
      </c>
      <c r="O93" s="397" t="n">
        <v>200</v>
      </c>
      <c r="P93" s="397" t="n">
        <v>200</v>
      </c>
      <c r="Q93" s="397" t="n">
        <v>200</v>
      </c>
      <c r="R93" s="394" t="n">
        <v>100</v>
      </c>
      <c r="S93" s="394" t="n">
        <v>100</v>
      </c>
      <c r="T93" s="394" t="n">
        <v>100</v>
      </c>
      <c r="Y93" s="531" t="inlineStr">
        <is>
          <t>2s meta</t>
        </is>
      </c>
      <c r="Z93" s="531" t="n"/>
      <c r="AA93" s="445" t="n"/>
      <c r="AB93" s="445" t="n"/>
      <c r="AC93" s="445" t="n"/>
      <c r="AD93" s="12" t="n"/>
      <c r="AE93" s="20" t="n"/>
      <c r="AK93" s="83" t="n"/>
    </row>
    <row r="94" ht="17.1" customHeight="1" s="37">
      <c r="C94" s="450" t="inlineStr">
        <is>
          <t>hcb</t>
        </is>
      </c>
      <c r="J94" s="335" t="n">
        <v>200</v>
      </c>
      <c r="K94" s="148" t="n"/>
      <c r="L94" s="148" t="n"/>
      <c r="M94" s="404" t="n">
        <v>100</v>
      </c>
      <c r="N94" s="404" t="n">
        <v>200</v>
      </c>
      <c r="O94" s="404" t="n">
        <v>200</v>
      </c>
      <c r="P94" s="404" t="n">
        <v>200</v>
      </c>
      <c r="Q94" s="404" t="n">
        <v>200</v>
      </c>
      <c r="R94" s="275" t="n">
        <v>200</v>
      </c>
      <c r="S94" s="275" t="n">
        <v>200</v>
      </c>
      <c r="T94" s="275" t="n">
        <v>200</v>
      </c>
      <c r="Z94" s="45" t="n"/>
      <c r="AA94" s="445" t="n"/>
      <c r="AB94" s="445" t="n"/>
      <c r="AC94" s="445" t="n"/>
      <c r="AE94" s="20" t="n"/>
      <c r="AK94" s="83" t="n"/>
    </row>
    <row r="95" ht="15.95" customHeight="1" s="37">
      <c r="C95" s="450" t="inlineStr">
        <is>
          <t xml:space="preserve">xk87 (incl xk88) </t>
        </is>
      </c>
      <c r="J95" s="335" t="n">
        <v>600</v>
      </c>
      <c r="K95" s="148" t="n"/>
      <c r="L95" s="148" t="n"/>
      <c r="M95" s="87" t="n">
        <v>100</v>
      </c>
      <c r="N95" s="87" t="n">
        <v>200</v>
      </c>
      <c r="O95" s="87" t="n">
        <v>200</v>
      </c>
      <c r="P95" s="87" t="n">
        <v>200</v>
      </c>
      <c r="Q95" s="87" t="n">
        <v>200</v>
      </c>
      <c r="R95" s="64" t="n">
        <v>200</v>
      </c>
      <c r="S95" s="64" t="n">
        <v>450</v>
      </c>
      <c r="T95" s="64" t="n">
        <v>400</v>
      </c>
      <c r="Y95" s="45" t="n"/>
      <c r="Z95" s="45" t="n"/>
      <c r="AA95" s="445" t="n"/>
      <c r="AB95" s="445" t="n"/>
      <c r="AC95" s="445" t="n"/>
      <c r="AE95" s="20" t="n"/>
      <c r="AF95" s="335" t="n"/>
      <c r="AG95" s="335" t="n"/>
      <c r="AH95" s="335" t="n"/>
      <c r="AI95" s="2" t="n"/>
      <c r="AK95" s="83" t="n"/>
    </row>
    <row r="96" ht="17.1" customHeight="1" s="37">
      <c r="C96" s="473" t="inlineStr">
        <is>
          <t>s897 + 家 + i445</t>
        </is>
      </c>
      <c r="D96" s="473" t="n"/>
      <c r="E96" s="384" t="n"/>
      <c r="J96" s="335" t="n">
        <v>200</v>
      </c>
      <c r="K96" s="148" t="n"/>
      <c r="L96" s="148" t="n"/>
      <c r="M96" s="335" t="n">
        <v>100</v>
      </c>
      <c r="N96" s="335" t="n">
        <v>200</v>
      </c>
      <c r="O96" s="335" t="n">
        <v>200</v>
      </c>
      <c r="P96" s="335" t="n">
        <v>200</v>
      </c>
      <c r="Q96" s="335" t="n">
        <v>200</v>
      </c>
      <c r="R96" s="450" t="n">
        <v>200</v>
      </c>
      <c r="S96" s="450" t="n">
        <v>200</v>
      </c>
      <c r="Y96" s="45" t="n"/>
      <c r="Z96" s="45" t="n"/>
      <c r="AA96" s="445" t="n"/>
      <c r="AB96" s="445" t="n"/>
      <c r="AC96" s="445" t="n"/>
      <c r="AE96" s="20" t="n"/>
      <c r="AF96" s="2" t="n"/>
      <c r="AG96" s="335" t="n"/>
      <c r="AH96" s="335" t="n"/>
      <c r="AK96" s="83" t="n"/>
    </row>
    <row r="97" ht="15" customHeight="1" s="37">
      <c r="C97" s="395" t="inlineStr">
        <is>
          <t>g245</t>
        </is>
      </c>
      <c r="J97" s="335" t="n">
        <v>200</v>
      </c>
      <c r="K97" s="148" t="n"/>
      <c r="L97" s="148" t="n"/>
      <c r="M97" s="426" t="n">
        <v>100</v>
      </c>
      <c r="N97" s="426" t="n">
        <v>200</v>
      </c>
      <c r="O97" s="426" t="n">
        <v>200</v>
      </c>
      <c r="P97" s="426" t="n">
        <v>200</v>
      </c>
      <c r="Q97" s="426" t="n">
        <v>200</v>
      </c>
      <c r="R97" s="395" t="n">
        <v>200</v>
      </c>
      <c r="S97" s="395" t="n">
        <v>200</v>
      </c>
      <c r="T97" s="395" t="n">
        <v>200</v>
      </c>
      <c r="Y97" s="45" t="n"/>
      <c r="Z97" s="45" t="n"/>
      <c r="AA97" s="445" t="n"/>
      <c r="AB97" s="445" t="n"/>
      <c r="AC97" s="445" t="n"/>
      <c r="AE97" s="20" t="n"/>
      <c r="AG97" s="2" t="n"/>
      <c r="AH97" s="2" t="n"/>
      <c r="AK97" s="83" t="n"/>
    </row>
    <row r="98" ht="17.1" customHeight="1" s="37">
      <c r="C98" s="450" t="inlineStr">
        <is>
          <t>i9</t>
        </is>
      </c>
      <c r="D98" s="450" t="inlineStr">
        <is>
          <t>i8</t>
        </is>
      </c>
      <c r="J98" s="335" t="n">
        <v>200</v>
      </c>
      <c r="K98" s="148" t="n"/>
      <c r="L98" s="148" t="n"/>
      <c r="M98" s="431" t="n">
        <v>100</v>
      </c>
      <c r="N98" s="431" t="n">
        <v>200</v>
      </c>
      <c r="O98" s="431" t="n">
        <v>200</v>
      </c>
      <c r="P98" s="431" t="n">
        <v>200</v>
      </c>
      <c r="Q98" s="431" t="n">
        <v>200</v>
      </c>
      <c r="R98" s="344" t="n">
        <v>200</v>
      </c>
      <c r="S98" s="344" t="n">
        <v>200</v>
      </c>
      <c r="T98" s="344" t="n">
        <v>200</v>
      </c>
      <c r="Y98" s="45" t="n"/>
      <c r="Z98" s="45" t="n"/>
      <c r="AA98" s="445" t="n"/>
      <c r="AB98" s="445" t="n"/>
      <c r="AC98" s="445" t="n"/>
      <c r="AE98" s="20" t="n"/>
      <c r="AG98" s="2" t="n"/>
      <c r="AH98" s="2" t="n"/>
      <c r="AK98" s="83" t="n"/>
    </row>
    <row r="99" ht="17.1" customHeight="1" s="37">
      <c r="C99" s="450" t="inlineStr">
        <is>
          <t>m5x2</t>
        </is>
      </c>
      <c r="J99" s="335" t="n">
        <v>200</v>
      </c>
      <c r="K99" s="148" t="n"/>
      <c r="L99" s="148" t="n"/>
      <c r="M99" s="335" t="n">
        <v>100</v>
      </c>
      <c r="N99" s="335" t="n">
        <v>200</v>
      </c>
      <c r="O99" s="335" t="n">
        <v>200</v>
      </c>
      <c r="P99" s="335" t="n">
        <v>200</v>
      </c>
      <c r="Q99" s="335" t="n">
        <v>200</v>
      </c>
      <c r="R99" s="450" t="n">
        <v>200</v>
      </c>
      <c r="S99" s="450" t="n">
        <v>200</v>
      </c>
      <c r="T99" s="290" t="n">
        <v>200</v>
      </c>
      <c r="Y99" s="83" t="n"/>
      <c r="Z99" s="83" t="n"/>
      <c r="AA99" s="83" t="n"/>
      <c r="AB99" s="83" t="n"/>
      <c r="AC99" s="83" t="n"/>
      <c r="AD99" s="63">
        <f>SUM(AD60:AD97)</f>
        <v/>
      </c>
      <c r="AE99" s="63" t="n"/>
      <c r="AF99" s="63">
        <f>SUM(AF60:AF97)</f>
        <v/>
      </c>
      <c r="AG99" s="63">
        <f>SUM(AG60:AG97)</f>
        <v/>
      </c>
      <c r="AH99" s="63" t="n"/>
      <c r="AI99" s="63">
        <f>SUM(AI60:AI97)</f>
        <v/>
      </c>
      <c r="AJ99" s="83" t="n"/>
      <c r="AK99" s="83" t="n"/>
    </row>
    <row r="100" ht="17.1" customHeight="1" s="37">
      <c r="C100" s="450" t="inlineStr">
        <is>
          <t>m828</t>
        </is>
      </c>
      <c r="J100" s="335" t="n">
        <v>100</v>
      </c>
      <c r="K100" s="148" t="n"/>
      <c r="L100" s="148" t="n"/>
      <c r="M100" s="335" t="n">
        <v>100</v>
      </c>
      <c r="N100" s="335" t="n">
        <v>200</v>
      </c>
      <c r="O100" s="335" t="n">
        <v>200</v>
      </c>
      <c r="P100" s="335" t="n">
        <v>200</v>
      </c>
      <c r="Q100" s="335" t="n">
        <v>200</v>
      </c>
      <c r="R100" s="450" t="n">
        <v>100</v>
      </c>
      <c r="T100" s="402" t="n">
        <v>100</v>
      </c>
      <c r="Y100" s="83" t="n"/>
      <c r="Z100" s="83" t="n"/>
      <c r="AA100" s="83" t="n"/>
      <c r="AB100" s="83" t="n"/>
      <c r="AC100" s="83" t="n"/>
      <c r="AD100" s="63" t="n"/>
      <c r="AE100" s="63" t="n"/>
      <c r="AF100" s="63" t="n"/>
      <c r="AG100" s="63" t="n"/>
      <c r="AH100" s="63" t="n"/>
      <c r="AI100" s="63" t="n"/>
      <c r="AJ100" s="83" t="n"/>
      <c r="AK100" s="83" t="n"/>
    </row>
    <row r="101" ht="17.1" customHeight="1" s="37">
      <c r="C101" s="472" t="inlineStr">
        <is>
          <t>hcmc</t>
        </is>
      </c>
      <c r="D101" s="472" t="n"/>
      <c r="J101" s="335" t="n">
        <v>200</v>
      </c>
      <c r="K101" s="148" t="n"/>
      <c r="L101" s="148" t="n"/>
      <c r="M101" s="335" t="n"/>
      <c r="N101" s="335" t="n"/>
      <c r="O101" s="335" t="n"/>
      <c r="P101" s="335" t="n"/>
      <c r="Q101" s="335" t="n"/>
      <c r="T101" s="403" t="n">
        <v>200</v>
      </c>
    </row>
    <row r="102" ht="17.1" customHeight="1" s="37">
      <c r="C102" s="450" t="inlineStr">
        <is>
          <t>f693</t>
        </is>
      </c>
      <c r="J102" s="450" t="n">
        <v>200</v>
      </c>
      <c r="K102" s="148" t="n"/>
      <c r="L102" s="148" t="n"/>
      <c r="O102" s="2" t="n">
        <v>100</v>
      </c>
      <c r="P102" s="2" t="n">
        <v>100</v>
      </c>
      <c r="Q102" s="450" t="n">
        <v>100</v>
      </c>
      <c r="R102" s="450" t="n">
        <v>100</v>
      </c>
    </row>
    <row r="103" ht="17.1" customHeight="1" s="37">
      <c r="C103" s="450" t="inlineStr">
        <is>
          <t>qz12</t>
        </is>
      </c>
      <c r="J103" s="450" t="n">
        <v>200</v>
      </c>
      <c r="K103" s="148" t="n"/>
      <c r="L103" s="148" t="n"/>
      <c r="O103" s="2" t="n"/>
      <c r="P103" s="2" t="n"/>
      <c r="T103" s="100" t="n">
        <v>200</v>
      </c>
    </row>
    <row r="104" ht="17.1" customHeight="1" s="37">
      <c r="C104" s="450" t="inlineStr">
        <is>
          <t xml:space="preserve">4s </t>
        </is>
      </c>
      <c r="J104" s="450" t="n">
        <v>120</v>
      </c>
      <c r="K104" s="148" t="n"/>
      <c r="L104" s="148" t="n"/>
      <c r="O104" s="2" t="n"/>
      <c r="P104" s="2" t="n"/>
      <c r="T104" s="395" t="n">
        <v>120</v>
      </c>
    </row>
    <row r="105" ht="17.1" customHeight="1" s="37">
      <c r="B105" s="450" t="inlineStr">
        <is>
          <t>g245</t>
        </is>
      </c>
      <c r="C105" s="450" t="inlineStr">
        <is>
          <t>5^0 neon slim?</t>
        </is>
      </c>
      <c r="F105" s="335" t="n">
        <v>20</v>
      </c>
      <c r="G105" s="335" t="n"/>
      <c r="I105" s="335" t="n">
        <v>80</v>
      </c>
      <c r="K105" s="148" t="n"/>
      <c r="L105" s="148" t="n"/>
      <c r="N105" s="2" t="n">
        <v>80</v>
      </c>
      <c r="O105" s="2" t="n">
        <v>80</v>
      </c>
      <c r="R105" s="395" t="n">
        <v>80</v>
      </c>
      <c r="S105" s="395" t="n">
        <v>100</v>
      </c>
      <c r="T105" s="395" t="n">
        <v>100</v>
      </c>
    </row>
    <row r="106" ht="17.1" customHeight="1" s="37">
      <c r="B106" s="450" t="inlineStr">
        <is>
          <t>qz12</t>
        </is>
      </c>
      <c r="C106" s="450" t="inlineStr">
        <is>
          <t>Prev. year LX+JM Income Taxes</t>
        </is>
      </c>
      <c r="F106" s="335" t="n">
        <v>600</v>
      </c>
      <c r="G106" s="335" t="n"/>
      <c r="I106" s="335" t="n">
        <v>1000</v>
      </c>
      <c r="K106" s="148" t="n"/>
      <c r="L106" s="148" t="n"/>
      <c r="M106" s="2" t="n">
        <v>1000</v>
      </c>
      <c r="N106" s="2" t="n">
        <v>1000</v>
      </c>
      <c r="O106" s="2" t="n">
        <v>800</v>
      </c>
    </row>
    <row r="107" ht="17.1" customHeight="1" s="37">
      <c r="B107" s="450" t="inlineStr">
        <is>
          <t>qz12</t>
        </is>
      </c>
      <c r="C107" s="450" t="inlineStr">
        <is>
          <t>m5x2 Income Taxes</t>
        </is>
      </c>
      <c r="F107" s="335" t="n">
        <v>60</v>
      </c>
      <c r="G107" s="335" t="n"/>
      <c r="I107" s="335" t="n">
        <v>200</v>
      </c>
      <c r="K107" s="148" t="n"/>
      <c r="L107" s="148" t="n"/>
      <c r="M107" s="2" t="n">
        <v>200</v>
      </c>
      <c r="N107" s="2" t="n">
        <v>200</v>
      </c>
      <c r="O107" s="2" t="n">
        <v>200</v>
      </c>
    </row>
    <row r="108" ht="17.1" customHeight="1" s="37">
      <c r="B108" s="450" t="inlineStr">
        <is>
          <t>infra</t>
        </is>
      </c>
      <c r="C108" s="450" t="inlineStr">
        <is>
          <t>Digital Security checkup</t>
        </is>
      </c>
      <c r="F108" s="335" t="n">
        <v>10</v>
      </c>
      <c r="G108" s="335" t="n"/>
      <c r="I108" s="335" t="n">
        <v>10</v>
      </c>
      <c r="K108" s="148" t="n"/>
      <c r="L108" s="148" t="n"/>
      <c r="N108" s="335" t="n">
        <v>10</v>
      </c>
      <c r="Q108" s="450" t="n">
        <v>10</v>
      </c>
      <c r="R108" s="450" t="n">
        <v>10</v>
      </c>
      <c r="T108" s="213" t="n">
        <v>30</v>
      </c>
    </row>
    <row r="109" ht="17.1" customHeight="1" s="37">
      <c r="B109" s="450" t="inlineStr">
        <is>
          <t>m5c7</t>
        </is>
      </c>
      <c r="C109" s="450" t="inlineStr">
        <is>
          <t>Per Investment strategy Update</t>
        </is>
      </c>
      <c r="F109" s="335" t="n">
        <v>510</v>
      </c>
      <c r="G109" s="335" t="n"/>
      <c r="I109" s="335" t="n">
        <v>4000</v>
      </c>
      <c r="K109" s="148" t="n"/>
      <c r="L109" s="148" t="n"/>
      <c r="M109" s="148" t="n"/>
      <c r="N109" s="148" t="n"/>
      <c r="O109" s="148" t="n">
        <v>200</v>
      </c>
      <c r="P109" s="148" t="n"/>
    </row>
    <row r="110" ht="17.1" customHeight="1" s="37">
      <c r="B110" s="450" t="inlineStr">
        <is>
          <t>g245</t>
        </is>
      </c>
      <c r="C110" s="450" t="inlineStr">
        <is>
          <t>5^0 neon slim?</t>
        </is>
      </c>
      <c r="F110" s="335" t="n">
        <v>20</v>
      </c>
      <c r="G110" s="335" t="n"/>
      <c r="I110" s="335" t="n">
        <v>80</v>
      </c>
      <c r="K110" s="148" t="n"/>
      <c r="L110" s="148" t="n"/>
      <c r="N110" s="335" t="n">
        <v>80</v>
      </c>
    </row>
    <row r="111" ht="17.1" customHeight="1" s="37">
      <c r="B111" s="450" t="inlineStr">
        <is>
          <t>l704</t>
        </is>
      </c>
      <c r="C111" s="450" t="inlineStr">
        <is>
          <t>Per Investment strategy doc</t>
        </is>
      </c>
      <c r="F111" s="335">
        <f>SUM(H112:H117)</f>
        <v/>
      </c>
      <c r="G111" s="335" t="n"/>
      <c r="I111" s="335">
        <f>SUM(J111:J117)</f>
        <v/>
      </c>
      <c r="K111" s="148" t="n"/>
      <c r="L111" s="148" t="n"/>
    </row>
    <row r="112" ht="17.1" customHeight="1" s="37">
      <c r="C112" s="450" t="inlineStr">
        <is>
          <t>retirement accounts</t>
        </is>
      </c>
      <c r="H112" s="335" t="n">
        <v>60</v>
      </c>
      <c r="J112" s="335" t="n">
        <v>100</v>
      </c>
      <c r="K112" s="148" t="n"/>
      <c r="L112" s="148" t="n"/>
    </row>
    <row r="113" ht="17.1" customHeight="1" s="37">
      <c r="C113" s="450" t="inlineStr">
        <is>
          <t>IVP Carry</t>
        </is>
      </c>
      <c r="H113" s="335" t="n">
        <v>60</v>
      </c>
      <c r="J113" s="335" t="n">
        <v>100</v>
      </c>
      <c r="K113" s="148" t="n"/>
      <c r="L113" s="148" t="n"/>
    </row>
    <row r="114" ht="17.1" customHeight="1" s="37">
      <c r="C114" s="450" t="inlineStr">
        <is>
          <t>Personal assets (v350 + g731 + i447)</t>
        </is>
      </c>
      <c r="H114" s="335" t="n">
        <v>60</v>
      </c>
      <c r="J114" s="335" t="n">
        <v>100</v>
      </c>
      <c r="K114" s="148" t="n"/>
      <c r="L114" s="148" t="n"/>
      <c r="N114" s="335" t="n">
        <v>100</v>
      </c>
    </row>
    <row r="115" ht="17.1" customHeight="1" s="37">
      <c r="C115" s="450" t="inlineStr">
        <is>
          <t>robinhood</t>
        </is>
      </c>
      <c r="H115" s="335" t="n">
        <v>60</v>
      </c>
      <c r="J115" s="335" t="n">
        <v>100</v>
      </c>
      <c r="K115" s="148" t="n"/>
      <c r="L115" s="148" t="n"/>
    </row>
    <row r="116" ht="17.1" customHeight="1" s="37">
      <c r="C116" s="450" t="inlineStr">
        <is>
          <t>Whisper</t>
        </is>
      </c>
      <c r="H116" s="335" t="n">
        <v>60</v>
      </c>
      <c r="J116" s="335" t="n">
        <v>100</v>
      </c>
      <c r="K116" s="148" t="n"/>
      <c r="L116" s="148" t="n"/>
    </row>
    <row r="117" ht="17.1" customHeight="1" s="37">
      <c r="C117" s="450" t="inlineStr">
        <is>
          <t xml:space="preserve">Facebook </t>
        </is>
      </c>
      <c r="H117" s="335" t="n">
        <v>60</v>
      </c>
      <c r="J117" s="335" t="n">
        <v>100</v>
      </c>
      <c r="K117" s="148" t="n"/>
      <c r="L117" s="148" t="n"/>
      <c r="N117" s="335" t="n">
        <v>100</v>
      </c>
    </row>
    <row r="118" ht="17.1" customHeight="1" s="37">
      <c r="B118" s="450" t="inlineStr">
        <is>
          <t>hcb</t>
        </is>
      </c>
      <c r="C118" s="450" t="inlineStr">
        <is>
          <t>Annual dental cleaning + checkup + orthadontics</t>
        </is>
      </c>
      <c r="H118" s="335" t="n">
        <v>150</v>
      </c>
      <c r="I118" s="335" t="n">
        <v>150</v>
      </c>
      <c r="K118" s="148" t="n"/>
      <c r="L118" s="148" t="n"/>
      <c r="N118" s="335" t="n">
        <v>150</v>
      </c>
      <c r="O118" s="335" t="n">
        <v>150</v>
      </c>
    </row>
    <row r="119" ht="17.1" customHeight="1" s="37">
      <c r="C119" s="450" t="inlineStr">
        <is>
          <t xml:space="preserve">bodyspec </t>
        </is>
      </c>
      <c r="I119" s="450" t="n">
        <v>60</v>
      </c>
    </row>
    <row r="120" ht="17.1" customHeight="1" s="37">
      <c r="B120" s="450" t="inlineStr">
        <is>
          <t xml:space="preserve">f693 </t>
        </is>
      </c>
      <c r="C120" s="450" t="inlineStr">
        <is>
          <t>Job Description Update per report</t>
        </is>
      </c>
      <c r="K120" s="148" t="n"/>
      <c r="L120" s="148" t="n"/>
    </row>
    <row r="121" ht="17.1" customHeight="1" s="37">
      <c r="C121" s="450" t="inlineStr">
        <is>
          <t>Ian</t>
        </is>
      </c>
      <c r="I121" s="335" t="n">
        <v>200</v>
      </c>
      <c r="K121" s="148" t="n"/>
      <c r="L121" s="148" t="n"/>
      <c r="Q121" s="450" t="n">
        <v>100</v>
      </c>
    </row>
    <row r="122" ht="17.1" customHeight="1" s="37">
      <c r="C122" s="450" t="inlineStr">
        <is>
          <t>Stef</t>
        </is>
      </c>
      <c r="I122" s="335" t="n">
        <v>200</v>
      </c>
      <c r="K122" s="148" t="n"/>
      <c r="L122" s="148" t="n"/>
      <c r="P122" s="335" t="n">
        <v>120</v>
      </c>
    </row>
    <row r="123" ht="17.1" customHeight="1" s="37">
      <c r="C123" s="450" t="inlineStr">
        <is>
          <t>j</t>
        </is>
      </c>
      <c r="K123" s="148" t="n"/>
      <c r="L123" s="148" t="n"/>
    </row>
    <row r="124" ht="17.1" customHeight="1" s="37">
      <c r="B124" s="450" t="inlineStr">
        <is>
          <t>hcmp</t>
        </is>
      </c>
      <c r="C124" s="450" t="inlineStr">
        <is>
          <t>Meaningful Retreat</t>
        </is>
      </c>
      <c r="H124" s="335" t="n">
        <v>600</v>
      </c>
      <c r="P124" s="450" t="n">
        <v>600</v>
      </c>
      <c r="Q124" s="450" t="n">
        <v>600</v>
      </c>
    </row>
    <row r="125" ht="17.1" customHeight="1" s="37">
      <c r="C125" s="450" t="inlineStr">
        <is>
          <t xml:space="preserve">neon ready to use </t>
        </is>
      </c>
      <c r="R125" s="213" t="n">
        <v>160</v>
      </c>
      <c r="S125" s="213" t="n">
        <v>160</v>
      </c>
      <c r="T125" s="213" t="n">
        <v>80</v>
      </c>
    </row>
    <row r="126" ht="17.1" customHeight="1" s="37">
      <c r="B126" s="148" t="n"/>
      <c r="C126" s="148" t="n"/>
      <c r="F126" s="148" t="n"/>
      <c r="G126" s="148" t="n"/>
      <c r="H126" s="450">
        <f>SUM(H90:H124)-H91</f>
        <v/>
      </c>
      <c r="I126" s="450">
        <f>SUM(I90:I124)-I91</f>
        <v/>
      </c>
      <c r="J126" s="450">
        <f>SUM(J90:J124)-J91</f>
        <v/>
      </c>
      <c r="K126" s="148" t="n"/>
      <c r="L126" s="148" t="n"/>
      <c r="M126" s="148" t="n"/>
      <c r="N126" s="148" t="n"/>
      <c r="O126" s="148" t="n"/>
      <c r="P126" s="148" t="n"/>
      <c r="R126" s="450">
        <f>SUM(R90:R124)-R91</f>
        <v/>
      </c>
    </row>
    <row r="127" ht="17.1" customHeight="1" s="37">
      <c r="B127" s="83" t="n"/>
      <c r="C127" s="83" t="n"/>
      <c r="D127" s="83" t="n"/>
      <c r="E127" s="83" t="n"/>
      <c r="F127" s="83" t="n"/>
      <c r="G127" s="83" t="n"/>
      <c r="H127" s="83" t="n"/>
      <c r="I127" s="83" t="n"/>
      <c r="J127" s="84">
        <f>SUM(J89:J126)</f>
        <v/>
      </c>
      <c r="K127" s="84" t="n"/>
      <c r="L127" s="84" t="n"/>
      <c r="M127" s="83" t="n"/>
      <c r="N127" s="83" t="n"/>
      <c r="O127" s="83" t="n"/>
      <c r="P127" s="83" t="n"/>
      <c r="Q127" s="83" t="n"/>
      <c r="R127" s="83" t="n"/>
      <c r="S127" s="83" t="n"/>
    </row>
    <row r="128" ht="17.1" customHeight="1" s="37"/>
    <row r="129" ht="15.95" customHeight="1" s="37"/>
    <row r="145">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c r="AA145" s="45" t="n"/>
      <c r="AB145" s="45" t="n"/>
      <c r="AC145" s="45" t="n"/>
      <c r="AD145" s="45" t="n"/>
      <c r="AE145" s="45" t="n"/>
      <c r="AF145" s="45" t="n"/>
      <c r="AG145" s="45" t="n"/>
      <c r="AH145" s="45" t="n"/>
      <c r="AI145" s="45" t="n"/>
      <c r="AJ145" s="45" t="n"/>
      <c r="AK145" s="45" t="n"/>
      <c r="AL145" s="45" t="n"/>
      <c r="AM145" s="45" t="n"/>
      <c r="AN145" s="45" t="n"/>
    </row>
    <row r="146">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c r="AA146" s="45" t="n"/>
      <c r="AB146" s="45" t="n"/>
      <c r="AC146" s="45" t="n"/>
      <c r="AD146" s="45" t="n"/>
      <c r="AE146" s="45" t="n"/>
      <c r="AF146" s="45" t="n"/>
      <c r="AG146" s="45" t="n"/>
      <c r="AH146" s="45" t="n"/>
      <c r="AI146" s="45" t="n"/>
      <c r="AJ146" s="45" t="n"/>
      <c r="AK146" s="45" t="n"/>
      <c r="AL146" s="45" t="n"/>
      <c r="AM146" s="45" t="n"/>
      <c r="AN146" s="45" t="n"/>
    </row>
    <row r="147">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c r="AA147" s="45" t="n"/>
      <c r="AB147" s="45" t="n"/>
      <c r="AC147" s="45" t="n"/>
      <c r="AD147" s="45" t="n"/>
      <c r="AE147" s="45" t="n"/>
      <c r="AF147" s="45" t="n"/>
      <c r="AG147" s="45" t="n"/>
      <c r="AH147" s="45" t="n"/>
      <c r="AI147" s="45" t="n"/>
      <c r="AJ147" s="45" t="n"/>
      <c r="AK147" s="45" t="n"/>
      <c r="AL147" s="45" t="n"/>
      <c r="AM147" s="45" t="n"/>
      <c r="AN147" s="45" t="n"/>
    </row>
    <row r="148">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c r="AA148" s="45" t="n"/>
      <c r="AB148" s="45" t="n"/>
      <c r="AC148" s="45" t="n"/>
      <c r="AD148" s="45" t="n"/>
      <c r="AE148" s="45" t="n"/>
      <c r="AF148" s="45" t="n"/>
      <c r="AG148" s="45" t="n"/>
      <c r="AH148" s="45" t="n"/>
      <c r="AI148" s="45" t="n"/>
      <c r="AJ148" s="45" t="n"/>
      <c r="AK148" s="45" t="n"/>
      <c r="AL148" s="45" t="n"/>
      <c r="AM148" s="45" t="n"/>
      <c r="AN148" s="45" t="n"/>
    </row>
    <row r="149">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c r="AA149" s="45" t="n"/>
      <c r="AB149" s="45" t="n"/>
      <c r="AC149" s="45" t="n"/>
      <c r="AD149" s="45" t="n"/>
      <c r="AE149" s="45" t="n"/>
      <c r="AF149" s="45" t="n"/>
      <c r="AG149" s="45" t="n"/>
      <c r="AH149" s="45" t="n"/>
      <c r="AI149" s="45" t="n"/>
      <c r="AJ149" s="45" t="n"/>
      <c r="AK149" s="45" t="n"/>
      <c r="AL149" s="45" t="n"/>
      <c r="AM149" s="45" t="n"/>
      <c r="AN149" s="45" t="n"/>
    </row>
    <row r="150">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c r="AA150" s="45" t="n"/>
      <c r="AB150" s="45" t="n"/>
      <c r="AC150" s="45" t="n"/>
      <c r="AD150" s="45" t="n"/>
      <c r="AE150" s="45" t="n"/>
      <c r="AF150" s="45" t="n"/>
      <c r="AG150" s="45" t="n"/>
      <c r="AH150" s="45" t="n"/>
      <c r="AI150" s="45" t="n"/>
      <c r="AJ150" s="45" t="n"/>
      <c r="AK150" s="45" t="n"/>
      <c r="AL150" s="45" t="n"/>
      <c r="AM150" s="45" t="n"/>
      <c r="AN150" s="45" t="n"/>
    </row>
    <row r="151">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c r="AA151" s="45" t="n"/>
      <c r="AB151" s="45" t="n"/>
      <c r="AC151" s="45" t="n"/>
      <c r="AD151" s="45" t="n"/>
      <c r="AE151" s="45" t="n"/>
      <c r="AF151" s="45" t="n"/>
      <c r="AG151" s="45" t="n"/>
      <c r="AH151" s="45" t="n"/>
      <c r="AI151" s="45" t="n"/>
      <c r="AJ151" s="45" t="n"/>
      <c r="AK151" s="45" t="n"/>
      <c r="AL151" s="45" t="n"/>
      <c r="AM151" s="45" t="n"/>
      <c r="AN151" s="45" t="n"/>
    </row>
    <row r="152">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c r="AA152" s="45" t="n"/>
      <c r="AB152" s="45" t="n"/>
      <c r="AC152" s="45" t="n"/>
      <c r="AD152" s="45" t="n"/>
      <c r="AE152" s="45" t="n"/>
      <c r="AF152" s="45" t="n"/>
      <c r="AG152" s="45" t="n"/>
      <c r="AH152" s="45" t="n"/>
      <c r="AI152" s="45" t="n"/>
      <c r="AJ152" s="45" t="n"/>
      <c r="AK152" s="45" t="n"/>
      <c r="AL152" s="45" t="n"/>
      <c r="AM152" s="45" t="n"/>
      <c r="AN152" s="45" t="n"/>
    </row>
    <row r="153">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c r="AA153" s="45" t="n"/>
      <c r="AB153" s="45" t="n"/>
      <c r="AC153" s="45" t="n"/>
      <c r="AD153" s="45" t="n"/>
      <c r="AE153" s="45" t="n"/>
      <c r="AF153" s="45" t="n"/>
      <c r="AG153" s="45" t="n"/>
      <c r="AH153" s="45" t="n"/>
      <c r="AI153" s="45" t="n"/>
      <c r="AJ153" s="45" t="n"/>
      <c r="AK153" s="45" t="n"/>
      <c r="AL153" s="45" t="n"/>
      <c r="AM153" s="45" t="n"/>
      <c r="AN153" s="45" t="n"/>
    </row>
    <row r="154">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c r="AA154" s="45" t="n"/>
      <c r="AB154" s="45" t="n"/>
      <c r="AC154" s="45" t="n"/>
      <c r="AD154" s="45" t="n"/>
      <c r="AE154" s="45" t="n"/>
      <c r="AF154" s="45" t="n"/>
      <c r="AG154" s="45" t="n"/>
      <c r="AH154" s="45" t="n"/>
      <c r="AI154" s="45" t="n"/>
      <c r="AJ154" s="45" t="n"/>
      <c r="AK154" s="45" t="n"/>
      <c r="AL154" s="45" t="n"/>
      <c r="AM154" s="45" t="n"/>
      <c r="AN154" s="45" t="n"/>
    </row>
    <row r="155">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c r="AA155" s="45" t="n"/>
      <c r="AB155" s="45" t="n"/>
      <c r="AC155" s="45" t="n"/>
      <c r="AD155" s="45" t="n"/>
      <c r="AE155" s="45" t="n"/>
      <c r="AF155" s="45" t="n"/>
      <c r="AG155" s="45" t="n"/>
      <c r="AH155" s="45" t="n"/>
      <c r="AI155" s="45" t="n"/>
      <c r="AJ155" s="45" t="n"/>
      <c r="AK155" s="45" t="n"/>
      <c r="AL155" s="45" t="n"/>
      <c r="AM155" s="45" t="n"/>
      <c r="AN155" s="45" t="n"/>
    </row>
    <row r="156">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c r="AA156" s="45" t="n"/>
      <c r="AB156" s="45" t="n"/>
      <c r="AC156" s="45" t="n"/>
      <c r="AD156" s="45" t="n"/>
      <c r="AE156" s="45" t="n"/>
      <c r="AF156" s="45" t="n"/>
      <c r="AG156" s="45" t="n"/>
      <c r="AH156" s="45" t="n"/>
      <c r="AI156" s="45" t="n"/>
      <c r="AJ156" s="45" t="n"/>
      <c r="AK156" s="45" t="n"/>
      <c r="AL156" s="45" t="n"/>
      <c r="AM156" s="45" t="n"/>
      <c r="AN156" s="45" t="n"/>
    </row>
    <row r="157">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c r="AA157" s="45" t="n"/>
      <c r="AB157" s="45" t="n"/>
      <c r="AC157" s="45" t="n"/>
      <c r="AD157" s="45" t="n"/>
      <c r="AE157" s="45" t="n"/>
      <c r="AF157" s="45" t="n"/>
      <c r="AG157" s="45" t="n"/>
      <c r="AH157" s="45" t="n"/>
      <c r="AI157" s="45" t="n"/>
      <c r="AJ157" s="45" t="n"/>
      <c r="AK157" s="45" t="n"/>
      <c r="AL157" s="45" t="n"/>
      <c r="AM157" s="45" t="n"/>
      <c r="AN157" s="45" t="n"/>
    </row>
    <row r="158">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c r="AA158" s="45" t="n"/>
      <c r="AB158" s="45" t="n"/>
      <c r="AC158" s="45" t="n"/>
      <c r="AD158" s="45" t="n"/>
      <c r="AE158" s="45" t="n"/>
      <c r="AF158" s="45" t="n"/>
      <c r="AG158" s="45" t="n"/>
      <c r="AH158" s="45" t="n"/>
      <c r="AI158" s="45" t="n"/>
      <c r="AJ158" s="45" t="n"/>
      <c r="AK158" s="45" t="n"/>
      <c r="AL158" s="45" t="n"/>
      <c r="AM158" s="45" t="n"/>
      <c r="AN158" s="45" t="n"/>
    </row>
    <row r="159">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c r="AA159" s="45" t="n"/>
      <c r="AB159" s="45" t="n"/>
      <c r="AC159" s="45" t="n"/>
      <c r="AD159" s="45" t="n"/>
      <c r="AE159" s="45" t="n"/>
      <c r="AF159" s="45" t="n"/>
      <c r="AG159" s="45" t="n"/>
      <c r="AH159" s="45" t="n"/>
      <c r="AI159" s="45" t="n"/>
      <c r="AJ159" s="45" t="n"/>
      <c r="AK159" s="45" t="n"/>
      <c r="AL159" s="45" t="n"/>
      <c r="AM159" s="45" t="n"/>
      <c r="AN159" s="45" t="n"/>
    </row>
    <row r="160">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c r="AA160" s="45" t="n"/>
      <c r="AB160" s="45" t="n"/>
      <c r="AC160" s="45" t="n"/>
      <c r="AD160" s="45" t="n"/>
      <c r="AE160" s="45" t="n"/>
      <c r="AF160" s="45" t="n"/>
      <c r="AG160" s="45" t="n"/>
      <c r="AH160" s="45" t="n"/>
      <c r="AI160" s="45" t="n"/>
      <c r="AJ160" s="45" t="n"/>
      <c r="AK160" s="45" t="n"/>
      <c r="AL160" s="45" t="n"/>
      <c r="AM160" s="45" t="n"/>
      <c r="AN160" s="45" t="n"/>
    </row>
    <row r="161">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c r="AA161" s="45" t="n"/>
      <c r="AB161" s="45" t="n"/>
      <c r="AC161" s="45" t="n"/>
      <c r="AD161" s="45" t="n"/>
      <c r="AE161" s="45" t="n"/>
      <c r="AF161" s="45" t="n"/>
      <c r="AG161" s="45" t="n"/>
      <c r="AH161" s="45" t="n"/>
      <c r="AI161" s="45" t="n"/>
      <c r="AJ161" s="45" t="n"/>
      <c r="AK161" s="45" t="n"/>
      <c r="AL161" s="45" t="n"/>
      <c r="AM161" s="45" t="n"/>
      <c r="AN161" s="45" t="n"/>
    </row>
    <row r="162">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c r="AA162" s="45" t="n"/>
      <c r="AB162" s="45" t="n"/>
      <c r="AC162" s="45" t="n"/>
      <c r="AD162" s="45" t="n"/>
      <c r="AE162" s="45" t="n"/>
      <c r="AF162" s="45" t="n"/>
      <c r="AG162" s="45" t="n"/>
      <c r="AH162" s="45" t="n"/>
      <c r="AI162" s="45" t="n"/>
      <c r="AJ162" s="45" t="n"/>
      <c r="AK162" s="45" t="n"/>
      <c r="AL162" s="45" t="n"/>
      <c r="AM162" s="45" t="n"/>
      <c r="AN162" s="45" t="n"/>
    </row>
    <row r="163">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c r="AA163" s="45" t="n"/>
      <c r="AB163" s="45" t="n"/>
      <c r="AC163" s="45" t="n"/>
      <c r="AD163" s="45" t="n"/>
      <c r="AE163" s="45" t="n"/>
      <c r="AF163" s="45" t="n"/>
      <c r="AG163" s="45" t="n"/>
      <c r="AH163" s="45" t="n"/>
      <c r="AI163" s="45" t="n"/>
      <c r="AJ163" s="45" t="n"/>
      <c r="AK163" s="45" t="n"/>
      <c r="AL163" s="45" t="n"/>
      <c r="AM163" s="45" t="n"/>
      <c r="AN163" s="45" t="n"/>
    </row>
    <row r="164">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c r="AA164" s="45" t="n"/>
      <c r="AB164" s="45" t="n"/>
      <c r="AC164" s="45" t="n"/>
      <c r="AD164" s="45" t="n"/>
      <c r="AE164" s="45" t="n"/>
      <c r="AF164" s="45" t="n"/>
      <c r="AG164" s="45" t="n"/>
      <c r="AH164" s="45" t="n"/>
      <c r="AI164" s="45" t="n"/>
      <c r="AJ164" s="45" t="n"/>
      <c r="AK164" s="45" t="n"/>
      <c r="AL164" s="45" t="n"/>
      <c r="AM164" s="45" t="n"/>
      <c r="AN164" s="45" t="n"/>
    </row>
    <row r="165">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c r="AA165" s="45" t="n"/>
      <c r="AB165" s="45" t="n"/>
      <c r="AC165" s="45" t="n"/>
      <c r="AD165" s="45" t="n"/>
      <c r="AE165" s="45" t="n"/>
      <c r="AF165" s="45" t="n"/>
      <c r="AG165" s="45" t="n"/>
      <c r="AH165" s="45" t="n"/>
      <c r="AI165" s="45" t="n"/>
      <c r="AJ165" s="45" t="n"/>
      <c r="AK165" s="45" t="n"/>
      <c r="AL165" s="45" t="n"/>
      <c r="AM165" s="45" t="n"/>
      <c r="AN165" s="45" t="n"/>
    </row>
    <row r="166">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c r="AA166" s="45" t="n"/>
      <c r="AB166" s="45" t="n"/>
      <c r="AC166" s="45" t="n"/>
      <c r="AD166" s="45" t="n"/>
      <c r="AE166" s="45" t="n"/>
      <c r="AF166" s="45" t="n"/>
      <c r="AG166" s="45" t="n"/>
      <c r="AH166" s="45" t="n"/>
      <c r="AI166" s="45" t="n"/>
      <c r="AJ166" s="45" t="n"/>
      <c r="AK166" s="45" t="n"/>
      <c r="AL166" s="45" t="n"/>
      <c r="AM166" s="45" t="n"/>
      <c r="AN166" s="45" t="n"/>
    </row>
    <row r="167">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c r="AA167" s="45" t="n"/>
      <c r="AB167" s="45" t="n"/>
      <c r="AC167" s="45" t="n"/>
      <c r="AD167" s="45" t="n"/>
      <c r="AE167" s="45" t="n"/>
      <c r="AF167" s="45" t="n"/>
      <c r="AG167" s="45" t="n"/>
      <c r="AH167" s="45" t="n"/>
      <c r="AI167" s="45" t="n"/>
      <c r="AJ167" s="45" t="n"/>
      <c r="AK167" s="45" t="n"/>
      <c r="AL167" s="45" t="n"/>
      <c r="AM167" s="45" t="n"/>
      <c r="AN167" s="45" t="n"/>
    </row>
    <row r="168">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c r="AA168" s="45" t="n"/>
      <c r="AB168" s="45" t="n"/>
      <c r="AC168" s="45" t="n"/>
      <c r="AD168" s="45" t="n"/>
      <c r="AE168" s="45" t="n"/>
      <c r="AF168" s="45" t="n"/>
      <c r="AG168" s="45" t="n"/>
      <c r="AH168" s="45" t="n"/>
      <c r="AI168" s="45" t="n"/>
      <c r="AJ168" s="45" t="n"/>
      <c r="AK168" s="45" t="n"/>
      <c r="AL168" s="45" t="n"/>
      <c r="AM168" s="45" t="n"/>
      <c r="AN168" s="45" t="n"/>
    </row>
    <row r="169">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c r="AA169" s="45" t="n"/>
      <c r="AB169" s="45" t="n"/>
      <c r="AC169" s="45" t="n"/>
      <c r="AD169" s="45" t="n"/>
      <c r="AE169" s="45" t="n"/>
      <c r="AF169" s="45" t="n"/>
      <c r="AG169" s="45" t="n"/>
      <c r="AH169" s="45" t="n"/>
      <c r="AI169" s="45" t="n"/>
      <c r="AJ169" s="45" t="n"/>
      <c r="AK169" s="45" t="n"/>
      <c r="AL169" s="45" t="n"/>
      <c r="AM169" s="45" t="n"/>
      <c r="AN169" s="45" t="n"/>
    </row>
    <row r="170">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c r="AA170" s="45" t="n"/>
      <c r="AB170" s="45" t="n"/>
      <c r="AC170" s="45" t="n"/>
      <c r="AD170" s="45" t="n"/>
      <c r="AE170" s="45" t="n"/>
      <c r="AF170" s="45" t="n"/>
      <c r="AG170" s="45" t="n"/>
      <c r="AH170" s="45" t="n"/>
      <c r="AI170" s="45" t="n"/>
      <c r="AJ170" s="45" t="n"/>
      <c r="AK170" s="45" t="n"/>
      <c r="AL170" s="45" t="n"/>
      <c r="AM170" s="45" t="n"/>
      <c r="AN170" s="45" t="n"/>
    </row>
    <row r="171">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c r="AA171" s="45" t="n"/>
      <c r="AB171" s="45" t="n"/>
      <c r="AC171" s="45" t="n"/>
      <c r="AD171" s="45" t="n"/>
      <c r="AE171" s="45" t="n"/>
      <c r="AF171" s="45" t="n"/>
      <c r="AG171" s="45" t="n"/>
      <c r="AH171" s="45" t="n"/>
      <c r="AI171" s="45" t="n"/>
      <c r="AJ171" s="45" t="n"/>
      <c r="AK171" s="45" t="n"/>
      <c r="AL171" s="45" t="n"/>
      <c r="AM171" s="45" t="n"/>
      <c r="AN171" s="45" t="n"/>
    </row>
    <row r="172">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c r="AA172" s="45" t="n"/>
      <c r="AB172" s="45" t="n"/>
      <c r="AC172" s="45" t="n"/>
      <c r="AD172" s="45" t="n"/>
      <c r="AE172" s="45" t="n"/>
      <c r="AF172" s="45" t="n"/>
      <c r="AG172" s="45" t="n"/>
      <c r="AH172" s="45" t="n"/>
      <c r="AI172" s="45" t="n"/>
      <c r="AJ172" s="45" t="n"/>
      <c r="AK172" s="45" t="n"/>
      <c r="AL172" s="45" t="n"/>
      <c r="AM172" s="45" t="n"/>
      <c r="AN172" s="45" t="n"/>
    </row>
    <row r="173">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c r="AA173" s="45" t="n"/>
      <c r="AB173" s="45" t="n"/>
      <c r="AC173" s="45" t="n"/>
      <c r="AD173" s="45" t="n"/>
      <c r="AE173" s="45" t="n"/>
      <c r="AF173" s="45" t="n"/>
      <c r="AG173" s="45" t="n"/>
      <c r="AH173" s="45" t="n"/>
      <c r="AI173" s="45" t="n"/>
      <c r="AJ173" s="45" t="n"/>
      <c r="AK173" s="45" t="n"/>
      <c r="AL173" s="45" t="n"/>
      <c r="AM173" s="45" t="n"/>
      <c r="AN173" s="45" t="n"/>
    </row>
    <row r="174">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c r="AA174" s="45" t="n"/>
      <c r="AB174" s="45" t="n"/>
      <c r="AC174" s="45" t="n"/>
      <c r="AD174" s="45" t="n"/>
      <c r="AE174" s="45" t="n"/>
      <c r="AF174" s="45" t="n"/>
      <c r="AG174" s="45" t="n"/>
      <c r="AH174" s="45" t="n"/>
      <c r="AI174" s="45" t="n"/>
      <c r="AJ174" s="45" t="n"/>
      <c r="AK174" s="45" t="n"/>
      <c r="AL174" s="45" t="n"/>
      <c r="AM174" s="45" t="n"/>
      <c r="AN174" s="45" t="n"/>
    </row>
    <row r="175">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c r="AA175" s="45" t="n"/>
      <c r="AB175" s="45" t="n"/>
      <c r="AC175" s="45" t="n"/>
      <c r="AD175" s="45" t="n"/>
      <c r="AE175" s="45" t="n"/>
      <c r="AF175" s="45" t="n"/>
      <c r="AG175" s="45" t="n"/>
      <c r="AH175" s="45" t="n"/>
      <c r="AI175" s="45" t="n"/>
      <c r="AJ175" s="45" t="n"/>
      <c r="AK175" s="45" t="n"/>
      <c r="AL175" s="45" t="n"/>
      <c r="AM175" s="45" t="n"/>
      <c r="AN175" s="45" t="n"/>
    </row>
    <row r="176">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c r="AA176" s="45" t="n"/>
      <c r="AB176" s="45" t="n"/>
      <c r="AC176" s="45" t="n"/>
      <c r="AD176" s="45" t="n"/>
      <c r="AE176" s="45" t="n"/>
      <c r="AF176" s="45" t="n"/>
      <c r="AG176" s="45" t="n"/>
      <c r="AH176" s="45" t="n"/>
      <c r="AI176" s="45" t="n"/>
      <c r="AJ176" s="45" t="n"/>
      <c r="AK176" s="45" t="n"/>
      <c r="AL176" s="45" t="n"/>
      <c r="AM176" s="45" t="n"/>
      <c r="AN176" s="45" t="n"/>
    </row>
    <row r="177">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c r="AA177" s="45" t="n"/>
      <c r="AB177" s="45" t="n"/>
      <c r="AC177" s="45" t="n"/>
      <c r="AD177" s="45" t="n"/>
      <c r="AE177" s="45" t="n"/>
      <c r="AF177" s="45" t="n"/>
      <c r="AG177" s="45" t="n"/>
      <c r="AH177" s="45" t="n"/>
      <c r="AI177" s="45" t="n"/>
      <c r="AJ177" s="45" t="n"/>
      <c r="AK177" s="45" t="n"/>
      <c r="AL177" s="45" t="n"/>
      <c r="AM177" s="45" t="n"/>
      <c r="AN177" s="45" t="n"/>
    </row>
    <row r="178">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c r="AA178" s="45" t="n"/>
      <c r="AB178" s="45" t="n"/>
      <c r="AC178" s="45" t="n"/>
      <c r="AD178" s="45" t="n"/>
      <c r="AE178" s="45" t="n"/>
      <c r="AF178" s="45" t="n"/>
      <c r="AG178" s="45" t="n"/>
      <c r="AH178" s="45" t="n"/>
      <c r="AI178" s="45" t="n"/>
      <c r="AJ178" s="45" t="n"/>
      <c r="AK178" s="45" t="n"/>
      <c r="AL178" s="45" t="n"/>
      <c r="AM178" s="45" t="n"/>
      <c r="AN178" s="45" t="n"/>
    </row>
    <row r="179">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c r="AA179" s="45" t="n"/>
      <c r="AB179" s="45" t="n"/>
      <c r="AC179" s="45" t="n"/>
      <c r="AD179" s="45" t="n"/>
      <c r="AE179" s="45" t="n"/>
      <c r="AF179" s="45" t="n"/>
      <c r="AG179" s="45" t="n"/>
      <c r="AH179" s="45" t="n"/>
      <c r="AI179" s="45" t="n"/>
      <c r="AJ179" s="45" t="n"/>
      <c r="AK179" s="45" t="n"/>
      <c r="AL179" s="45" t="n"/>
      <c r="AM179" s="45" t="n"/>
      <c r="AN179" s="45" t="n"/>
    </row>
    <row r="180">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c r="AA180" s="45" t="n"/>
      <c r="AB180" s="45" t="n"/>
      <c r="AC180" s="45" t="n"/>
      <c r="AD180" s="45" t="n"/>
      <c r="AE180" s="45" t="n"/>
      <c r="AF180" s="45" t="n"/>
      <c r="AG180" s="45" t="n"/>
      <c r="AH180" s="45" t="n"/>
      <c r="AI180" s="45" t="n"/>
      <c r="AJ180" s="45" t="n"/>
      <c r="AK180" s="45" t="n"/>
      <c r="AL180" s="45" t="n"/>
      <c r="AM180" s="45" t="n"/>
      <c r="AN180" s="45" t="n"/>
    </row>
    <row r="181">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c r="AA181" s="45" t="n"/>
      <c r="AB181" s="45" t="n"/>
      <c r="AC181" s="45" t="n"/>
      <c r="AD181" s="45" t="n"/>
      <c r="AE181" s="45" t="n"/>
      <c r="AF181" s="45" t="n"/>
      <c r="AG181" s="45" t="n"/>
      <c r="AH181" s="45" t="n"/>
      <c r="AI181" s="45" t="n"/>
      <c r="AJ181" s="45" t="n"/>
      <c r="AK181" s="45" t="n"/>
      <c r="AL181" s="45" t="n"/>
      <c r="AM181" s="45" t="n"/>
      <c r="AN181" s="45" t="n"/>
    </row>
  </sheetData>
  <mergeCells count="46">
    <mergeCell ref="AA73:AC73"/>
    <mergeCell ref="AO8:AO11"/>
    <mergeCell ref="AP43:AP55"/>
    <mergeCell ref="AQ30:AQ33"/>
    <mergeCell ref="AO17:AO20"/>
    <mergeCell ref="AA70:AC70"/>
    <mergeCell ref="AO38:AO42"/>
    <mergeCell ref="AA69:AC69"/>
    <mergeCell ref="AQ38:AQ42"/>
    <mergeCell ref="AA78:AC78"/>
    <mergeCell ref="AA63:AC63"/>
    <mergeCell ref="AA65:AC65"/>
    <mergeCell ref="AO47:AO50"/>
    <mergeCell ref="AQ47:AQ50"/>
    <mergeCell ref="AA66:AC66"/>
    <mergeCell ref="AO43:AO46"/>
    <mergeCell ref="AQ21:AQ24"/>
    <mergeCell ref="AA75:AC75"/>
    <mergeCell ref="AQ43:AQ46"/>
    <mergeCell ref="AO25:AO29"/>
    <mergeCell ref="AQ8:AQ11"/>
    <mergeCell ref="AA74:AC74"/>
    <mergeCell ref="AQ17:AQ20"/>
    <mergeCell ref="AA64:AC64"/>
    <mergeCell ref="AO51:AO55"/>
    <mergeCell ref="AA71:AC71"/>
    <mergeCell ref="AP30:AP42"/>
    <mergeCell ref="AA62:AC62"/>
    <mergeCell ref="AO30:AO33"/>
    <mergeCell ref="AA76:AC76"/>
    <mergeCell ref="AA67:AC67"/>
    <mergeCell ref="AA79:AC79"/>
    <mergeCell ref="AA61:AC61"/>
    <mergeCell ref="AO4:AO7"/>
    <mergeCell ref="AQ51:AQ55"/>
    <mergeCell ref="AQ4:AQ7"/>
    <mergeCell ref="AP17:AP29"/>
    <mergeCell ref="AQ34:AQ37"/>
    <mergeCell ref="AQ25:AQ29"/>
    <mergeCell ref="AA72:AC72"/>
    <mergeCell ref="AO34:AO37"/>
    <mergeCell ref="AP4:AP16"/>
    <mergeCell ref="AO21:AO24"/>
    <mergeCell ref="AO12:AO16"/>
    <mergeCell ref="AQ12:AQ16"/>
    <mergeCell ref="AA77:AC77"/>
  </mergeCells>
  <conditionalFormatting sqref="C4:C55">
    <cfRule type="cellIs" priority="78" operator="greaterThan" dxfId="102">
      <formula>20</formula>
    </cfRule>
  </conditionalFormatting>
  <conditionalFormatting sqref="D4:D42">
    <cfRule type="cellIs" priority="65" operator="greaterThan" dxfId="126">
      <formula>30</formula>
    </cfRule>
  </conditionalFormatting>
  <conditionalFormatting sqref="E4:E13 E25:E26 E28:E43 E45 E47 E49:E55">
    <cfRule type="cellIs" priority="79" operator="greaterThan" dxfId="1" stopIfTrue="1">
      <formula>29</formula>
    </cfRule>
  </conditionalFormatting>
  <conditionalFormatting sqref="E8:E13 E25:E26 E28:E43 E45 E47 E49:E55">
    <cfRule type="cellIs" priority="34" operator="greaterThan" dxfId="1">
      <formula>30</formula>
    </cfRule>
  </conditionalFormatting>
  <conditionalFormatting sqref="E14:E24">
    <cfRule type="cellIs" priority="25" operator="greaterThan" dxfId="114" stopIfTrue="1">
      <formula>0.01</formula>
    </cfRule>
    <cfRule type="cellIs" priority="24" operator="greaterThan" dxfId="115">
      <formula>0</formula>
    </cfRule>
  </conditionalFormatting>
  <conditionalFormatting sqref="E27">
    <cfRule type="cellIs" priority="23" operator="greaterThan" dxfId="114" stopIfTrue="1">
      <formula>0.01</formula>
    </cfRule>
    <cfRule type="cellIs" priority="22" operator="greaterThan" dxfId="115">
      <formula>0</formula>
    </cfRule>
  </conditionalFormatting>
  <conditionalFormatting sqref="E44">
    <cfRule type="cellIs" priority="20" operator="greaterThan" dxfId="114" stopIfTrue="1">
      <formula>0.01</formula>
    </cfRule>
    <cfRule type="cellIs" priority="19" operator="greaterThan" dxfId="115">
      <formula>0</formula>
    </cfRule>
  </conditionalFormatting>
  <conditionalFormatting sqref="E46">
    <cfRule type="cellIs" priority="18" operator="greaterThan" dxfId="114" stopIfTrue="1">
      <formula>0.01</formula>
    </cfRule>
    <cfRule type="cellIs" priority="17" operator="greaterThan" dxfId="115">
      <formula>0</formula>
    </cfRule>
  </conditionalFormatting>
  <conditionalFormatting sqref="E48">
    <cfRule type="cellIs" priority="15" operator="greaterThan" dxfId="115">
      <formula>0</formula>
    </cfRule>
    <cfRule type="cellIs" priority="16" operator="greaterThan" dxfId="114" stopIfTrue="1">
      <formula>0.01</formula>
    </cfRule>
  </conditionalFormatting>
  <conditionalFormatting sqref="F4:F55">
    <cfRule type="cellIs" priority="49" operator="between" dxfId="113">
      <formula>1</formula>
      <formula>60</formula>
    </cfRule>
    <cfRule type="cellIs" priority="41" operator="greaterThan" dxfId="64">
      <formula>59</formula>
    </cfRule>
  </conditionalFormatting>
  <conditionalFormatting sqref="G35">
    <cfRule type="cellIs" priority="21" operator="greaterThan" dxfId="106">
      <formula>10</formula>
    </cfRule>
  </conditionalFormatting>
  <conditionalFormatting sqref="G4:H34 G36:H55 H35">
    <cfRule type="cellIs" priority="64" operator="greaterThan" dxfId="19">
      <formula>4</formula>
    </cfRule>
  </conditionalFormatting>
  <conditionalFormatting sqref="G24:H24 I4:I23 I25:I55">
    <cfRule type="cellIs" priority="74" operator="greaterThan" dxfId="109">
      <formula>20</formula>
    </cfRule>
  </conditionalFormatting>
  <conditionalFormatting sqref="G12 H4:H55">
    <cfRule type="cellIs" priority="38" operator="greaterThan" dxfId="108">
      <formula>15</formula>
    </cfRule>
  </conditionalFormatting>
  <conditionalFormatting sqref="I8:I55">
    <cfRule type="cellIs" priority="33" operator="between" dxfId="39">
      <formula>10</formula>
      <formula>29</formula>
    </cfRule>
  </conditionalFormatting>
  <conditionalFormatting sqref="K4:K17 K48:K55">
    <cfRule type="cellIs" priority="72" operator="greaterThan" dxfId="106">
      <formula>10</formula>
    </cfRule>
  </conditionalFormatting>
  <conditionalFormatting sqref="J4:J55 L4:M55">
    <cfRule type="cellIs" priority="73" operator="greaterThan" dxfId="105">
      <formula>10</formula>
    </cfRule>
  </conditionalFormatting>
  <conditionalFormatting sqref="M4:M55">
    <cfRule type="cellIs" priority="40" operator="greaterThan" dxfId="104">
      <formula>9</formula>
    </cfRule>
  </conditionalFormatting>
  <conditionalFormatting sqref="N4:P55">
    <cfRule type="cellIs" priority="11" operator="greaterThan" dxfId="91">
      <formula>1</formula>
    </cfRule>
  </conditionalFormatting>
  <conditionalFormatting sqref="P61:P62">
    <cfRule type="cellIs" priority="13" operator="greaterThan" dxfId="102">
      <formula>10</formula>
    </cfRule>
  </conditionalFormatting>
  <conditionalFormatting sqref="P75 P82">
    <cfRule type="cellIs" priority="63" operator="greaterThan" dxfId="46">
      <formula>20</formula>
    </cfRule>
  </conditionalFormatting>
  <conditionalFormatting sqref="Q4:R56">
    <cfRule type="cellIs" priority="9" operator="greaterThan" dxfId="86">
      <formula>1</formula>
    </cfRule>
  </conditionalFormatting>
  <conditionalFormatting sqref="S4:S56">
    <cfRule type="cellIs" priority="2" operator="greaterThan" dxfId="99">
      <formula>1</formula>
    </cfRule>
  </conditionalFormatting>
  <conditionalFormatting sqref="T4:T56">
    <cfRule type="cellIs" priority="1" operator="greaterThan" dxfId="98">
      <formula>1</formula>
    </cfRule>
  </conditionalFormatting>
  <conditionalFormatting sqref="U4:U56">
    <cfRule type="cellIs" priority="8" operator="greaterThan" dxfId="97" stopIfTrue="1">
      <formula>1</formula>
    </cfRule>
  </conditionalFormatting>
  <conditionalFormatting sqref="V4:V56">
    <cfRule type="cellIs" priority="3" operator="greaterThan" dxfId="24">
      <formula>1</formula>
    </cfRule>
  </conditionalFormatting>
  <conditionalFormatting sqref="W4:W56">
    <cfRule type="cellIs" priority="7" operator="greaterThan" dxfId="95">
      <formula>1</formula>
    </cfRule>
  </conditionalFormatting>
  <conditionalFormatting sqref="X4:X56">
    <cfRule type="cellIs" priority="4" operator="greaterThan" dxfId="94">
      <formula>1</formula>
    </cfRule>
  </conditionalFormatting>
  <conditionalFormatting sqref="Y4:Y56">
    <cfRule type="cellIs" priority="10" operator="greaterThan" dxfId="93">
      <formula>0</formula>
    </cfRule>
  </conditionalFormatting>
  <conditionalFormatting sqref="Z4:Z55">
    <cfRule type="cellIs" priority="12" operator="greaterThan" dxfId="92">
      <formula>14</formula>
    </cfRule>
  </conditionalFormatting>
  <conditionalFormatting sqref="AB4:AB56">
    <cfRule type="cellIs" priority="5" operator="greaterThan" dxfId="91">
      <formula>50</formula>
    </cfRule>
  </conditionalFormatting>
  <conditionalFormatting sqref="AF4:AF56">
    <cfRule type="cellIs" priority="6" operator="greaterThan" dxfId="90">
      <formula>1</formula>
    </cfRule>
  </conditionalFormatting>
  <conditionalFormatting sqref="AH4:AH51">
    <cfRule type="cellIs" priority="35" operator="greaterThan" dxfId="89">
      <formula>30</formula>
    </cfRule>
  </conditionalFormatting>
  <pageMargins left="0.75" right="0.75" top="1" bottom="1" header="0.5" footer="0.5"/>
  <pageSetup orientation="portrait" horizontalDpi="0" verticalDpi="0"/>
</worksheet>
</file>

<file path=xl/worksheets/sheet8.xml><?xml version="1.0" encoding="utf-8"?>
<worksheet xmlns="http://schemas.openxmlformats.org/spreadsheetml/2006/main">
  <sheetPr codeName="Sheet7">
    <tabColor rgb="FF00B050"/>
    <outlinePr summaryBelow="1" summaryRight="1"/>
    <pageSetUpPr/>
  </sheetPr>
  <dimension ref="A1:CQ103"/>
  <sheetViews>
    <sheetView workbookViewId="0">
      <selection activeCell="AS3" sqref="AS3"/>
    </sheetView>
  </sheetViews>
  <sheetFormatPr baseColWidth="8" defaultColWidth="10.97265625" defaultRowHeight="15"/>
  <cols>
    <col width="5.671875" customWidth="1" style="37" min="1" max="2"/>
    <col width="7.2734375" customWidth="1" style="37" min="3" max="3"/>
    <col width="19.48046875" customWidth="1" style="37" min="4" max="4"/>
    <col width="6.0390625" customWidth="1" style="37" min="5" max="5"/>
    <col width="3.9453125" customWidth="1" style="37" min="6" max="6"/>
    <col width="4.3125" customWidth="1" style="37" min="7" max="7"/>
    <col width="4.4375" customWidth="1" style="37" min="8" max="8"/>
    <col width="4.68359375" customWidth="1" style="37" min="9" max="9"/>
    <col width="3.8203125" customWidth="1" style="37" min="10" max="10"/>
    <col width="4.4375" customWidth="1" style="37" min="11" max="11"/>
    <col width="5.30078125" customWidth="1" style="37" min="12" max="12"/>
    <col width="6.53515625" customWidth="1" style="37" min="13" max="13"/>
    <col width="6.1640625" customWidth="1" style="37" min="14" max="14"/>
    <col width="6.0390625" customWidth="1" style="37" min="15" max="15"/>
    <col width="6.1640625" customWidth="1" style="37" min="16" max="16"/>
    <col width="8.875" customWidth="1" style="37" min="17" max="17"/>
    <col width="8.5078125" customWidth="1" style="37" min="18" max="18"/>
    <col width="5.546875" customWidth="1" style="37" min="19" max="19"/>
    <col width="4.3125" customWidth="1" style="37" min="20" max="20"/>
    <col width="6.28515625" customWidth="1" style="37" min="21" max="21"/>
    <col width="15.04296875" customWidth="1" style="37" min="22" max="22"/>
    <col width="14.1796875" customWidth="1" style="37" min="23" max="23"/>
    <col width="15.1640625" customWidth="1" style="37" min="24" max="24"/>
    <col width="14.796875" customWidth="1" style="37" min="25" max="25"/>
    <col width="14.671875" customWidth="1" style="37" min="26" max="26"/>
    <col width="4.4375" customWidth="1" style="37" min="27" max="27"/>
    <col width="3.8203125" customWidth="1" style="37" min="28" max="28"/>
    <col width="4.80859375" customWidth="1" style="37" min="29" max="29"/>
    <col width="2.95703125" customWidth="1" style="83" min="30" max="30"/>
    <col width="6.0390625" customWidth="1" style="37" min="31" max="32"/>
    <col width="33.29296875" customWidth="1" style="37" min="33" max="33"/>
    <col width="1.4765625" customWidth="1" style="216" min="34" max="34"/>
    <col width="3.328125" customWidth="1" style="37" min="35" max="35"/>
    <col hidden="1" width="3.328125" customWidth="1" style="37" min="36" max="37"/>
    <col width="3.328125" customWidth="1" style="37" min="38" max="38"/>
    <col width="4.19140625" customWidth="1" style="37" min="39" max="41"/>
    <col width="3.8203125" customWidth="1" style="37" min="42" max="42"/>
    <col width="4.3125" customWidth="1" style="37" min="43" max="43"/>
    <col width="3.69921875" customWidth="1" style="37" min="44" max="44"/>
    <col width="50.1875" customWidth="1" style="37" min="45" max="45"/>
    <col width="2.33984375" customWidth="1" style="45" min="46" max="46"/>
    <col width="6.0390625" customWidth="1" style="37" min="47" max="47"/>
    <col width="5.546875" customWidth="1" style="37" min="48" max="49"/>
    <col width="6.1640625" customWidth="1" style="37" min="50" max="50"/>
    <col width="5.546875" customWidth="1" style="37" min="51" max="52"/>
    <col width="6.65625" customWidth="1" style="37" min="53" max="53"/>
    <col width="5.546875" customWidth="1" style="37" min="54" max="60"/>
    <col width="2.33984375" customWidth="1" style="45" min="61" max="61"/>
    <col width="7.765625" customWidth="1" style="37" min="62" max="62"/>
    <col width="2.7109375" customWidth="1" style="45" min="66" max="66"/>
    <col width="6.53515625" customWidth="1" style="37" min="67" max="67"/>
    <col width="6.65625" customWidth="1" style="37" min="68" max="68"/>
    <col width="5.30078125" customWidth="1" style="37" min="69" max="69"/>
    <col width="8.875" customWidth="1" style="37" min="70" max="70"/>
    <col width="7.1484375" customWidth="1" style="37" min="71" max="71"/>
    <col width="1.84765625" customWidth="1" style="45" min="77" max="77"/>
    <col width="3.328125" customWidth="1" style="45" min="78" max="78"/>
    <col width="3.328125" customWidth="1" style="45" min="92" max="92"/>
    <col width="11.7109375" bestFit="1" customWidth="1" style="37" min="93" max="93"/>
  </cols>
  <sheetData>
    <row r="1" ht="54" customFormat="1" customHeight="1" s="40">
      <c r="A1" s="48" t="n"/>
      <c r="B1" s="48" t="n"/>
      <c r="C1" s="52" t="inlineStr">
        <is>
          <t>∑分</t>
        </is>
      </c>
      <c r="D1" s="52" t="inlineStr">
        <is>
          <t xml:space="preserve">1g Summary </t>
        </is>
      </c>
      <c r="E1" s="52" t="inlineStr">
        <is>
          <t>1₦
/d</t>
        </is>
      </c>
      <c r="F1" s="52" t="inlineStr">
        <is>
          <t xml:space="preserve"> -1 ₦/d</t>
        </is>
      </c>
      <c r="G1" s="52" t="inlineStr">
        <is>
          <t>0₲/d</t>
        </is>
      </c>
      <c r="H1" s="52" t="inlineStr">
        <is>
          <t>i9</t>
        </is>
      </c>
      <c r="I1" s="52" t="inlineStr">
        <is>
          <t>m7</t>
        </is>
      </c>
      <c r="J1" s="52" t="inlineStr">
        <is>
          <t>-2g</t>
        </is>
      </c>
      <c r="K1" s="52" t="inlineStr">
        <is>
          <t>hci</t>
        </is>
      </c>
      <c r="L1" s="52" t="inlineStr">
        <is>
          <t>hcmc</t>
        </is>
      </c>
      <c r="M1" s="52" t="inlineStr">
        <is>
          <t>hcmp</t>
        </is>
      </c>
      <c r="N1" s="260" t="inlineStr">
        <is>
          <t>hcb</t>
        </is>
      </c>
      <c r="O1" s="52" t="inlineStr">
        <is>
          <t>s89</t>
        </is>
      </c>
      <c r="P1" s="52" t="inlineStr">
        <is>
          <t>xk87</t>
        </is>
      </c>
      <c r="Q1" s="52" t="inlineStr">
        <is>
          <t>5^1 head</t>
        </is>
      </c>
      <c r="R1" s="52" t="inlineStr">
        <is>
          <t>5^1 tail</t>
        </is>
      </c>
      <c r="S1" s="52" t="inlineStr">
        <is>
          <t>分/d</t>
        </is>
      </c>
      <c r="T1" s="52" t="inlineStr">
        <is>
          <t>Rating</t>
        </is>
      </c>
      <c r="U1" s="52" t="inlineStr">
        <is>
          <t>!$ units</t>
        </is>
      </c>
      <c r="V1" s="52" t="inlineStr">
        <is>
          <t>Title for the Week</t>
        </is>
      </c>
      <c r="W1" s="53" t="inlineStr">
        <is>
          <t xml:space="preserve">Biggest Win </t>
        </is>
      </c>
      <c r="X1" s="53" t="inlineStr">
        <is>
          <t xml:space="preserve">Biggest missed opportunity </t>
        </is>
      </c>
      <c r="Y1" s="48" t="inlineStr">
        <is>
          <t>Proud of w/others</t>
        </is>
      </c>
      <c r="Z1" s="48" t="inlineStr">
        <is>
          <t>Regret w/others</t>
        </is>
      </c>
      <c r="AA1" s="48" t="inlineStr">
        <is>
          <t>High</t>
        </is>
      </c>
      <c r="AB1" s="48" t="inlineStr">
        <is>
          <t>Low</t>
        </is>
      </c>
      <c r="AC1" s="48" t="inlineStr">
        <is>
          <t>Avg</t>
        </is>
      </c>
      <c r="AD1" s="86" t="n"/>
      <c r="AE1" s="95" t="inlineStr">
        <is>
          <t xml:space="preserve"> -1n sum</t>
        </is>
      </c>
      <c r="AF1" s="95" t="inlineStr">
        <is>
          <t>唇之后 / d</t>
        </is>
      </c>
      <c r="AG1" s="95" t="inlineStr">
        <is>
          <t xml:space="preserve"> -1n</t>
        </is>
      </c>
      <c r="AH1" s="298" t="n"/>
      <c r="AI1" s="286" t="inlineStr">
        <is>
          <t>不英</t>
        </is>
      </c>
      <c r="AJ1" s="286" t="inlineStr">
        <is>
          <t>新闻</t>
        </is>
      </c>
      <c r="AK1" s="286" t="inlineStr">
        <is>
          <t>词汇</t>
        </is>
      </c>
      <c r="AL1" s="115" t="inlineStr">
        <is>
          <t>1+</t>
        </is>
      </c>
      <c r="AM1" s="115" t="n">
        <v>-1</v>
      </c>
      <c r="AN1" s="115" t="inlineStr">
        <is>
          <t xml:space="preserve"> -2
-4</t>
        </is>
      </c>
      <c r="AO1" s="115" t="n">
        <v>-3</v>
      </c>
      <c r="AP1" s="115" t="inlineStr">
        <is>
          <t>∑</t>
        </is>
      </c>
      <c r="AQ1" s="115" t="inlineStr">
        <is>
          <t>书</t>
        </is>
      </c>
      <c r="AR1" s="115" t="inlineStr">
        <is>
          <t>hcmr</t>
        </is>
      </c>
      <c r="AS1" s="115" t="inlineStr">
        <is>
          <t xml:space="preserve">Notes </t>
        </is>
      </c>
      <c r="AT1" s="82" t="n"/>
      <c r="AU1" s="389" t="inlineStr">
        <is>
          <t>c084</t>
        </is>
      </c>
      <c r="AV1" s="390" t="inlineStr">
        <is>
          <t>sd neon</t>
        </is>
      </c>
      <c r="AW1" s="390" t="inlineStr">
        <is>
          <t>neon</t>
        </is>
      </c>
      <c r="AX1" s="390" t="inlineStr">
        <is>
          <t xml:space="preserve">all color </t>
        </is>
      </c>
      <c r="AY1" s="390" t="inlineStr">
        <is>
          <t>hcmc/day</t>
        </is>
      </c>
      <c r="AZ1" s="390" t="inlineStr">
        <is>
          <t>hcb/d</t>
        </is>
      </c>
      <c r="BA1" s="390" t="inlineStr">
        <is>
          <t>s897/d</t>
        </is>
      </c>
      <c r="BB1" s="390" t="inlineStr">
        <is>
          <t>1n/d</t>
        </is>
      </c>
      <c r="BC1" s="390" t="inlineStr">
        <is>
          <t>5^0 g/d</t>
        </is>
      </c>
      <c r="BD1" s="390" t="inlineStr">
        <is>
          <t>i9</t>
        </is>
      </c>
      <c r="BE1" s="390" t="inlineStr">
        <is>
          <t>x2</t>
        </is>
      </c>
      <c r="BF1" s="390" t="inlineStr">
        <is>
          <t xml:space="preserve"> -2g</t>
        </is>
      </c>
      <c r="BG1" s="390" t="inlineStr">
        <is>
          <t>f693/w</t>
        </is>
      </c>
      <c r="BH1" s="390" t="inlineStr">
        <is>
          <t>xk87 / d</t>
        </is>
      </c>
      <c r="BI1" s="82" t="n"/>
      <c r="BJ1" s="116" t="inlineStr">
        <is>
          <t>分 / d</t>
        </is>
      </c>
      <c r="BK1" s="116" t="inlineStr">
        <is>
          <t>n156/d</t>
        </is>
      </c>
      <c r="BL1" s="116" t="inlineStr">
        <is>
          <t>1g/d</t>
        </is>
      </c>
      <c r="BM1" s="116" t="inlineStr">
        <is>
          <t>2g/d</t>
        </is>
      </c>
      <c r="BN1" s="82" t="n"/>
      <c r="BO1" s="116" t="inlineStr">
        <is>
          <t>Avg</t>
        </is>
      </c>
      <c r="BP1" s="249" t="inlineStr">
        <is>
          <t>all colors</t>
        </is>
      </c>
      <c r="BQ1" s="249" t="inlineStr">
        <is>
          <t>sd neon</t>
        </is>
      </c>
      <c r="BR1" s="249" t="inlineStr">
        <is>
          <t>chun 之后</t>
        </is>
      </c>
      <c r="BS1" s="249" t="inlineStr">
        <is>
          <t xml:space="preserve"> -1n</t>
        </is>
      </c>
      <c r="BT1" s="249" t="inlineStr">
        <is>
          <t>Shared Workouts</t>
        </is>
      </c>
      <c r="BU1" s="249" t="inlineStr">
        <is>
          <t>Curriculum</t>
        </is>
      </c>
      <c r="BV1" s="249" t="inlineStr">
        <is>
          <t>HCBC</t>
        </is>
      </c>
      <c r="BW1" s="249" t="inlineStr">
        <is>
          <t>HCBP</t>
        </is>
      </c>
      <c r="BX1" s="249" t="inlineStr">
        <is>
          <t xml:space="preserve">Childcare Help </t>
        </is>
      </c>
      <c r="BY1" s="82" t="n"/>
      <c r="BZ1" s="82" t="n"/>
      <c r="CA1" s="185" t="inlineStr">
        <is>
          <t xml:space="preserve"> -1n</t>
        </is>
      </c>
      <c r="CB1" s="185" t="inlineStr">
        <is>
          <t>0n</t>
        </is>
      </c>
      <c r="CC1" s="185" t="inlineStr">
        <is>
          <t>0g</t>
        </is>
      </c>
      <c r="CD1" s="185" t="inlineStr">
        <is>
          <t>i9</t>
        </is>
      </c>
      <c r="CE1" s="185" t="inlineStr">
        <is>
          <t>m7</t>
        </is>
      </c>
      <c r="CF1" s="185" t="inlineStr">
        <is>
          <t xml:space="preserve"> -2g</t>
        </is>
      </c>
      <c r="CG1" s="185" t="inlineStr">
        <is>
          <t>hcb</t>
        </is>
      </c>
      <c r="CH1" s="185" t="inlineStr">
        <is>
          <t>hcm</t>
        </is>
      </c>
      <c r="CI1" s="185" t="inlineStr">
        <is>
          <t>hcmc</t>
        </is>
      </c>
      <c r="CJ1" s="185" t="inlineStr">
        <is>
          <t>s897</t>
        </is>
      </c>
      <c r="CK1" s="185" t="inlineStr">
        <is>
          <t>f6</t>
        </is>
      </c>
      <c r="CL1" s="185" t="inlineStr">
        <is>
          <t>xk87</t>
        </is>
      </c>
      <c r="CM1" s="185" t="n"/>
      <c r="CN1" s="82" t="n"/>
    </row>
    <row r="2" ht="45.95" customHeight="1" s="37">
      <c r="A2" s="142" t="n">
        <v>1.1</v>
      </c>
      <c r="B2" s="142" t="n">
        <v>1</v>
      </c>
      <c r="C2" s="94">
        <f>SUM(INDIRECT("0分!D" &amp; (ROW()-2)*7+2 &amp; ":D" &amp; (ROW()-1)*7+1))</f>
        <v/>
      </c>
      <c r="D2" s="39" t="inlineStr">
        <is>
          <t xml:space="preserve">tl;dr: First week back to work. Keep stress levels down, and cruise through the tasks that need to be done. That way I have enough time for neon, for showering and hiit, and feeling good. </t>
        </is>
      </c>
      <c r="E2" s="42">
        <f>'1₦+'!AN4/7</f>
        <v/>
      </c>
      <c r="F2" s="42">
        <f>AVERAGE('0分'!Y2:Y7)</f>
        <v/>
      </c>
      <c r="G2" s="42">
        <f>AVERAGE(INDIRECT("0分!Z" &amp; (ROW()-2)*7+2 &amp; ":Z" &amp; (ROW()-1)*7+1))</f>
        <v/>
      </c>
      <c r="H2" s="42">
        <f>AVERAGE(INDIRECT("0分!AA" &amp; (ROW()-2)*7+3 &amp; ":AA" &amp; (ROW()-1)*7+2))</f>
        <v/>
      </c>
      <c r="I2" s="42">
        <f>AVERAGE(INDIRECT("0分!Y" &amp; (ROW()-2)*7+3 &amp; ":Y" &amp; (ROW()-1)*7+2))</f>
        <v/>
      </c>
      <c r="J2" s="42">
        <f>SUM(INDIRECT("0分!AC"&amp;(ROW()-2)*7+2&amp;":AC"&amp;(ROW()-1)*7+1))/7</f>
        <v/>
      </c>
      <c r="K2" s="284">
        <f t="array" ref="K2">INDIRECT("hcbi!BM"&amp;(ROW()-1)*7+-3)/7</f>
        <v/>
      </c>
      <c r="L2" s="240">
        <f>627/7</f>
        <v/>
      </c>
      <c r="M2" s="42">
        <f>SUM(INDIRECT("0分!AE"&amp;(ROW()-2)*7+2&amp;":AE"&amp;(ROW()-1)*7+1))/7</f>
        <v/>
      </c>
      <c r="N2" s="42">
        <f t="array" ref="N2">INDIRECT("hcbi!AA"&amp;(ROW()-2)*7+3)+INDIRECT("hcbi!AB"&amp;(ROW()-2)*7+3)</f>
        <v/>
      </c>
      <c r="O2" s="288">
        <f>AVERAGE(INDIRECT("0分!AH"&amp;(ROW()-2)*7+1&amp;":AH"&amp;(ROW()-1)*7))</f>
        <v/>
      </c>
      <c r="P2" s="42">
        <f>AVERAGE(INDIRECT("0₦!BC"&amp;(ROW()-2)*7+1&amp;":BB"&amp;(ROW()-1)*7))</f>
        <v/>
      </c>
      <c r="Q2" s="450" t="e">
        <v>#VALUE!</v>
      </c>
      <c r="R2" s="450" t="e">
        <v>#VALUE!</v>
      </c>
      <c r="S2" s="42">
        <f>SUM(INDIRECT("0分!D" &amp; (ROW()-2)*7+2 &amp; ":D" &amp; (ROW()-1)*7+1))/7</f>
        <v/>
      </c>
      <c r="T2" s="450">
        <f>'i9'!B3</f>
        <v/>
      </c>
      <c r="U2" s="42">
        <f>-((0.97-0.897)*1087000) / 66 / (31/7)</f>
        <v/>
      </c>
      <c r="V2" s="335" t="inlineStr">
        <is>
          <t xml:space="preserve">Prayer over algos in Seattle. </t>
        </is>
      </c>
      <c r="W2" s="310" t="inlineStr">
        <is>
          <t>Consistently plowing through points</t>
        </is>
      </c>
      <c r="X2" s="310" t="inlineStr">
        <is>
          <t xml:space="preserve">hcbp lower than I would like, caffeine </t>
        </is>
      </c>
      <c r="Y2" s="335" t="inlineStr">
        <is>
          <t xml:space="preserve">Saturday was good. Find opps with friends. </t>
        </is>
      </c>
      <c r="Z2" s="335" t="inlineStr">
        <is>
          <t xml:space="preserve">LX getting a bit stressed. </t>
        </is>
      </c>
      <c r="AA2" s="578">
        <f>MAX(INDIRECT("0s!P" &amp; (ROW()-2)*7+6 &amp; ":P" &amp; (ROW()-1)*7+5))</f>
        <v/>
      </c>
      <c r="AB2" s="55">
        <f>MIN(INDIRECT("0s!Q" &amp; (ROW()-2)*7+6 &amp; ":Q" &amp; (ROW()-1)*7+5))</f>
        <v/>
      </c>
      <c r="AC2" s="578">
        <f>AVERAGE(INDIRECT("0s!R" &amp; (ROW()-2)*7+6 &amp; ":R" &amp; (ROW()-1)*7+5))</f>
        <v/>
      </c>
      <c r="AD2" s="579" t="n"/>
      <c r="AE2" s="39" t="n">
        <v>72</v>
      </c>
      <c r="AF2" s="42">
        <f>P2+L2+M2</f>
        <v/>
      </c>
      <c r="AG2" s="450" t="inlineStr">
        <is>
          <t xml:space="preserve">• More time on making -1n automatic, like going through all of the emails in one go, rather than through three contexts. 
• Prayers are good. 
• 72 seems a pretty good score for last week. 
• Should use the android phone for anytime that I'm away from computer for more than 2 hours. </t>
        </is>
      </c>
      <c r="AI2" s="450" t="n">
        <v>6</v>
      </c>
      <c r="AJ2" s="450" t="n">
        <v>6</v>
      </c>
      <c r="AK2" s="450" t="n">
        <v>1</v>
      </c>
      <c r="AL2" s="42">
        <f>SUM(INDIRECT("0₦!AR" &amp; (ROW()-2)*7+3 &amp; ":AR" &amp; (ROW()-1)*7+2))/7</f>
        <v/>
      </c>
      <c r="AM2" s="42">
        <f>SUM(INDIRECT("0₦!AS" &amp; (ROW()-2)*7+3 &amp; ":AS" &amp; (ROW()-1)*7+2))/7</f>
        <v/>
      </c>
      <c r="AN2" s="42">
        <f>SUM(INDIRECT("0₦!AT" &amp; (ROW()-2)*7+3 &amp; ":AT" &amp; (ROW()-1)*7+2))/7</f>
        <v/>
      </c>
      <c r="AO2" s="42">
        <f>SUM(INDIRECT("0₦!AU" &amp; (ROW()-2)*7+3 &amp; ":AU" &amp; (ROW()-1)*7+2))/7</f>
        <v/>
      </c>
      <c r="AP2" s="42">
        <f>SUM(AO2+AN2/2+AM2*0.1-AL2)</f>
        <v/>
      </c>
      <c r="AQ2" s="42" t="n">
        <v>1</v>
      </c>
      <c r="AR2" s="42" t="n">
        <v>1</v>
      </c>
      <c r="AS2" s="97" t="inlineStr">
        <is>
          <t xml:space="preserve">• 1 book is fine. 
• I'm glad to have done 1 book and one review. 
•  I want to really track 1+ time. The threshhold is reading multiple blurbs or clicking into one article </t>
        </is>
      </c>
      <c r="AT2" s="291" t="n"/>
      <c r="AU2" s="335" t="n"/>
      <c r="AV2" s="538">
        <f>COUNTIFS('0分'!E2:E33,"&gt;600",'0分'!E2:E33,"&lt;1000")/28</f>
        <v/>
      </c>
      <c r="AW2" s="534">
        <f>COUNTIF('0分'!E2:E29,"&gt;1")/28</f>
        <v/>
      </c>
      <c r="AX2" s="539">
        <f>COUNTIF('0分'!F2:F33,"&gt;0")/COUNT('0分'!F2:F33)</f>
        <v/>
      </c>
      <c r="AY2" s="533">
        <f>AVERAGE(L2:L5)</f>
        <v/>
      </c>
      <c r="AZ2" s="533">
        <f>AVERAGE(N2:N5)</f>
        <v/>
      </c>
      <c r="BA2" s="533">
        <f>AVERAGE(O2:O5)</f>
        <v/>
      </c>
      <c r="BB2" s="533">
        <f>AVERAGE(E2:E5)</f>
        <v/>
      </c>
      <c r="BC2" s="533">
        <f>SUM(G2:G5)/4</f>
        <v/>
      </c>
      <c r="BD2" s="533">
        <f>AVERAGE(H2:H5)</f>
        <v/>
      </c>
      <c r="BE2" s="533">
        <f>AVERAGE(I2:I5)</f>
        <v/>
      </c>
      <c r="BF2" s="533">
        <f>AVERAGE(J2:J5)</f>
        <v/>
      </c>
      <c r="BG2" s="537" t="n"/>
      <c r="BH2" s="532">
        <f>AVERAGE(P2:P5)</f>
        <v/>
      </c>
      <c r="BI2" s="537" t="n"/>
      <c r="BJ2" s="533">
        <f>AVERAGE(C2:C5)/7</f>
        <v/>
      </c>
      <c r="BK2" s="532">
        <f>AVERAGE(#REF!)</f>
        <v/>
      </c>
      <c r="BL2" s="532">
        <f>AVERAGE(#REF!)</f>
        <v/>
      </c>
      <c r="BM2" s="533">
        <f>AVERAGE(#REF!)</f>
        <v/>
      </c>
      <c r="BN2" s="580" t="n"/>
      <c r="BO2" s="581">
        <f>AVERAGE($AC2:$AC5)</f>
        <v/>
      </c>
      <c r="BP2" s="534">
        <f>AVERAGE(AV2*4,AV6*4,AV10*5)/AVERAGE(4,4,5)</f>
        <v/>
      </c>
      <c r="BQ2" s="534">
        <f>AVERAGE(AW2*4,AW6*4,AW10*5)/AVERAGE(4,4,5)</f>
        <v/>
      </c>
      <c r="BR2" s="532">
        <f>SUM('0₦'!AW84:AW175,'0₦'!AX84:AX175,'0₦'!AY84:AY175)</f>
        <v/>
      </c>
      <c r="BS2" s="517">
        <f>SUM('0分'!Y81:Y171)</f>
        <v/>
      </c>
      <c r="BT2" s="517">
        <f>SUM(hcbi!AD85:AD175)</f>
        <v/>
      </c>
      <c r="BU2" s="517">
        <f>COUNTIF('0s'!U84:U174, "&lt;&gt;")</f>
        <v/>
      </c>
      <c r="BV2" s="532">
        <f>AVERAGE(N2:N15)</f>
        <v/>
      </c>
      <c r="BW2" s="532">
        <f>AVERAGE(#REF!)</f>
        <v/>
      </c>
      <c r="BX2" s="517">
        <f>SUM('0s'!L84:L174)</f>
        <v/>
      </c>
      <c r="CA2" s="296">
        <f>AVERAGE(F2:F5)</f>
        <v/>
      </c>
      <c r="CB2" s="296">
        <f>AVERAGE(D2:D5)</f>
        <v/>
      </c>
      <c r="CC2" s="296">
        <f>AVERAGE(G2:G5)</f>
        <v/>
      </c>
      <c r="CD2" s="296">
        <f>AVERAGE(H2:H5)</f>
        <v/>
      </c>
      <c r="CE2" s="296">
        <f>AVERAGE(I2:I5)</f>
        <v/>
      </c>
      <c r="CF2" s="296">
        <f>BF2</f>
        <v/>
      </c>
      <c r="CG2" s="2">
        <f>SUM(N2:N5)/COUNT(N2:N5)</f>
        <v/>
      </c>
      <c r="CH2" s="2">
        <f>AVERAGE(M2:M5)</f>
        <v/>
      </c>
      <c r="CI2" s="2">
        <f>AVERAGE(L2:L5)</f>
        <v/>
      </c>
      <c r="CJ2" s="2">
        <f>AVERAGE(O2:O5)</f>
        <v/>
      </c>
      <c r="CK2" s="335">
        <f>SUM('0分'!#REF!)</f>
        <v/>
      </c>
      <c r="CL2" s="2">
        <f>AVERAGE(P2:P5)</f>
        <v/>
      </c>
      <c r="CM2" s="296">
        <f>SUM(CA2:CL2)</f>
        <v/>
      </c>
    </row>
    <row r="3" ht="45.95" customHeight="1" s="37">
      <c r="A3" s="142">
        <f>A2+0.1</f>
        <v/>
      </c>
      <c r="B3" s="142">
        <f>B2+1</f>
        <v/>
      </c>
      <c r="C3" s="94">
        <f>SUM(INDIRECT("0分!D" &amp; (ROW()-2)*7+2 &amp; ":D" &amp; (ROW()-1)*7+1))</f>
        <v/>
      </c>
      <c r="D3" s="39" t="inlineStr">
        <is>
          <t xml:space="preserve">tl;dr: A normal week, with normal SLT. Keep habits going strong, productionize the rhythm of business, and be ready for next wek's offsite. </t>
        </is>
      </c>
      <c r="E3" s="42">
        <f>'1₦+'!AN5/7</f>
        <v/>
      </c>
      <c r="F3" s="42">
        <f>AVERAGE(INDIRECT("0分!Y" &amp; (ROW()-2)*7+3 &amp; ":Y" &amp; (ROW()-1)*7+2))</f>
        <v/>
      </c>
      <c r="G3" s="42">
        <f>AVERAGE(INDIRECT("0分!Z" &amp; (ROW()-2)*7+2 &amp; ":Z" &amp; (ROW()-1)*7+1))</f>
        <v/>
      </c>
      <c r="H3" s="42">
        <f>AVERAGE(INDIRECT("0分!AA" &amp; (ROW()-2)*7+3 &amp; ":AA" &amp; (ROW()-1)*7+2))</f>
        <v/>
      </c>
      <c r="I3" s="42">
        <f>AVERAGE(INDIRECT("0分!Y" &amp; (ROW()-2)*7+3 &amp; ":Y" &amp; (ROW()-1)*7+2))</f>
        <v/>
      </c>
      <c r="J3" s="42">
        <f>SUM(INDIRECT("0分!AE"&amp;(ROW()-2)*7+2&amp;":AE"&amp;(ROW()-1)*7+1))/7</f>
        <v/>
      </c>
      <c r="K3" s="284">
        <f t="array" ref="K3">INDIRECT("hcbi!BL"&amp;(ROW()-1)*7+-3)/7</f>
        <v/>
      </c>
      <c r="L3" s="240">
        <f>AVERAGE(INDIRECT("0分!AD"&amp;(ROW()-2)*7+2&amp;":AD"&amp;(ROW()-1)*7+1))</f>
        <v/>
      </c>
      <c r="M3" s="42">
        <f>AVERAGE(INDIRECT("0₦!BD"&amp;(ROW()-2)*7+6&amp;":BC"&amp;(ROW())*7 - 1))</f>
        <v/>
      </c>
      <c r="N3" s="42">
        <f>AVERAGE(INDIRECT("0分!AF"&amp;(ROW()-2)*7+2&amp;":AF"&amp;(ROW()-1)*7+1))</f>
        <v/>
      </c>
      <c r="O3" s="288">
        <f>AVERAGE(INDIRECT("0分!AH"&amp;(ROW()-2)*7+1&amp;":AH"&amp;(ROW()-1)*7))</f>
        <v/>
      </c>
      <c r="P3" s="42">
        <f>AVERAGE(INDIRECT("0₦!BC"&amp;(ROW()-2)*7+1&amp;":BB"&amp;(ROW()-1)*7))</f>
        <v/>
      </c>
      <c r="Q3" s="450" t="e">
        <v>#VALUE!</v>
      </c>
      <c r="R3" s="450" t="e">
        <v>#VALUE!</v>
      </c>
      <c r="S3" s="42">
        <f>SUM(INDIRECT("0分!D" &amp; (ROW()-2)*7+2 &amp; ":D" &amp; (ROW()-1)*7+1))/7</f>
        <v/>
      </c>
      <c r="T3" s="450">
        <f>'i9'!B4</f>
        <v/>
      </c>
      <c r="U3" s="42">
        <f>-((0.97-0.95)*660000) / 50 / 4</f>
        <v/>
      </c>
      <c r="V3" s="335" t="inlineStr">
        <is>
          <t xml:space="preserve">No Computer to Family Nature </t>
        </is>
      </c>
      <c r="W3" s="310" t="inlineStr">
        <is>
          <t xml:space="preserve">Getting the kids time to explore new environments indpendently </t>
        </is>
      </c>
      <c r="X3" s="310" t="inlineStr">
        <is>
          <t xml:space="preserve">Should have reverted to another strategy with Macbooc </t>
        </is>
      </c>
      <c r="Y3" s="335" t="inlineStr">
        <is>
          <t xml:space="preserve">Getting kids agency outdoors is great and important </t>
        </is>
      </c>
      <c r="Z3" s="335" t="inlineStr">
        <is>
          <t xml:space="preserve">Aleks Promo not going through </t>
        </is>
      </c>
      <c r="AA3" s="578">
        <f>MAX(INDIRECT("0s!P" &amp; (ROW()-2)*7+6 &amp; ":P" &amp; (ROW()-1)*7+5))</f>
        <v/>
      </c>
      <c r="AB3" s="55">
        <f>MIN(INDIRECT("0s!Q" &amp; (ROW()-2)*7+6 &amp; ":Q" &amp; (ROW()-1)*7+5))</f>
        <v/>
      </c>
      <c r="AC3" s="578">
        <f>AVERAGE(INDIRECT("0s!R" &amp; (ROW()-2)*7+6 &amp; ":R" &amp; (ROW()-1)*7+5))</f>
        <v/>
      </c>
      <c r="AD3" s="579" t="n"/>
      <c r="AE3" s="39">
        <f>SUM(INDIRECT("0分!Y" &amp; (ROW()-2)*7-3 &amp; ":Y" &amp; (ROW()-1)*7+-4))/7</f>
        <v/>
      </c>
      <c r="AF3" s="42">
        <f>P3+L3+M3</f>
        <v/>
      </c>
      <c r="AG3" s="450" t="inlineStr">
        <is>
          <t xml:space="preserve">• I like the idea of making it automatic, because it should happen so often. 
•  Right now I'm asking myself, did I do prayer during this time? If yes then I get the points. I feel like I'm doing ok with email, but I can do a little bit better. </t>
        </is>
      </c>
      <c r="AI3" s="450">
        <f>COUNTIF(INDIRECT("'0₦'!AR" &amp;((ROW()-2)*7+3) &amp; ":AR" &amp; ((ROW()-1)*7+2)), "&lt;0")</f>
        <v/>
      </c>
      <c r="AJ3" s="450">
        <f>COUNTIF(INDIRECT("'0₦'!M" &amp;((ROW()-2)*7+3) &amp; ":M" &amp; ((ROW()-1)*7+2)), "&lt;&gt;")</f>
        <v/>
      </c>
      <c r="AK3" s="450">
        <f>COUNTIF(INDIRECT("'0₦'!O" &amp;((ROW()-2)*7+3) &amp; ":O" &amp; ((ROW()-1)*7+2)), "&lt;&gt;")</f>
        <v/>
      </c>
      <c r="AL3" s="42">
        <f>SUM(INDIRECT("0₦!AR" &amp; (ROW()-2)*7+3 &amp; ":AR" &amp; (ROW()-1)*7+2))/7</f>
        <v/>
      </c>
      <c r="AM3" s="42">
        <f>SUM(INDIRECT("0₦!AS" &amp; (ROW()-2)*7+3 &amp; ":AS" &amp; (ROW()-1)*7+2))/7</f>
        <v/>
      </c>
      <c r="AN3" s="42">
        <f>SUM(INDIRECT("0₦!AT" &amp; (ROW()-2)*7+3 &amp; ":AT" &amp; (ROW()-1)*7+2))/7</f>
        <v/>
      </c>
      <c r="AO3" s="42">
        <f>SUM(INDIRECT("0₦!AU" &amp; (ROW()-2)*7+3 &amp; ":AU" &amp; (ROW()-1)*7+2))/7</f>
        <v/>
      </c>
      <c r="AP3" s="42">
        <f>SUM(AO3+AN3/2+AM3*0.1-AL3)</f>
        <v/>
      </c>
      <c r="AQ3" s="42" t="n">
        <v>3</v>
      </c>
      <c r="AR3" s="42" t="n">
        <v>1</v>
      </c>
      <c r="AS3" s="97" t="inlineStr">
        <is>
          <t xml:space="preserve">• Still feeling better about the mornings. It's actually the evenings that are difficult. I wonder if I shoud get a good story that is a fiction book (?) 
• English no-media is working pretty well. 
• I should remember that even economist can count as 1 </t>
        </is>
      </c>
      <c r="AT3" s="291" t="n"/>
      <c r="AU3" s="296">
        <f>SUM(INDIRECT("0分!AJ" &amp; (ROW()-2)*7 -1 &amp; ":AJ" &amp; (ROW()-1)*7-2))/7</f>
        <v/>
      </c>
      <c r="BI3" s="464" t="n"/>
      <c r="BN3" s="464" t="n"/>
      <c r="CA3" s="297">
        <f>CA2/$CM$2</f>
        <v/>
      </c>
      <c r="CB3" s="297">
        <f>CB2/$CM$2</f>
        <v/>
      </c>
      <c r="CC3" s="297">
        <f>CC2/$CM$2</f>
        <v/>
      </c>
      <c r="CD3" s="297">
        <f>CD2/$CM$2</f>
        <v/>
      </c>
      <c r="CE3" s="297">
        <f>CE2/$CM$2</f>
        <v/>
      </c>
      <c r="CF3" s="297">
        <f>CF2/$CM$2</f>
        <v/>
      </c>
      <c r="CG3" s="297">
        <f>CG2/$CM$2</f>
        <v/>
      </c>
      <c r="CH3" s="297">
        <f>CH2/$CM$2</f>
        <v/>
      </c>
      <c r="CI3" s="297">
        <f>CI2/$CM$2</f>
        <v/>
      </c>
      <c r="CJ3" s="297">
        <f>CJ2/$CM$2</f>
        <v/>
      </c>
      <c r="CK3" s="297">
        <f>CK2/$CM$2</f>
        <v/>
      </c>
      <c r="CL3" s="297">
        <f>CL2/$CM$2</f>
        <v/>
      </c>
      <c r="CM3" s="335" t="n"/>
    </row>
    <row r="4" ht="45.95" customHeight="1" s="37">
      <c r="A4" s="142">
        <f>A3+0.1</f>
        <v/>
      </c>
      <c r="B4" s="142">
        <f>B3+1</f>
        <v/>
      </c>
      <c r="C4" s="94">
        <f>SUM(INDIRECT("0分!D" &amp; (ROW()-2)*7+2 &amp; ":D" &amp; (ROW()-1)*7+1))</f>
        <v/>
      </c>
      <c r="D4" s="39" t="n"/>
      <c r="E4" s="42">
        <f>'1₦+'!AN6/7</f>
        <v/>
      </c>
      <c r="F4" s="42">
        <f>AVERAGE(INDIRECT("0分!Y" &amp; (ROW()-2)*7+3 &amp; ":Y" &amp; (ROW()-1)*7+2))</f>
        <v/>
      </c>
      <c r="G4" s="42">
        <f>AVERAGE(INDIRECT("0分!Z" &amp; (ROW()-2)*7+2 &amp; ":Z" &amp; (ROW()-1)*7+1))</f>
        <v/>
      </c>
      <c r="H4" s="42">
        <f>AVERAGE(INDIRECT("0分!AA" &amp; (ROW()-2)*7+3 &amp; ":AA" &amp; (ROW()-1)*7+2))</f>
        <v/>
      </c>
      <c r="I4" s="42">
        <f>AVERAGE(INDIRECT("0分!Y" &amp; (ROW()-2)*7+3 &amp; ":Y" &amp; (ROW()-1)*7+2))</f>
        <v/>
      </c>
      <c r="J4" s="42">
        <f>SUM(INDIRECT("0分!AE"&amp;(ROW()-2)*7+2&amp;":AE"&amp;(ROW()-1)*7+1))/7</f>
        <v/>
      </c>
      <c r="K4" s="284">
        <f t="array" ref="K4">INDIRECT("hcbi!BL"&amp;(ROW()-1)*7+-3)/7</f>
        <v/>
      </c>
      <c r="L4" s="240">
        <f>AVERAGE(INDIRECT("0分!AD"&amp;(ROW()-2)*7+2&amp;":AD"&amp;(ROW()-1)*7+1))</f>
        <v/>
      </c>
      <c r="M4" s="42">
        <f>AVERAGE(INDIRECT("0₦!BD"&amp;(ROW()-2)*7+6&amp;":BC"&amp;(ROW())*7 - 1))</f>
        <v/>
      </c>
      <c r="N4" s="42">
        <f>AVERAGE(INDIRECT("0分!AF"&amp;(ROW()-2)*7+2&amp;":AF"&amp;(ROW()-1)*7+1))</f>
        <v/>
      </c>
      <c r="O4" s="288">
        <f>AVERAGE(INDIRECT("0分!AH"&amp;(ROW()-2)*7+1&amp;":AH"&amp;(ROW()-1)*7))</f>
        <v/>
      </c>
      <c r="P4" s="42">
        <f>AVERAGE(INDIRECT("0₦!BC"&amp;(ROW()-2)*7+1&amp;":BB"&amp;(ROW()-1)*7))</f>
        <v/>
      </c>
      <c r="S4" s="42">
        <f>SUM(INDIRECT("0分!D" &amp; (ROW()-2)*7+2 &amp; ":D" &amp; (ROW()-1)*7+1))/7</f>
        <v/>
      </c>
      <c r="T4" s="450">
        <f>'i9'!B5</f>
        <v/>
      </c>
      <c r="U4" s="42">
        <f>-((0.97-0.951)*660000) / 50 / 4</f>
        <v/>
      </c>
      <c r="V4" s="335" t="n"/>
      <c r="W4" s="335" t="n"/>
      <c r="X4" s="335" t="n"/>
      <c r="Y4" s="335" t="n"/>
      <c r="Z4" s="335" t="n"/>
      <c r="AA4" s="578">
        <f>MAX(INDIRECT("0s!P" &amp; (ROW()-2)*7+6 &amp; ":P" &amp; (ROW()-1)*7+5))</f>
        <v/>
      </c>
      <c r="AB4" s="55">
        <f>MIN(INDIRECT("0s!Q" &amp; (ROW()-2)*7+6 &amp; ":Q" &amp; (ROW()-1)*7+5))</f>
        <v/>
      </c>
      <c r="AC4" s="578">
        <f>AVERAGE(INDIRECT("0s!R" &amp; (ROW()-2)*7+6 &amp; ":R" &amp; (ROW()-1)*7+5))</f>
        <v/>
      </c>
      <c r="AD4" s="579" t="n"/>
      <c r="AE4" s="39">
        <f>SUM(INDIRECT("0分!Y" &amp; (ROW()-2)*7-3 &amp; ":Y" &amp; (ROW()-1)*7+-4))/7</f>
        <v/>
      </c>
      <c r="AF4" s="42">
        <f>P4+L4+M4</f>
        <v/>
      </c>
      <c r="AG4" s="450" t="inlineStr">
        <is>
          <t xml:space="preserve">• Overall I would say this is going well. It's maybe a little bit too easy to ignore email for a day. So that's the weakspot. 
• I'm going to need some tools to make my current workflow faster. 
• It does seem to matter to be calm. </t>
        </is>
      </c>
      <c r="AI4" s="450">
        <f>COUNTIF(INDIRECT("'0₦'!AR" &amp;((ROW()-2)*7+3) &amp; ":AR" &amp; ((ROW()-1)*7+2)), "&lt;0")</f>
        <v/>
      </c>
      <c r="AJ4" s="450">
        <f>COUNTIF(INDIRECT("'0₦'!M" &amp;((ROW()-2)*7+3) &amp; ":M" &amp; ((ROW()-1)*7+2)), "&lt;&gt;")</f>
        <v/>
      </c>
      <c r="AK4" s="450">
        <f>COUNTIF(INDIRECT("'0₦'!O" &amp;((ROW()-2)*7+3) &amp; ":O" &amp; ((ROW()-1)*7+2)), "&lt;&gt;")</f>
        <v/>
      </c>
      <c r="AL4" s="42">
        <f>SUM(INDIRECT("0₦!AR" &amp; (ROW()-2)*7+3 &amp; ":AR" &amp; (ROW()-1)*7+2))/7</f>
        <v/>
      </c>
      <c r="AM4" s="42">
        <f>SUM(INDIRECT("0₦!AS" &amp; (ROW()-2)*7+3 &amp; ":AS" &amp; (ROW()-1)*7+2))/7</f>
        <v/>
      </c>
      <c r="AN4" s="42">
        <f>SUM(INDIRECT("0₦!AT" &amp; (ROW()-2)*7+3 &amp; ":AT" &amp; (ROW()-1)*7+2))/7</f>
        <v/>
      </c>
      <c r="AO4" s="42">
        <f>SUM(INDIRECT("0₦!AU" &amp; (ROW()-2)*7+3 &amp; ":AU" &amp; (ROW()-1)*7+2))/7</f>
        <v/>
      </c>
      <c r="AP4" s="42">
        <f>SUM(AO4+AN4/2+AM4*0.1-AL4)</f>
        <v/>
      </c>
      <c r="AQ4" s="42" t="n">
        <v>4</v>
      </c>
      <c r="AR4" s="42" t="n">
        <v>5</v>
      </c>
      <c r="AS4" s="450" t="inlineStr">
        <is>
          <t xml:space="preserve">• Got the reviews out but it took a while. 
• I think the new points system is the righht thing. 
• Losing a bit of ground on the 词汇 which is OK 
• I think I should just track the number of days that I avoid english news. 
• Need to block the verge and techmeme from regular browser </t>
        </is>
      </c>
      <c r="AU4" s="296">
        <f>SUM(INDIRECT("0分!AJ" &amp; (ROW()-2)*7 -1 &amp; ":AJ" &amp; (ROW()-1)*7-2))/7</f>
        <v/>
      </c>
      <c r="BI4" s="464" t="n"/>
      <c r="BN4" s="464" t="n"/>
      <c r="CA4" s="335" t="n"/>
      <c r="CB4" s="335" t="n"/>
      <c r="CC4" s="335" t="n"/>
      <c r="CD4" s="335" t="n"/>
      <c r="CE4" s="335" t="n"/>
      <c r="CF4" s="335" t="n"/>
      <c r="CG4" s="335" t="n"/>
      <c r="CH4" s="335" t="n"/>
      <c r="CI4" s="335" t="n"/>
      <c r="CJ4" s="335" t="n"/>
      <c r="CK4" s="335" t="n"/>
      <c r="CL4" s="335" t="n"/>
      <c r="CM4" s="335" t="n"/>
    </row>
    <row r="5" ht="45.95" customHeight="1" s="37">
      <c r="A5" s="142">
        <f>A4+0.1</f>
        <v/>
      </c>
      <c r="B5" s="142">
        <f>B4+1</f>
        <v/>
      </c>
      <c r="C5" s="94">
        <f>SUM(INDIRECT("0分!D" &amp; (ROW()-2)*7+2 &amp; ":D" &amp; (ROW()-1)*7+1))</f>
        <v/>
      </c>
      <c r="D5" s="39" t="n"/>
      <c r="E5" s="42">
        <f>'1₦+'!AN7/7</f>
        <v/>
      </c>
      <c r="F5" s="42">
        <f>AVERAGE(INDIRECT("0分!Y" &amp; (ROW()-2)*7+3 &amp; ":Y" &amp; (ROW()-1)*7+2))</f>
        <v/>
      </c>
      <c r="G5" s="42">
        <f>AVERAGE(INDIRECT("0分!Z" &amp; (ROW()-2)*7+2 &amp; ":Z" &amp; (ROW()-1)*7+1))</f>
        <v/>
      </c>
      <c r="H5" s="42">
        <f>AVERAGE(INDIRECT("0分!AA" &amp; (ROW()-2)*7+3 &amp; ":AA" &amp; (ROW()-1)*7+2))</f>
        <v/>
      </c>
      <c r="I5" s="42">
        <f>AVERAGE(INDIRECT("0分!Y" &amp; (ROW()-2)*7+3 &amp; ":Y" &amp; (ROW()-1)*7+2))</f>
        <v/>
      </c>
      <c r="J5" s="42">
        <f>SUM(INDIRECT("0分!AE"&amp;(ROW()-2)*7+2&amp;":AE"&amp;(ROW()-1)*7+1))/7</f>
        <v/>
      </c>
      <c r="K5" s="284">
        <f t="array" ref="K5">INDIRECT("hcbi!BL"&amp;(ROW()-1)*7+-3)/7</f>
        <v/>
      </c>
      <c r="L5" s="240">
        <f>AVERAGE(INDIRECT("0分!AD"&amp;(ROW()-2)*7+2&amp;":AD"&amp;(ROW()-1)*7+1))</f>
        <v/>
      </c>
      <c r="M5" s="42">
        <f>AVERAGE(INDIRECT("0₦!BD"&amp;(ROW()-2)*7+6&amp;":BC"&amp;(ROW())*7 - 1))</f>
        <v/>
      </c>
      <c r="N5" s="42">
        <f>AVERAGE(INDIRECT("0分!AF"&amp;(ROW()-2)*7+2&amp;":AF"&amp;(ROW()-1)*7+1))</f>
        <v/>
      </c>
      <c r="O5" s="288">
        <f>AVERAGE(INDIRECT("0分!AH"&amp;(ROW()-2)*7+1&amp;":AH"&amp;(ROW()-1)*7))</f>
        <v/>
      </c>
      <c r="P5" s="42">
        <f>AVERAGE(INDIRECT("0₦!BC"&amp;(ROW()-2)*7+1&amp;":BB"&amp;(ROW()-1)*7))</f>
        <v/>
      </c>
      <c r="S5" s="42">
        <f>SUM(INDIRECT("0分!D" &amp; (ROW()-2)*7+2 &amp; ":D" &amp; (ROW()-1)*7+1))/7</f>
        <v/>
      </c>
      <c r="T5" s="450">
        <f>'i9'!B6</f>
        <v/>
      </c>
      <c r="U5" s="42">
        <f>-((0.97-0.946)*700000) / 50 / 4</f>
        <v/>
      </c>
      <c r="V5" s="311" t="n"/>
      <c r="W5" s="335" t="n"/>
      <c r="X5" s="335" t="n"/>
      <c r="Y5" s="335" t="n"/>
      <c r="Z5" s="335" t="n"/>
      <c r="AA5" s="578">
        <f>MAX(INDIRECT("0s!P" &amp; (ROW()-2)*7+6 &amp; ":P" &amp; (ROW()-1)*7+5))</f>
        <v/>
      </c>
      <c r="AB5" s="55">
        <f>MIN(INDIRECT("0s!Q" &amp; (ROW()-2)*7+6 &amp; ":Q" &amp; (ROW()-1)*7+5))</f>
        <v/>
      </c>
      <c r="AC5" s="578">
        <f>AVERAGE(INDIRECT("0s!R" &amp; (ROW()-2)*7+6 &amp; ":R" &amp; (ROW()-1)*7+5))</f>
        <v/>
      </c>
      <c r="AD5" s="579" t="n"/>
      <c r="AE5" s="39">
        <f>SUM(INDIRECT("0分!Y" &amp; (ROW()-2)*7-3 &amp; ":Y" &amp; (ROW()-1)*7+-4))/7</f>
        <v/>
      </c>
      <c r="AF5" s="42">
        <f>P5+L5+M5</f>
        <v/>
      </c>
      <c r="AI5" s="450">
        <f>COUNTIF(INDIRECT("'0₦'!AR" &amp;((ROW()-2)*7+3) &amp; ":AR" &amp; ((ROW()-1)*7+2)), "&lt;0")</f>
        <v/>
      </c>
      <c r="AJ5" s="450">
        <f>COUNTIF(INDIRECT("'0₦'!M" &amp;((ROW()-2)*7+3) &amp; ":M" &amp; ((ROW()-1)*7+2)), "&lt;&gt;")</f>
        <v/>
      </c>
      <c r="AK5" s="450">
        <f>COUNTIF(INDIRECT("'0₦'!O" &amp;((ROW()-2)*7+3) &amp; ":O" &amp; ((ROW()-1)*7+2)), "&lt;&gt;")</f>
        <v/>
      </c>
      <c r="AL5" s="42">
        <f>SUM(INDIRECT("0₦!AR" &amp; (ROW()-2)*7+3 &amp; ":AR" &amp; (ROW()-1)*7+2))/7</f>
        <v/>
      </c>
      <c r="AM5" s="42">
        <f>SUM(INDIRECT("0₦!AS" &amp; (ROW()-2)*7+3 &amp; ":AS" &amp; (ROW()-1)*7+2))/7</f>
        <v/>
      </c>
      <c r="AN5" s="42">
        <f>SUM(INDIRECT("0₦!AT" &amp; (ROW()-2)*7+3 &amp; ":AT" &amp; (ROW()-1)*7+2))/7</f>
        <v/>
      </c>
      <c r="AO5" s="42">
        <f>SUM(INDIRECT("0₦!AU" &amp; (ROW()-2)*7+3 &amp; ":AU" &amp; (ROW()-1)*7+2))/7</f>
        <v/>
      </c>
      <c r="AP5" s="42">
        <f>SUM(AO5+AN5/2+AM5*0.1-AL5)</f>
        <v/>
      </c>
      <c r="AQ5" s="42" t="n"/>
      <c r="AR5" s="42" t="n"/>
      <c r="AU5" s="296">
        <f>SUM(INDIRECT("0分!AJ" &amp; (ROW()-2)*7 -1 &amp; ":AJ" &amp; (ROW()-1)*7-2))/7</f>
        <v/>
      </c>
      <c r="BI5" s="464" t="n"/>
      <c r="BN5" s="464" t="n"/>
      <c r="CA5" s="335" t="n"/>
      <c r="CB5" s="335" t="n"/>
      <c r="CC5" s="335" t="n"/>
      <c r="CD5" s="335" t="n"/>
      <c r="CE5" s="335" t="n"/>
      <c r="CF5" s="335" t="n"/>
      <c r="CG5" s="335" t="n"/>
      <c r="CH5" s="335" t="n"/>
      <c r="CI5" s="335" t="n"/>
      <c r="CJ5" s="335" t="n"/>
      <c r="CK5" s="335" t="n"/>
      <c r="CL5" s="335" t="n"/>
      <c r="CM5" s="335" t="n"/>
    </row>
    <row r="6" ht="45.95" customHeight="1" s="37">
      <c r="A6" s="142">
        <f>A2+1</f>
        <v/>
      </c>
      <c r="B6" s="142">
        <f>B5+1</f>
        <v/>
      </c>
      <c r="C6" s="94">
        <f>SUM(INDIRECT("0分!D" &amp; (ROW()-2)*7+2 &amp; ":D" &amp; (ROW()-1)*7+1))</f>
        <v/>
      </c>
      <c r="D6" s="39" t="n"/>
      <c r="E6" s="42">
        <f>'1₦+'!AN8/7</f>
        <v/>
      </c>
      <c r="F6" s="42">
        <f>AVERAGE(INDIRECT("0分!Y" &amp; (ROW()-2)*7+3 &amp; ":Y" &amp; (ROW()-1)*7+2))</f>
        <v/>
      </c>
      <c r="G6" s="42">
        <f>AVERAGE(INDIRECT("0分!Z" &amp; (ROW()-2)*7+2 &amp; ":Z" &amp; (ROW()-1)*7+1))</f>
        <v/>
      </c>
      <c r="H6" s="42">
        <f>AVERAGE(INDIRECT("0分!AA" &amp; (ROW()-2)*7+3 &amp; ":AA" &amp; (ROW()-1)*7+2))</f>
        <v/>
      </c>
      <c r="I6" s="42">
        <f>AVERAGE(INDIRECT("0分!Y" &amp; (ROW()-2)*7+3 &amp; ":Y" &amp; (ROW()-1)*7+2))</f>
        <v/>
      </c>
      <c r="J6" s="42">
        <f>SUM(INDIRECT("0分!AE"&amp;(ROW()-2)*7+2&amp;":AE"&amp;(ROW()-1)*7+1))/7</f>
        <v/>
      </c>
      <c r="K6" s="284">
        <f t="array" ref="K6">INDIRECT("hcbi!BL"&amp;(ROW()-1)*7+-3)/7</f>
        <v/>
      </c>
      <c r="L6" s="240">
        <f>AVERAGE(INDIRECT("0分!AD"&amp;(ROW()-2)*7+2&amp;":AD"&amp;(ROW()-1)*7+1))</f>
        <v/>
      </c>
      <c r="M6" s="42">
        <f>AVERAGE(INDIRECT("0₦!BD"&amp;(ROW()-2)*7+6&amp;":BC"&amp;(ROW())*7 - 1))</f>
        <v/>
      </c>
      <c r="N6" s="42">
        <f>AVERAGE(INDIRECT("0分!AF"&amp;(ROW()-2)*7+2&amp;":AF"&amp;(ROW()-1)*7+1))</f>
        <v/>
      </c>
      <c r="O6" s="288">
        <f>AVERAGE(INDIRECT("0分!AH"&amp;(ROW()-2)*7+1&amp;":AH"&amp;(ROW()-1)*7))</f>
        <v/>
      </c>
      <c r="P6" s="42">
        <f>AVERAGE(INDIRECT("0₦!BC"&amp;(ROW()-2)*7+1&amp;":BB"&amp;(ROW()-1)*7))</f>
        <v/>
      </c>
      <c r="S6" s="42">
        <f>SUM(INDIRECT("0分!D" &amp; (ROW()-2)*7+2 &amp; ":D" &amp; (ROW()-1)*7+1))/7</f>
        <v/>
      </c>
      <c r="T6" s="450">
        <f>'i9'!B7</f>
        <v/>
      </c>
      <c r="U6" s="42">
        <f>-((0.97-0.944)*671379) / 50 / 4</f>
        <v/>
      </c>
      <c r="V6" s="335" t="n"/>
      <c r="W6" s="335" t="n"/>
      <c r="X6" s="310" t="n"/>
      <c r="Y6" s="335" t="n"/>
      <c r="Z6" s="335" t="n"/>
      <c r="AA6" s="578">
        <f>MAX(INDIRECT("0s!P" &amp; (ROW()-2)*7+6 &amp; ":P" &amp; (ROW()-1)*7+5))</f>
        <v/>
      </c>
      <c r="AB6" s="55">
        <f>MIN(INDIRECT("0s!Q" &amp; (ROW()-2)*7+6 &amp; ":Q" &amp; (ROW()-1)*7+5))</f>
        <v/>
      </c>
      <c r="AC6" s="578">
        <f>AVERAGE(INDIRECT("0s!R" &amp; (ROW()-2)*7+6 &amp; ":R" &amp; (ROW()-1)*7+5))</f>
        <v/>
      </c>
      <c r="AD6" s="579" t="n"/>
      <c r="AE6" s="39">
        <f>SUM(INDIRECT("0分!Y" &amp; (ROW()-2)*7-3 &amp; ":Y" &amp; (ROW()-1)*7+-4))/7</f>
        <v/>
      </c>
      <c r="AF6" s="42">
        <f>P6+L6+M6</f>
        <v/>
      </c>
      <c r="AI6" s="450">
        <f>COUNTIF(INDIRECT("'0₦'!AR" &amp;((ROW()-2)*7+3) &amp; ":AR" &amp; ((ROW()-1)*7+2)), "&lt;0")</f>
        <v/>
      </c>
      <c r="AJ6" s="450">
        <f>COUNTIF(INDIRECT("'0₦'!M" &amp;((ROW()-2)*7+3) &amp; ":M" &amp; ((ROW()-1)*7+2)), "&lt;&gt;")</f>
        <v/>
      </c>
      <c r="AK6" s="450">
        <f>COUNTIF(INDIRECT("'0₦'!O" &amp;((ROW()-2)*7+3) &amp; ":O" &amp; ((ROW()-1)*7+2)), "&lt;&gt;")</f>
        <v/>
      </c>
      <c r="AL6" s="42">
        <f>SUM(INDIRECT("0₦!AR" &amp; (ROW()-2)*7+3 &amp; ":AR" &amp; (ROW()-1)*7+2))/7</f>
        <v/>
      </c>
      <c r="AM6" s="42">
        <f>SUM(INDIRECT("0₦!AS" &amp; (ROW()-2)*7+3 &amp; ":AS" &amp; (ROW()-1)*7+2))/7</f>
        <v/>
      </c>
      <c r="AN6" s="42">
        <f>SUM(INDIRECT("0₦!AT" &amp; (ROW()-2)*7+3 &amp; ":AT" &amp; (ROW()-1)*7+2))/7</f>
        <v/>
      </c>
      <c r="AO6" s="42">
        <f>SUM(INDIRECT("0₦!AU" &amp; (ROW()-2)*7+3 &amp; ":AU" &amp; (ROW()-1)*7+2))/7</f>
        <v/>
      </c>
      <c r="AP6" s="42">
        <f>SUM(AO6+AN6/2+AM6*0.1-AL6)</f>
        <v/>
      </c>
      <c r="AQ6" s="42" t="n"/>
      <c r="AR6" s="42" t="n"/>
      <c r="AU6" s="296">
        <f>SUM(INDIRECT("0分!AJ" &amp; (ROW()-2)*7 -1 &amp; ":AJ" &amp; (ROW()-1)*7-2))/7</f>
        <v/>
      </c>
      <c r="AV6" s="534">
        <f>COUNTIFS('0分'!E30:E58,"&gt;600",'0分'!E30:E58,"&lt;1000")/28</f>
        <v/>
      </c>
      <c r="AW6" s="534">
        <f>COUNTIF('0分'!E30:E58,"&gt;1")/28</f>
        <v/>
      </c>
      <c r="AX6" s="534">
        <f>COUNTIF('0分'!F30:F58,"&gt;0")/28</f>
        <v/>
      </c>
      <c r="AY6" s="533">
        <f>AVERAGE(L6:L9)</f>
        <v/>
      </c>
      <c r="AZ6" s="533">
        <f>AVERAGE(N6:N9)</f>
        <v/>
      </c>
      <c r="BA6" s="533">
        <f>AVERAGE(O6:O9)</f>
        <v/>
      </c>
      <c r="BB6" s="533">
        <f>AVERAGE(E6:E9)</f>
        <v/>
      </c>
      <c r="BC6" s="533">
        <f>SUM(G6:G9)/4</f>
        <v/>
      </c>
      <c r="BD6" s="533">
        <f>SUM(H6:H9)/4</f>
        <v/>
      </c>
      <c r="BE6" s="533">
        <f>AVERAGE(I6:I9)</f>
        <v/>
      </c>
      <c r="BF6" s="533">
        <f>SUM(J6:J9)/4</f>
        <v/>
      </c>
      <c r="BG6" s="537" t="n"/>
      <c r="BH6" s="532">
        <f>AVERAGE(P6:P9)</f>
        <v/>
      </c>
      <c r="BI6" s="537" t="n"/>
      <c r="BJ6" s="533">
        <f>AVERAGE(C6:C9)/7</f>
        <v/>
      </c>
      <c r="BK6" s="532">
        <f>AVERAGE(#REF!)</f>
        <v/>
      </c>
      <c r="BL6" s="532">
        <f>AVERAGE(#REF!)</f>
        <v/>
      </c>
      <c r="BM6" s="492">
        <f>AVERAGE(#REF!)</f>
        <v/>
      </c>
      <c r="BN6" s="580" t="n"/>
      <c r="BO6" s="581">
        <f>AVERAGE($AC6:$AC9)</f>
        <v/>
      </c>
      <c r="CA6" s="296">
        <f>AVERAGE(F6:F9)</f>
        <v/>
      </c>
      <c r="CB6" s="296">
        <f>AVERAGE(D6:D9)</f>
        <v/>
      </c>
      <c r="CC6" s="296">
        <f>AVERAGE(G6:G9)</f>
        <v/>
      </c>
      <c r="CD6" s="296">
        <f>AVERAGE(H6:H9)</f>
        <v/>
      </c>
      <c r="CE6" s="296">
        <f>AVERAGE(I6:I9)</f>
        <v/>
      </c>
      <c r="CF6" s="296">
        <f>BF6</f>
        <v/>
      </c>
      <c r="CG6" s="2">
        <f>SUM(N6:N9)/COUNT(N6:N9)</f>
        <v/>
      </c>
      <c r="CH6" s="2">
        <f>AVERAGE(M6:M9)</f>
        <v/>
      </c>
      <c r="CI6" s="2">
        <f>AVERAGE(L6:L9)</f>
        <v/>
      </c>
      <c r="CJ6" s="2">
        <f>AVERAGE(O6:O9)</f>
        <v/>
      </c>
      <c r="CK6" s="335">
        <f>SUM('0分'!#REF!)</f>
        <v/>
      </c>
      <c r="CL6" s="2">
        <f>AVERAGE(P6:P9)</f>
        <v/>
      </c>
      <c r="CM6" s="445" t="n"/>
    </row>
    <row r="7" ht="45.95" customHeight="1" s="37">
      <c r="A7" s="142">
        <f>A6+0.1</f>
        <v/>
      </c>
      <c r="B7" s="142">
        <f>B6+1</f>
        <v/>
      </c>
      <c r="C7" s="94">
        <f>SUM(INDIRECT("0分!D" &amp; (ROW()-2)*7+2 &amp; ":D" &amp; (ROW()-1)*7+1))</f>
        <v/>
      </c>
      <c r="D7" s="39" t="n"/>
      <c r="E7" s="42">
        <f>'1₦+'!AN9/7</f>
        <v/>
      </c>
      <c r="F7" s="42">
        <f>AVERAGE(INDIRECT("0分!Y" &amp; (ROW()-2)*7+3 &amp; ":Y" &amp; (ROW()-1)*7+2))</f>
        <v/>
      </c>
      <c r="G7" s="42">
        <f>AVERAGE(INDIRECT("0分!Z" &amp; (ROW()-2)*7+2 &amp; ":Z" &amp; (ROW()-1)*7+1))</f>
        <v/>
      </c>
      <c r="H7" s="42">
        <f>AVERAGE(INDIRECT("0分!AA" &amp; (ROW()-2)*7+3 &amp; ":AA" &amp; (ROW()-1)*7+2))</f>
        <v/>
      </c>
      <c r="I7" s="42">
        <f>AVERAGE(INDIRECT("0分!Y" &amp; (ROW()-2)*7+3 &amp; ":Y" &amp; (ROW()-1)*7+2))</f>
        <v/>
      </c>
      <c r="J7" s="42">
        <f>SUM(INDIRECT("0分!AE"&amp;(ROW()-2)*7+2&amp;":AE"&amp;(ROW()-1)*7+1))/7</f>
        <v/>
      </c>
      <c r="K7" s="284">
        <f t="array" ref="K7">INDIRECT("hcbi!BL"&amp;(ROW()-1)*7+-3)/7</f>
        <v/>
      </c>
      <c r="L7" s="240">
        <f>AVERAGE(INDIRECT("0分!AD"&amp;(ROW()-2)*7+2&amp;":AD"&amp;(ROW()-1)*7+1))</f>
        <v/>
      </c>
      <c r="M7" s="42">
        <f>AVERAGE(INDIRECT("0₦!BD"&amp;(ROW()-2)*7+6&amp;":BC"&amp;(ROW())*7 - 1))</f>
        <v/>
      </c>
      <c r="N7" s="42">
        <f>AVERAGE(INDIRECT("0分!AF"&amp;(ROW()-2)*7+2&amp;":AF"&amp;(ROW()-1)*7+1))</f>
        <v/>
      </c>
      <c r="O7" s="288">
        <f>AVERAGE(INDIRECT("0分!AH"&amp;(ROW()-2)*7+1&amp;":AH"&amp;(ROW()-1)*7))</f>
        <v/>
      </c>
      <c r="P7" s="42">
        <f>AVERAGE(INDIRECT("0₦!BC"&amp;(ROW()-2)*7+1&amp;":BB"&amp;(ROW()-1)*7))</f>
        <v/>
      </c>
      <c r="S7" s="42">
        <f>SUM(INDIRECT("0分!D" &amp; (ROW()-2)*7+2 &amp; ":D" &amp; (ROW()-1)*7+1))/7</f>
        <v/>
      </c>
      <c r="T7" s="450">
        <f>'i9'!B8</f>
        <v/>
      </c>
      <c r="U7" s="42">
        <f>-((0.97-0.945)*671379) / 50 / 4</f>
        <v/>
      </c>
      <c r="V7" s="312" t="n"/>
      <c r="W7" s="335" t="n"/>
      <c r="X7" s="335" t="n"/>
      <c r="Y7" s="335" t="n"/>
      <c r="Z7" s="335" t="n"/>
      <c r="AA7" s="578">
        <f>MAX(INDIRECT("0s!P" &amp; (ROW()-2)*7+6 &amp; ":P" &amp; (ROW()-1)*7+5))</f>
        <v/>
      </c>
      <c r="AB7" s="55">
        <f>MIN(INDIRECT("0s!Q" &amp; (ROW()-2)*7+6 &amp; ":Q" &amp; (ROW()-1)*7+5))</f>
        <v/>
      </c>
      <c r="AC7" s="578">
        <f>AVERAGE(INDIRECT("0s!R" &amp; (ROW()-2)*7+6 &amp; ":R" &amp; (ROW()-1)*7+5))</f>
        <v/>
      </c>
      <c r="AD7" s="579" t="n"/>
      <c r="AE7" s="39">
        <f>SUM(INDIRECT("0分!Y" &amp; (ROW()-2)*7-3 &amp; ":Y" &amp; (ROW()-1)*7+-4))/7</f>
        <v/>
      </c>
      <c r="AF7" s="42">
        <f>P7+L7+M7</f>
        <v/>
      </c>
      <c r="AI7" s="450">
        <f>COUNTIF(INDIRECT("'0₦'!AR" &amp;((ROW()-2)*7+3) &amp; ":AR" &amp; ((ROW()-1)*7+2)), "&lt;0")</f>
        <v/>
      </c>
      <c r="AJ7" s="450">
        <f>COUNTIF(INDIRECT("'0₦'!M" &amp;((ROW()-2)*7+3) &amp; ":M" &amp; ((ROW()-1)*7+2)), "&lt;&gt;")</f>
        <v/>
      </c>
      <c r="AK7" s="450">
        <f>COUNTIF(INDIRECT("'0₦'!O" &amp;((ROW()-2)*7+3) &amp; ":O" &amp; ((ROW()-1)*7+2)), "&lt;&gt;")</f>
        <v/>
      </c>
      <c r="AL7" s="42">
        <f>SUM(INDIRECT("0₦!AR" &amp; (ROW()-2)*7+3 &amp; ":AR" &amp; (ROW()-1)*7+2))/7</f>
        <v/>
      </c>
      <c r="AM7" s="42">
        <f>SUM(INDIRECT("0₦!AS" &amp; (ROW()-2)*7+3 &amp; ":AS" &amp; (ROW()-1)*7+2))/7</f>
        <v/>
      </c>
      <c r="AN7" s="42">
        <f>SUM(INDIRECT("0₦!AT" &amp; (ROW()-2)*7+3 &amp; ":AT" &amp; (ROW()-1)*7+2))/7</f>
        <v/>
      </c>
      <c r="AO7" s="42">
        <f>SUM(INDIRECT("0₦!AU" &amp; (ROW()-2)*7+3 &amp; ":AU" &amp; (ROW()-1)*7+2))/7</f>
        <v/>
      </c>
      <c r="AP7" s="42">
        <f>SUM(AO7+AN7/2+AM7*0.1-AL7)</f>
        <v/>
      </c>
      <c r="AQ7" s="42" t="n"/>
      <c r="AR7" s="42" t="n"/>
      <c r="AU7" s="296">
        <f>SUM(INDIRECT("0分!AJ" &amp; (ROW()-2)*7 -1 &amp; ":AJ" &amp; (ROW()-1)*7-2))/7</f>
        <v/>
      </c>
      <c r="BI7" s="464" t="n"/>
      <c r="BN7" s="464" t="n"/>
      <c r="CA7" s="297">
        <f>CA6/$CM$2</f>
        <v/>
      </c>
      <c r="CB7" s="297">
        <f>CB6/$CM$2</f>
        <v/>
      </c>
      <c r="CC7" s="297">
        <f>CC6/$CM$2</f>
        <v/>
      </c>
      <c r="CD7" s="297">
        <f>CD6/$CM$2</f>
        <v/>
      </c>
      <c r="CE7" s="297">
        <f>CE6/$CM$2</f>
        <v/>
      </c>
      <c r="CF7" s="297">
        <f>CF6/$CM$2</f>
        <v/>
      </c>
      <c r="CG7" s="297">
        <f>CG6/$CM$2</f>
        <v/>
      </c>
      <c r="CH7" s="297">
        <f>CH6/$CM$2</f>
        <v/>
      </c>
      <c r="CI7" s="297">
        <f>CI6/$CM$2</f>
        <v/>
      </c>
      <c r="CJ7" s="297">
        <f>CJ6/$CM$2</f>
        <v/>
      </c>
      <c r="CK7" s="297">
        <f>CK6/$CM$2</f>
        <v/>
      </c>
      <c r="CL7" s="297">
        <f>CL6/$CM$2</f>
        <v/>
      </c>
      <c r="CM7" s="445" t="n"/>
    </row>
    <row r="8" ht="45.95" customHeight="1" s="37">
      <c r="A8" s="142">
        <f>A7+0.1</f>
        <v/>
      </c>
      <c r="B8" s="142">
        <f>B7+1</f>
        <v/>
      </c>
      <c r="C8" s="94">
        <f>SUM(INDIRECT("0分!D" &amp; (ROW()-2)*7+2 &amp; ":D" &amp; (ROW()-1)*7+1))</f>
        <v/>
      </c>
      <c r="D8" s="39" t="n"/>
      <c r="E8" s="42">
        <f>'1₦+'!AN10/7</f>
        <v/>
      </c>
      <c r="F8" s="42">
        <f>AVERAGE(INDIRECT("0分!Y" &amp; (ROW()-2)*7+3 &amp; ":Y" &amp; (ROW()-1)*7+2))</f>
        <v/>
      </c>
      <c r="G8" s="42">
        <f>AVERAGE(INDIRECT("0分!Z" &amp; (ROW()-2)*7+2 &amp; ":Z" &amp; (ROW()-1)*7+1))</f>
        <v/>
      </c>
      <c r="H8" s="42">
        <f>AVERAGE(INDIRECT("0分!AA" &amp; (ROW()-2)*7+3 &amp; ":AA" &amp; (ROW()-1)*7+2))</f>
        <v/>
      </c>
      <c r="I8" s="42">
        <f>AVERAGE(INDIRECT("0分!Y" &amp; (ROW()-2)*7+3 &amp; ":Y" &amp; (ROW()-1)*7+2))</f>
        <v/>
      </c>
      <c r="J8" s="42">
        <f>SUM(INDIRECT("0分!AE"&amp;(ROW()-2)*7+2&amp;":AE"&amp;(ROW()-1)*7+1))/7</f>
        <v/>
      </c>
      <c r="K8" s="313">
        <f t="array" ref="K8">INDIRECT("hcbi!BL"&amp;(ROW()-1)*7+-3)/7</f>
        <v/>
      </c>
      <c r="L8" s="240">
        <f>AVERAGE(INDIRECT("0分!AD"&amp;(ROW()-2)*7+2&amp;":AD"&amp;(ROW()-1)*7+1))</f>
        <v/>
      </c>
      <c r="M8" s="42">
        <f>AVERAGE(INDIRECT("0₦!BD"&amp;(ROW()-2)*7+6&amp;":BC"&amp;(ROW())*7 - 1))</f>
        <v/>
      </c>
      <c r="N8" s="42">
        <f>AVERAGE(INDIRECT("0分!AF"&amp;(ROW()-2)*7+2&amp;":AF"&amp;(ROW()-1)*7+1))</f>
        <v/>
      </c>
      <c r="O8" s="288">
        <f>AVERAGE(INDIRECT("0分!AH"&amp;(ROW()-2)*7+1&amp;":AH"&amp;(ROW()-1)*7))</f>
        <v/>
      </c>
      <c r="P8" s="42">
        <f>AVERAGE(INDIRECT("0₦!BC"&amp;(ROW()-2)*7+1&amp;":BB"&amp;(ROW()-1)*7))</f>
        <v/>
      </c>
      <c r="S8" s="42">
        <f>SUM(INDIRECT("0分!D" &amp; (ROW()-2)*7+2 &amp; ":D" &amp; (ROW()-1)*7+1))/7</f>
        <v/>
      </c>
      <c r="T8" s="450">
        <f>'i9'!B9</f>
        <v/>
      </c>
      <c r="U8" s="42">
        <f>-((0.97-0.941)*671379) / 50 / 4</f>
        <v/>
      </c>
      <c r="V8" s="335" t="n"/>
      <c r="W8" s="335" t="n"/>
      <c r="X8" s="335" t="n"/>
      <c r="Y8" s="335" t="n"/>
      <c r="Z8" s="335" t="n"/>
      <c r="AA8" s="578">
        <f>MAX(INDIRECT("0s!P" &amp; (ROW()-2)*7+6 &amp; ":P" &amp; (ROW()-1)*7+5))</f>
        <v/>
      </c>
      <c r="AB8" s="55">
        <f>MIN(INDIRECT("0s!Q" &amp; (ROW()-2)*7+6 &amp; ":Q" &amp; (ROW()-1)*7+5))</f>
        <v/>
      </c>
      <c r="AC8" s="578">
        <f>AVERAGE(INDIRECT("0s!R" &amp; (ROW()-2)*7+6 &amp; ":R" &amp; (ROW()-1)*7+5))</f>
        <v/>
      </c>
      <c r="AD8" s="579" t="n"/>
      <c r="AE8" s="39">
        <f>SUM(INDIRECT("0分!Y" &amp; (ROW()-2)*7-3 &amp; ":Y" &amp; (ROW()-1)*7+-4))/7</f>
        <v/>
      </c>
      <c r="AF8" s="42">
        <f>P8+L8+M8</f>
        <v/>
      </c>
      <c r="AI8" s="450">
        <f>COUNTIF(INDIRECT("'0₦'!AR" &amp;((ROW()-2)*7+3) &amp; ":AR" &amp; ((ROW()-1)*7+2)), "&lt;0")</f>
        <v/>
      </c>
      <c r="AJ8" s="450">
        <f>COUNTIF(INDIRECT("'0₦'!M" &amp;((ROW()-2)*7+3) &amp; ":M" &amp; ((ROW()-1)*7+2)), "&lt;&gt;")</f>
        <v/>
      </c>
      <c r="AK8" s="450">
        <f>COUNTIF(INDIRECT("'0₦'!O" &amp;((ROW()-2)*7+3) &amp; ":O" &amp; ((ROW()-1)*7+2)), "&lt;&gt;")</f>
        <v/>
      </c>
      <c r="AL8" s="42">
        <f>SUM(INDIRECT("0₦!AR" &amp; (ROW()-2)*7+3 &amp; ":AR" &amp; (ROW()-1)*7+2))/7</f>
        <v/>
      </c>
      <c r="AM8" s="42">
        <f>SUM(INDIRECT("0₦!AS" &amp; (ROW()-2)*7+3 &amp; ":AS" &amp; (ROW()-1)*7+2))/7</f>
        <v/>
      </c>
      <c r="AN8" s="42">
        <f>SUM(INDIRECT("0₦!AT" &amp; (ROW()-2)*7+3 &amp; ":AT" &amp; (ROW()-1)*7+2))/7</f>
        <v/>
      </c>
      <c r="AO8" s="42">
        <f>SUM(INDIRECT("0₦!AU" &amp; (ROW()-2)*7+3 &amp; ":AU" &amp; (ROW()-1)*7+2))/7</f>
        <v/>
      </c>
      <c r="AP8" s="42">
        <f>SUM(AO8+AN8/2+AM8*0.1-AL8)</f>
        <v/>
      </c>
      <c r="AQ8" s="42" t="n"/>
      <c r="AR8" s="42" t="n"/>
      <c r="AU8" s="296">
        <f>SUM(INDIRECT("0分!AJ" &amp; (ROW()-2)*7 -1 &amp; ":AJ" &amp; (ROW()-1)*7-2))/7</f>
        <v/>
      </c>
      <c r="BI8" s="464" t="n"/>
      <c r="BN8" s="464" t="n"/>
      <c r="CA8" s="296" t="n"/>
      <c r="CB8" s="296" t="n"/>
      <c r="CC8" s="296" t="n"/>
      <c r="CD8" s="296" t="n"/>
      <c r="CE8" s="296" t="n"/>
      <c r="CF8" s="296" t="n"/>
      <c r="CG8" s="2" t="n"/>
      <c r="CH8" s="2" t="n"/>
      <c r="CI8" s="2" t="n"/>
      <c r="CJ8" s="2" t="n"/>
      <c r="CK8" s="335" t="n"/>
      <c r="CL8" s="2" t="n"/>
      <c r="CM8" s="445" t="n"/>
    </row>
    <row r="9" ht="45.95" customHeight="1" s="37">
      <c r="A9" s="142">
        <f>A8+0.1</f>
        <v/>
      </c>
      <c r="B9" s="142">
        <f>B8+1</f>
        <v/>
      </c>
      <c r="C9" s="94">
        <f>SUM(INDIRECT("0分!D" &amp; (ROW()-2)*7+2 &amp; ":D" &amp; (ROW()-1)*7+1))</f>
        <v/>
      </c>
      <c r="D9" s="39" t="n"/>
      <c r="E9" s="42">
        <f>'1₦+'!AN11/7</f>
        <v/>
      </c>
      <c r="F9" s="42">
        <f>AVERAGE(INDIRECT("0分!Y" &amp; (ROW()-2)*7+3 &amp; ":Y" &amp; (ROW()-1)*7+2))</f>
        <v/>
      </c>
      <c r="G9" s="42">
        <f>AVERAGE(INDIRECT("0分!Z" &amp; (ROW()-2)*7+2 &amp; ":Z" &amp; (ROW()-1)*7+1))</f>
        <v/>
      </c>
      <c r="H9" s="42">
        <f>AVERAGE(INDIRECT("0分!AA" &amp; (ROW()-2)*7+3 &amp; ":AA" &amp; (ROW()-1)*7+2))</f>
        <v/>
      </c>
      <c r="I9" s="42">
        <f>AVERAGE(INDIRECT("0分!Y" &amp; (ROW()-2)*7+3 &amp; ":Y" &amp; (ROW()-1)*7+2))</f>
        <v/>
      </c>
      <c r="J9" s="42">
        <f>SUM(INDIRECT("0分!AE"&amp;(ROW()-2)*7+2&amp;":AE"&amp;(ROW()-1)*7+1))/7</f>
        <v/>
      </c>
      <c r="K9" s="284">
        <f t="array" ref="K9">INDIRECT("hcbi!BL"&amp;(ROW()-1)*7+-3)/7</f>
        <v/>
      </c>
      <c r="L9" s="240">
        <f>AVERAGE(INDIRECT("0分!AD"&amp;(ROW()-2)*7+2&amp;":AD"&amp;(ROW()-1)*7+1))</f>
        <v/>
      </c>
      <c r="M9" s="42">
        <f>AVERAGE(INDIRECT("0₦!BD"&amp;(ROW()-2)*7+6&amp;":BC"&amp;(ROW())*7 - 1))</f>
        <v/>
      </c>
      <c r="N9" s="42">
        <f>AVERAGE(INDIRECT("0分!AF"&amp;(ROW()-2)*7+2&amp;":AF"&amp;(ROW()-1)*7+1))</f>
        <v/>
      </c>
      <c r="O9" s="288">
        <f>AVERAGE(INDIRECT("0分!AH"&amp;(ROW()-2)*7+1&amp;":AH"&amp;(ROW()-1)*7))</f>
        <v/>
      </c>
      <c r="P9" s="42">
        <f>AVERAGE(INDIRECT("0₦!BC"&amp;(ROW()-2)*7+1&amp;":BB"&amp;(ROW()-1)*7))</f>
        <v/>
      </c>
      <c r="S9" s="42">
        <f>SUM(INDIRECT("0分!D" &amp; (ROW()-2)*7+2 &amp; ":D" &amp; (ROW()-1)*7+1))/7</f>
        <v/>
      </c>
      <c r="T9" s="450">
        <f>'i9'!B10</f>
        <v/>
      </c>
      <c r="U9" s="42">
        <f>-((0.97-0.94)*700000) / 50 / 4</f>
        <v/>
      </c>
      <c r="V9" s="335" t="n"/>
      <c r="W9" s="335" t="n"/>
      <c r="X9" s="335" t="n"/>
      <c r="Y9" s="335" t="n"/>
      <c r="Z9" s="335" t="n"/>
      <c r="AA9" s="578">
        <f>MAX(INDIRECT("0s!P" &amp; (ROW()-2)*7+6 &amp; ":P" &amp; (ROW()-1)*7+5))</f>
        <v/>
      </c>
      <c r="AB9" s="55">
        <f>MIN(INDIRECT("0s!Q" &amp; (ROW()-2)*7+6 &amp; ":Q" &amp; (ROW()-1)*7+5))</f>
        <v/>
      </c>
      <c r="AC9" s="578">
        <f>AVERAGE(INDIRECT("0s!R" &amp; (ROW()-2)*7+6 &amp; ":R" &amp; (ROW()-1)*7+5))</f>
        <v/>
      </c>
      <c r="AD9" s="579" t="n"/>
      <c r="AE9" s="39">
        <f>SUM(INDIRECT("0分!Y" &amp; (ROW()-2)*7-3 &amp; ":Y" &amp; (ROW()-1)*7+-4))/7</f>
        <v/>
      </c>
      <c r="AF9" s="42">
        <f>P9+L9+M9</f>
        <v/>
      </c>
      <c r="AI9" s="450">
        <f>COUNTIF(INDIRECT("'0₦'!AR" &amp;((ROW()-2)*7+3) &amp; ":AR" &amp; ((ROW()-1)*7+2)), "&lt;0")</f>
        <v/>
      </c>
      <c r="AJ9" s="450">
        <f>COUNTIF(INDIRECT("'0₦'!M" &amp;((ROW()-2)*7+3) &amp; ":M" &amp; ((ROW()-1)*7+2)), "&lt;&gt;")</f>
        <v/>
      </c>
      <c r="AK9" s="450">
        <f>COUNTIF(INDIRECT("'0₦'!O" &amp;((ROW()-2)*7+3) &amp; ":O" &amp; ((ROW()-1)*7+2)), "&lt;&gt;")</f>
        <v/>
      </c>
      <c r="AL9" s="42">
        <f>SUM(INDIRECT("0₦!AR" &amp; (ROW()-2)*7+3 &amp; ":AR" &amp; (ROW()-1)*7+2))/7</f>
        <v/>
      </c>
      <c r="AM9" s="42">
        <f>SUM(INDIRECT("0₦!AS" &amp; (ROW()-2)*7+3 &amp; ":AS" &amp; (ROW()-1)*7+2))/7</f>
        <v/>
      </c>
      <c r="AN9" s="42">
        <f>SUM(INDIRECT("0₦!AT" &amp; (ROW()-2)*7+3 &amp; ":AT" &amp; (ROW()-1)*7+2))/7</f>
        <v/>
      </c>
      <c r="AO9" s="42">
        <f>SUM(INDIRECT("0₦!AU" &amp; (ROW()-2)*7+3 &amp; ":AU" &amp; (ROW()-1)*7+2))/7</f>
        <v/>
      </c>
      <c r="AP9" s="42">
        <f>SUM(AO9+AN9/2+AM9*0.1-AL9)</f>
        <v/>
      </c>
      <c r="AQ9" s="42" t="n"/>
      <c r="AR9" s="42" t="n"/>
      <c r="AU9" s="296">
        <f>SUM(INDIRECT("0分!AJ" &amp; (ROW()-2)*7 -1 &amp; ":AJ" &amp; (ROW()-1)*7-2))/7</f>
        <v/>
      </c>
      <c r="BI9" s="464" t="n"/>
      <c r="BN9" s="464" t="n"/>
      <c r="CA9" s="297" t="n"/>
      <c r="CB9" s="297" t="n"/>
      <c r="CC9" s="297" t="n"/>
      <c r="CD9" s="297" t="n"/>
      <c r="CE9" s="297" t="n"/>
      <c r="CF9" s="297" t="n"/>
      <c r="CG9" s="297" t="n"/>
      <c r="CH9" s="297" t="n"/>
      <c r="CI9" s="297" t="n"/>
      <c r="CJ9" s="297" t="n"/>
      <c r="CK9" s="297" t="n"/>
      <c r="CL9" s="297" t="n"/>
      <c r="CM9" s="445" t="n"/>
    </row>
    <row r="10" ht="45.95" customHeight="1" s="37">
      <c r="A10" s="142">
        <f>A6+1</f>
        <v/>
      </c>
      <c r="B10" s="142">
        <f>B9+1</f>
        <v/>
      </c>
      <c r="C10" s="94">
        <f>SUM(INDIRECT("0分!D" &amp; (ROW()-2)*7+2 &amp; ":D" &amp; (ROW()-1)*7+1))</f>
        <v/>
      </c>
      <c r="D10" s="39" t="n"/>
      <c r="E10" s="42">
        <f>'1₦+'!AN12/7</f>
        <v/>
      </c>
      <c r="F10" s="42">
        <f>AVERAGE(INDIRECT("0分!Y" &amp; (ROW()-2)*7+3 &amp; ":Y" &amp; (ROW()-1)*7+2))</f>
        <v/>
      </c>
      <c r="G10" s="42">
        <f>AVERAGE(INDIRECT("0分!Z" &amp; (ROW()-2)*7+2 &amp; ":Z" &amp; (ROW()-1)*7+1))</f>
        <v/>
      </c>
      <c r="H10" s="42">
        <f>AVERAGE(INDIRECT("0分!AA" &amp; (ROW()-2)*7+3 &amp; ":AA" &amp; (ROW()-1)*7+2))</f>
        <v/>
      </c>
      <c r="I10" s="42">
        <f>AVERAGE(INDIRECT("0分!Y" &amp; (ROW()-2)*7+3 &amp; ":Y" &amp; (ROW()-1)*7+2))</f>
        <v/>
      </c>
      <c r="J10" s="42">
        <f>SUM(INDIRECT("0分!AE"&amp;(ROW()-2)*7+2&amp;":AE"&amp;(ROW()-1)*7+1))/7</f>
        <v/>
      </c>
      <c r="K10" s="313">
        <f t="array" ref="K10">INDIRECT("hcbi!BL"&amp;(ROW()-1)*7+-3)/7</f>
        <v/>
      </c>
      <c r="L10" s="240">
        <f>AVERAGE(INDIRECT("0分!AD"&amp;(ROW()-2)*7+2&amp;":AD"&amp;(ROW()-1)*7+1))</f>
        <v/>
      </c>
      <c r="M10" s="42">
        <f>AVERAGE(INDIRECT("0₦!BD"&amp;(ROW()-2)*7+6&amp;":BC"&amp;(ROW())*7 - 1))</f>
        <v/>
      </c>
      <c r="N10" s="42">
        <f>AVERAGE(INDIRECT("0分!AF"&amp;(ROW()-2)*7+2&amp;":AF"&amp;(ROW()-1)*7+1))</f>
        <v/>
      </c>
      <c r="O10" s="288">
        <f>AVERAGE(INDIRECT("0分!AH"&amp;(ROW()-2)*7+1&amp;":AH"&amp;(ROW()-1)*7))</f>
        <v/>
      </c>
      <c r="P10" s="42">
        <f>AVERAGE(INDIRECT("0₦!BC"&amp;(ROW()-2)*7+1&amp;":BB"&amp;(ROW()-1)*7))</f>
        <v/>
      </c>
      <c r="S10" s="42">
        <f>SUM(INDIRECT("0分!D" &amp; (ROW()-2)*7+2 &amp; ":D" &amp; (ROW()-1)*7+1))/7</f>
        <v/>
      </c>
      <c r="T10" s="450">
        <f>'i9'!B11</f>
        <v/>
      </c>
      <c r="U10" s="42">
        <f>-((0.97-0.92)*750000) / 50 / 4</f>
        <v/>
      </c>
      <c r="V10" s="335" t="n"/>
      <c r="W10" s="335" t="n"/>
      <c r="X10" s="335" t="n"/>
      <c r="Y10" s="335" t="n"/>
      <c r="Z10" s="335" t="n"/>
      <c r="AA10" s="578">
        <f>MAX(INDIRECT("0s!P" &amp; (ROW()-2)*7+6 &amp; ":P" &amp; (ROW()-1)*7+5))</f>
        <v/>
      </c>
      <c r="AB10" s="55">
        <f>MIN(INDIRECT("0s!Q" &amp; (ROW()-2)*7+6 &amp; ":Q" &amp; (ROW()-1)*7+5))</f>
        <v/>
      </c>
      <c r="AC10" s="578">
        <f>AVERAGE(INDIRECT("0s!R" &amp; (ROW()-2)*7+6 &amp; ":R" &amp; (ROW()-1)*7+5))</f>
        <v/>
      </c>
      <c r="AD10" s="579" t="n"/>
      <c r="AE10" s="39">
        <f>SUM(INDIRECT("0分!Y" &amp; (ROW()-2)*7-3 &amp; ":Y" &amp; (ROW()-1)*7+-4))/7</f>
        <v/>
      </c>
      <c r="AF10" s="42">
        <f>P10+L10+M10</f>
        <v/>
      </c>
      <c r="AI10" s="450">
        <f>COUNTIF(INDIRECT("'0₦'!AR" &amp;((ROW()-2)*7+3) &amp; ":AR" &amp; ((ROW()-1)*7+2)), "&lt;0")</f>
        <v/>
      </c>
      <c r="AJ10" s="450">
        <f>COUNTIF(INDIRECT("'0₦'!M" &amp;((ROW()-2)*7+3) &amp; ":M" &amp; ((ROW()-1)*7+2)), "&lt;&gt;")</f>
        <v/>
      </c>
      <c r="AK10" s="450">
        <f>COUNTIF(INDIRECT("'0₦'!O" &amp;((ROW()-2)*7+3) &amp; ":O" &amp; ((ROW()-1)*7+2)), "&lt;&gt;")</f>
        <v/>
      </c>
      <c r="AL10" s="42">
        <f>SUM(INDIRECT("0₦!AR" &amp; (ROW()-2)*7+3 &amp; ":AR" &amp; (ROW()-1)*7+2))/7</f>
        <v/>
      </c>
      <c r="AM10" s="42">
        <f>SUM(INDIRECT("0₦!AS" &amp; (ROW()-2)*7+3 &amp; ":AS" &amp; (ROW()-1)*7+2))/7</f>
        <v/>
      </c>
      <c r="AN10" s="42">
        <f>SUM(INDIRECT("0₦!AT" &amp; (ROW()-2)*7+3 &amp; ":AT" &amp; (ROW()-1)*7+2))/7</f>
        <v/>
      </c>
      <c r="AO10" s="42">
        <f>SUM(INDIRECT("0₦!AU" &amp; (ROW()-2)*7+3 &amp; ":AU" &amp; (ROW()-1)*7+2))/7</f>
        <v/>
      </c>
      <c r="AP10" s="42">
        <f>SUM(AO10+AN10/2+AM10*0.1-AL10)</f>
        <v/>
      </c>
      <c r="AQ10" s="42" t="n"/>
      <c r="AR10" s="42" t="n"/>
      <c r="AU10" s="296">
        <f>SUM(INDIRECT("0分!AJ" &amp; (ROW()-2)*7 -1 &amp; ":AJ" &amp; (ROW()-1)*7-2))/7</f>
        <v/>
      </c>
      <c r="AV10" s="534">
        <f>COUNTIFS('0分'!E58:E92,"&gt;600",'0分'!E58:E92,"&lt;1000")/35</f>
        <v/>
      </c>
      <c r="AW10" s="534">
        <f>COUNTIF('0分'!E58:E92,"&gt;1")/35</f>
        <v/>
      </c>
      <c r="AX10" s="534">
        <f>COUNTIF('0分'!F58:F92,"&gt;0")/35</f>
        <v/>
      </c>
      <c r="AY10" s="533">
        <f>AVERAGE(L10:L14)</f>
        <v/>
      </c>
      <c r="AZ10" s="533">
        <f>AVERAGE(N10:N14)</f>
        <v/>
      </c>
      <c r="BA10" s="533">
        <f>AVERAGE(O10:O14)</f>
        <v/>
      </c>
      <c r="BB10" s="533">
        <f>AVERAGE(E10:E14)</f>
        <v/>
      </c>
      <c r="BC10" s="533">
        <f>SUM(G10:G14)/4</f>
        <v/>
      </c>
      <c r="BD10" s="533">
        <f>SUM(H10:H14)/5</f>
        <v/>
      </c>
      <c r="BE10" s="533">
        <f>AVERAGE(I10:I14)</f>
        <v/>
      </c>
      <c r="BF10" s="533">
        <f>AVERAGE(J10:J14)</f>
        <v/>
      </c>
      <c r="BG10" s="537" t="n"/>
      <c r="BH10" s="532">
        <f>AVERAGE(P10:P14)</f>
        <v/>
      </c>
      <c r="BI10" s="537" t="n"/>
      <c r="BJ10" s="533">
        <f>AVERAGE(C10:C14)/7</f>
        <v/>
      </c>
      <c r="BK10" s="532">
        <f>AVERAGE(#REF!)</f>
        <v/>
      </c>
      <c r="BL10" s="532">
        <f>AVERAGE(#REF!)</f>
        <v/>
      </c>
      <c r="BM10" s="532">
        <f>AVERAGE(#REF!)</f>
        <v/>
      </c>
      <c r="BN10" s="580" t="n"/>
      <c r="BO10" s="581">
        <f>AVERAGE($AC10:$AC14)</f>
        <v/>
      </c>
      <c r="CA10" s="296">
        <f>AVERAGE(F10:F13)</f>
        <v/>
      </c>
      <c r="CB10" s="296">
        <f>AVERAGE(D10:D13)</f>
        <v/>
      </c>
      <c r="CC10" s="296">
        <f>AVERAGE(G10:G13)</f>
        <v/>
      </c>
      <c r="CD10" s="296">
        <f>AVERAGE(H10:H13)</f>
        <v/>
      </c>
      <c r="CE10" s="296">
        <f>AVERAGE(I10:I13)</f>
        <v/>
      </c>
      <c r="CF10" s="296">
        <f>BF10</f>
        <v/>
      </c>
      <c r="CG10" s="2">
        <f>SUM(N10:N13)/COUNT(N10:N13)</f>
        <v/>
      </c>
      <c r="CH10" s="2">
        <f>AVERAGE(M10:M13)</f>
        <v/>
      </c>
      <c r="CI10" s="2">
        <f>AVERAGE(L10:L13)</f>
        <v/>
      </c>
      <c r="CJ10" s="2">
        <f>AVERAGE(O10:O13)</f>
        <v/>
      </c>
      <c r="CK10" s="335">
        <f>SUM('0分'!#REF!)</f>
        <v/>
      </c>
      <c r="CL10" s="2">
        <f>AVERAGE(P10:P13)</f>
        <v/>
      </c>
      <c r="CM10" s="445" t="n"/>
    </row>
    <row r="11" ht="45.95" customHeight="1" s="37">
      <c r="A11" s="142">
        <f>A10+0.1</f>
        <v/>
      </c>
      <c r="B11" s="142">
        <f>B10+1</f>
        <v/>
      </c>
      <c r="C11" s="94">
        <f>SUM(INDIRECT("0分!D" &amp; (ROW()-2)*7+2 &amp; ":D" &amp; (ROW()-1)*7+1))</f>
        <v/>
      </c>
      <c r="D11" s="39" t="n"/>
      <c r="E11" s="42">
        <f>'1₦+'!AN13/7</f>
        <v/>
      </c>
      <c r="F11" s="42">
        <f>AVERAGE(INDIRECT("0分!Y" &amp; (ROW()-2)*7+3 &amp; ":Y" &amp; (ROW()-1)*7+2))</f>
        <v/>
      </c>
      <c r="G11" s="42">
        <f>AVERAGE(INDIRECT("0分!Z" &amp; (ROW()-2)*7+2 &amp; ":Z" &amp; (ROW()-1)*7+1))</f>
        <v/>
      </c>
      <c r="H11" s="42">
        <f>AVERAGE(INDIRECT("0分!AA" &amp; (ROW()-2)*7+3 &amp; ":AA" &amp; (ROW()-1)*7+2))</f>
        <v/>
      </c>
      <c r="I11" s="42">
        <f>AVERAGE(INDIRECT("0分!Y" &amp; (ROW()-2)*7+3 &amp; ":Y" &amp; (ROW()-1)*7+2))</f>
        <v/>
      </c>
      <c r="J11" s="42">
        <f>SUM(INDIRECT("0分!AE"&amp;(ROW()-2)*7+2&amp;":AE"&amp;(ROW()-1)*7+1))/7</f>
        <v/>
      </c>
      <c r="K11" s="313">
        <f t="array" ref="K11">INDIRECT("hcbi!BL"&amp;(ROW()-1)*7+-3)/7</f>
        <v/>
      </c>
      <c r="L11" s="240">
        <f>AVERAGE(INDIRECT("0分!AD"&amp;(ROW()-2)*7+2&amp;":AD"&amp;(ROW()-1)*7+1))</f>
        <v/>
      </c>
      <c r="M11" s="42">
        <f>AVERAGE(INDIRECT("0₦!BD"&amp;(ROW()-2)*7+6&amp;":BC"&amp;(ROW())*7 - 1))</f>
        <v/>
      </c>
      <c r="N11" s="42">
        <f>AVERAGE(INDIRECT("0分!AF"&amp;(ROW()-2)*7+2&amp;":AF"&amp;(ROW()-1)*7+1))</f>
        <v/>
      </c>
      <c r="O11" s="288">
        <f>AVERAGE(INDIRECT("0分!AH"&amp;(ROW()-2)*7+1&amp;":AH"&amp;(ROW()-1)*7))</f>
        <v/>
      </c>
      <c r="P11" s="42">
        <f>AVERAGE(INDIRECT("0₦!BC"&amp;(ROW()-2)*7+1&amp;":BB"&amp;(ROW()-1)*7))</f>
        <v/>
      </c>
      <c r="S11" s="42">
        <f>SUM(INDIRECT("0分!D" &amp; (ROW()-2)*7+2 &amp; ":D" &amp; (ROW()-1)*7+1))/7</f>
        <v/>
      </c>
      <c r="T11" s="450">
        <f>'i9'!B12</f>
        <v/>
      </c>
      <c r="U11" s="42">
        <f>-((0.97-0.9304)*750000) / 50 / 4</f>
        <v/>
      </c>
      <c r="V11" s="335" t="n"/>
      <c r="W11" s="335" t="n"/>
      <c r="X11" s="335" t="n"/>
      <c r="Y11" s="335" t="n"/>
      <c r="Z11" s="335" t="n"/>
      <c r="AA11" s="578">
        <f>MAX(INDIRECT("0s!P" &amp; (ROW()-2)*7+6 &amp; ":P" &amp; (ROW()-1)*7+5))</f>
        <v/>
      </c>
      <c r="AB11" s="55">
        <f>MIN(INDIRECT("0s!Q" &amp; (ROW()-2)*7+6 &amp; ":Q" &amp; (ROW()-1)*7+5))</f>
        <v/>
      </c>
      <c r="AC11" s="578">
        <f>AVERAGE(INDIRECT("0s!R" &amp; (ROW()-2)*7+6 &amp; ":R" &amp; (ROW()-1)*7+5))</f>
        <v/>
      </c>
      <c r="AD11" s="579" t="n"/>
      <c r="AE11" s="39">
        <f>SUM(INDIRECT("0分!Y" &amp; (ROW()-2)*7-3 &amp; ":Y" &amp; (ROW()-1)*7+-4))/7</f>
        <v/>
      </c>
      <c r="AF11" s="42">
        <f>P11+L11+M11</f>
        <v/>
      </c>
      <c r="AI11" s="450">
        <f>COUNTIF(INDIRECT("'0₦'!AR" &amp;((ROW()-2)*7+3) &amp; ":AR" &amp; ((ROW()-1)*7+2)), "&lt;0")</f>
        <v/>
      </c>
      <c r="AJ11" s="450">
        <f>COUNTIF(INDIRECT("'0₦'!M" &amp;((ROW()-2)*7+3) &amp; ":M" &amp; ((ROW()-1)*7+2)), "&lt;&gt;")</f>
        <v/>
      </c>
      <c r="AK11" s="450">
        <f>COUNTIF(INDIRECT("'0₦'!O" &amp;((ROW()-2)*7+3) &amp; ":O" &amp; ((ROW()-1)*7+2)), "&lt;&gt;")</f>
        <v/>
      </c>
      <c r="AL11" s="42">
        <f>SUM(INDIRECT("0₦!AR" &amp; (ROW()-2)*7+3 &amp; ":AR" &amp; (ROW()-1)*7+2))/7</f>
        <v/>
      </c>
      <c r="AM11" s="42">
        <f>SUM(INDIRECT("0₦!AS" &amp; (ROW()-2)*7+3 &amp; ":AS" &amp; (ROW()-1)*7+2))/7</f>
        <v/>
      </c>
      <c r="AN11" s="42">
        <f>SUM(INDIRECT("0₦!AT" &amp; (ROW()-2)*7+3 &amp; ":AT" &amp; (ROW()-1)*7+2))/7</f>
        <v/>
      </c>
      <c r="AO11" s="42">
        <f>SUM(INDIRECT("0₦!AU" &amp; (ROW()-2)*7+3 &amp; ":AU" &amp; (ROW()-1)*7+2))/7</f>
        <v/>
      </c>
      <c r="AP11" s="42">
        <f>SUM(AO11+AN11/2+AM11*0.1-AL11)</f>
        <v/>
      </c>
      <c r="AQ11" s="42" t="n"/>
      <c r="AR11" s="42" t="n"/>
      <c r="AU11" s="296">
        <f>SUM(INDIRECT("0分!AJ" &amp; (ROW()-2)*7 -1 &amp; ":AJ" &amp; (ROW()-1)*7-2))/7</f>
        <v/>
      </c>
      <c r="BI11" s="537" t="n"/>
      <c r="BN11" s="580" t="n"/>
      <c r="CA11" s="297">
        <f>CA10/$CM$2</f>
        <v/>
      </c>
      <c r="CB11" s="297">
        <f>CB10/$CM$2</f>
        <v/>
      </c>
      <c r="CC11" s="297">
        <f>CC10/$CM$2</f>
        <v/>
      </c>
      <c r="CD11" s="297">
        <f>CD10/$CM$2</f>
        <v/>
      </c>
      <c r="CE11" s="297">
        <f>CE10/$CM$2</f>
        <v/>
      </c>
      <c r="CF11" s="297">
        <f>CF10/$CM$2</f>
        <v/>
      </c>
      <c r="CG11" s="297">
        <f>CG10/$CM$2</f>
        <v/>
      </c>
      <c r="CH11" s="297">
        <f>CH10/$CM$2</f>
        <v/>
      </c>
      <c r="CI11" s="297">
        <f>CI10/$CM$2</f>
        <v/>
      </c>
      <c r="CJ11" s="297">
        <f>CJ10/$CM$2</f>
        <v/>
      </c>
      <c r="CK11" s="297">
        <f>CK10/$CM$2</f>
        <v/>
      </c>
      <c r="CL11" s="297">
        <f>CL10/$CM$2</f>
        <v/>
      </c>
      <c r="CM11" s="445" t="n"/>
    </row>
    <row r="12" ht="45.95" customHeight="1" s="37">
      <c r="A12" s="142">
        <f>A11+0.1</f>
        <v/>
      </c>
      <c r="B12" s="142">
        <f>B11+1</f>
        <v/>
      </c>
      <c r="C12" s="94">
        <f>SUM(INDIRECT("0分!D" &amp; (ROW()-2)*7+2 &amp; ":D" &amp; (ROW()-1)*7+1))</f>
        <v/>
      </c>
      <c r="D12" s="39" t="n"/>
      <c r="E12" s="42">
        <f>'1₦+'!AN14/7</f>
        <v/>
      </c>
      <c r="F12" s="42">
        <f>AVERAGE(INDIRECT("0分!Y" &amp; (ROW()-2)*7+3 &amp; ":Y" &amp; (ROW()-1)*7+2))</f>
        <v/>
      </c>
      <c r="G12" s="42">
        <f>AVERAGE(INDIRECT("0分!Z" &amp; (ROW()-2)*7+2 &amp; ":Z" &amp; (ROW()-1)*7+1))</f>
        <v/>
      </c>
      <c r="H12" s="42">
        <f>AVERAGE(INDIRECT("0分!AA" &amp; (ROW()-2)*7+3 &amp; ":AA" &amp; (ROW()-1)*7+2))</f>
        <v/>
      </c>
      <c r="I12" s="42">
        <f>AVERAGE(INDIRECT("0分!Y" &amp; (ROW()-2)*7+3 &amp; ":Y" &amp; (ROW()-1)*7+2))</f>
        <v/>
      </c>
      <c r="J12" s="42">
        <f>SUM(INDIRECT("0分!AE"&amp;(ROW()-2)*7+2&amp;":AE"&amp;(ROW()-1)*7+1))/7</f>
        <v/>
      </c>
      <c r="K12" s="313">
        <f t="array" ref="K12">INDIRECT("hcbi!BL"&amp;(ROW()-1)*7+-3)/7</f>
        <v/>
      </c>
      <c r="L12" s="240">
        <f>AVERAGE(INDIRECT("0分!AD"&amp;(ROW()-2)*7+2&amp;":AD"&amp;(ROW()-1)*7+1))</f>
        <v/>
      </c>
      <c r="M12" s="42">
        <f>AVERAGE(INDIRECT("0₦!BD"&amp;(ROW()-2)*7+6&amp;":BC"&amp;(ROW())*7 - 1))</f>
        <v/>
      </c>
      <c r="N12" s="42">
        <f>AVERAGE(INDIRECT("0分!AF"&amp;(ROW()-2)*7+2&amp;":AF"&amp;(ROW()-1)*7+1))</f>
        <v/>
      </c>
      <c r="O12" s="288">
        <f>AVERAGE(INDIRECT("0分!AH"&amp;(ROW()-2)*7+1&amp;":AH"&amp;(ROW()-1)*7))</f>
        <v/>
      </c>
      <c r="P12" s="42">
        <f>AVERAGE(INDIRECT("0₦!BC"&amp;(ROW()-2)*7+1&amp;":BB"&amp;(ROW()-1)*7))</f>
        <v/>
      </c>
      <c r="S12" s="42">
        <f>SUM(INDIRECT("0分!D" &amp; (ROW()-2)*7+2 &amp; ":D" &amp; (ROW()-1)*7+1))/7</f>
        <v/>
      </c>
      <c r="T12" s="450">
        <f>'i9'!B13</f>
        <v/>
      </c>
      <c r="U12" s="42">
        <f>-((0.97-0.925)*750000) / 50 / 4</f>
        <v/>
      </c>
      <c r="V12" s="335" t="n"/>
      <c r="W12" s="335" t="n"/>
      <c r="X12" s="335" t="n"/>
      <c r="Y12" s="335" t="n"/>
      <c r="Z12" s="335" t="n"/>
      <c r="AA12" s="578">
        <f>MAX(INDIRECT("0s!P" &amp; (ROW()-2)*7+6 &amp; ":P" &amp; (ROW()-1)*7+5))</f>
        <v/>
      </c>
      <c r="AB12" s="55">
        <f>MIN(INDIRECT("0s!Q" &amp; (ROW()-2)*7+6 &amp; ":Q" &amp; (ROW()-1)*7+5))</f>
        <v/>
      </c>
      <c r="AC12" s="578">
        <f>AVERAGE(INDIRECT("0s!R" &amp; (ROW()-2)*7+6 &amp; ":R" &amp; (ROW()-1)*7+5))</f>
        <v/>
      </c>
      <c r="AD12" s="579" t="n"/>
      <c r="AE12" s="39">
        <f>SUM(INDIRECT("0分!Y" &amp; (ROW()-2)*7-3 &amp; ":Y" &amp; (ROW()-1)*7+-4))/7</f>
        <v/>
      </c>
      <c r="AF12" s="42">
        <f>P12+L12+M12</f>
        <v/>
      </c>
      <c r="AI12" s="450">
        <f>COUNTIF(INDIRECT("'0₦'!AR" &amp;((ROW()-2)*7+3) &amp; ":AR" &amp; ((ROW()-1)*7+2)), "&lt;0")</f>
        <v/>
      </c>
      <c r="AJ12" s="450">
        <f>COUNTIF(INDIRECT("'0₦'!M" &amp;((ROW()-2)*7+3) &amp; ":M" &amp; ((ROW()-1)*7+2)), "&lt;&gt;")</f>
        <v/>
      </c>
      <c r="AK12" s="450">
        <f>COUNTIF(INDIRECT("'0₦'!O" &amp;((ROW()-2)*7+3) &amp; ":O" &amp; ((ROW()-1)*7+2)), "&lt;&gt;")</f>
        <v/>
      </c>
      <c r="AL12" s="42">
        <f>SUM(INDIRECT("0₦!AR" &amp; (ROW()-2)*7+3 &amp; ":AR" &amp; (ROW()-1)*7+2))/7</f>
        <v/>
      </c>
      <c r="AM12" s="42">
        <f>SUM(INDIRECT("0₦!AS" &amp; (ROW()-2)*7+3 &amp; ":AS" &amp; (ROW()-1)*7+2))/7</f>
        <v/>
      </c>
      <c r="AN12" s="42">
        <f>SUM(INDIRECT("0₦!AT" &amp; (ROW()-2)*7+3 &amp; ":AT" &amp; (ROW()-1)*7+2))/7</f>
        <v/>
      </c>
      <c r="AO12" s="42">
        <f>SUM(INDIRECT("0₦!AU" &amp; (ROW()-2)*7+3 &amp; ":AU" &amp; (ROW()-1)*7+2))/7</f>
        <v/>
      </c>
      <c r="AP12" s="42">
        <f>SUM(AO12+AN12/2+AM12*0.1-AL12)</f>
        <v/>
      </c>
      <c r="AQ12" s="42" t="n"/>
      <c r="AR12" s="42" t="n"/>
      <c r="AU12" s="296">
        <f>SUM(INDIRECT("0分!AJ" &amp; (ROW()-2)*7 -1 &amp; ":AJ" &amp; (ROW()-1)*7-2))/7</f>
        <v/>
      </c>
      <c r="BI12" s="537" t="n"/>
      <c r="BN12" s="580" t="n"/>
      <c r="CA12" s="296" t="n"/>
      <c r="CB12" s="296" t="n"/>
      <c r="CC12" s="296" t="n"/>
      <c r="CD12" s="296" t="n"/>
      <c r="CE12" s="296" t="n"/>
      <c r="CF12" s="296" t="n"/>
      <c r="CG12" s="2" t="n"/>
      <c r="CH12" s="2" t="n"/>
      <c r="CI12" s="2" t="n"/>
      <c r="CJ12" s="2" t="n"/>
      <c r="CK12" s="335" t="n"/>
      <c r="CL12" s="2" t="n"/>
      <c r="CM12" s="445" t="n"/>
    </row>
    <row r="13" ht="45.95" customHeight="1" s="37">
      <c r="A13" s="142">
        <f>A12+0.1</f>
        <v/>
      </c>
      <c r="B13" s="142">
        <f>B12+1</f>
        <v/>
      </c>
      <c r="C13" s="94">
        <f>SUM(INDIRECT("0分!D" &amp; (ROW()-2)*7+2 &amp; ":D" &amp; (ROW()-1)*7+1))</f>
        <v/>
      </c>
      <c r="D13" s="39" t="n"/>
      <c r="E13" s="42">
        <f>'1₦+'!AN15/7</f>
        <v/>
      </c>
      <c r="F13" s="42">
        <f>AVERAGE(INDIRECT("0分!Y" &amp; (ROW()-2)*7+3 &amp; ":Y" &amp; (ROW()-1)*7+2))</f>
        <v/>
      </c>
      <c r="G13" s="42">
        <f>AVERAGE(INDIRECT("0分!Z" &amp; (ROW()-2)*7+2 &amp; ":Z" &amp; (ROW()-1)*7+1))</f>
        <v/>
      </c>
      <c r="H13" s="42">
        <f>AVERAGE(INDIRECT("0分!AA" &amp; (ROW()-2)*7+3 &amp; ":AA" &amp; (ROW()-1)*7+2))</f>
        <v/>
      </c>
      <c r="I13" s="42">
        <f>AVERAGE(INDIRECT("0分!Y" &amp; (ROW()-2)*7+3 &amp; ":Y" &amp; (ROW()-1)*7+2))</f>
        <v/>
      </c>
      <c r="J13" s="42">
        <f>SUM(INDIRECT("0分!AE"&amp;(ROW()-2)*7+2&amp;":AE"&amp;(ROW()-1)*7+1))/7</f>
        <v/>
      </c>
      <c r="K13" s="313">
        <f t="array" ref="K13">INDIRECT("hcbi!BL"&amp;(ROW()-1)*7+-3)/7</f>
        <v/>
      </c>
      <c r="L13" s="240">
        <f>AVERAGE(INDIRECT("0分!AD"&amp;(ROW()-2)*7+2&amp;":AD"&amp;(ROW()-1)*7+1))</f>
        <v/>
      </c>
      <c r="M13" s="42">
        <f>AVERAGE(INDIRECT("0₦!BD"&amp;(ROW()-2)*7+6&amp;":BC"&amp;(ROW())*7 - 1))</f>
        <v/>
      </c>
      <c r="N13" s="42">
        <f>AVERAGE(INDIRECT("0分!AF"&amp;(ROW()-2)*7+2&amp;":AF"&amp;(ROW()-1)*7+1))</f>
        <v/>
      </c>
      <c r="O13" s="288">
        <f>AVERAGE(INDIRECT("0分!AH"&amp;(ROW()-2)*7+1&amp;":AH"&amp;(ROW()-1)*7))</f>
        <v/>
      </c>
      <c r="P13" s="42">
        <f>AVERAGE(INDIRECT("0₦!BC"&amp;(ROW()-2)*7+1&amp;":BB"&amp;(ROW()-1)*7))</f>
        <v/>
      </c>
      <c r="S13" s="42">
        <f>SUM(INDIRECT("0分!D" &amp; (ROW()-2)*7+2 &amp; ":D" &amp; (ROW()-1)*7+1))/7</f>
        <v/>
      </c>
      <c r="T13" s="450">
        <f>'i9'!B14</f>
        <v/>
      </c>
      <c r="U13" s="42">
        <f>-((0.97-0.919)*750000) / 50 / 4</f>
        <v/>
      </c>
      <c r="V13" s="335" t="n"/>
      <c r="W13" s="335" t="n"/>
      <c r="X13" s="335" t="n"/>
      <c r="Y13" s="335" t="n"/>
      <c r="Z13" s="335" t="n"/>
      <c r="AA13" s="578">
        <f>MAX(INDIRECT("0s!P" &amp; (ROW()-2)*7+6 &amp; ":P" &amp; (ROW()-1)*7+5))</f>
        <v/>
      </c>
      <c r="AB13" s="55">
        <f>MIN(INDIRECT("0s!Q" &amp; (ROW()-2)*7+6 &amp; ":Q" &amp; (ROW()-1)*7+5))</f>
        <v/>
      </c>
      <c r="AC13" s="578">
        <f>AVERAGE(INDIRECT("0s!R" &amp; (ROW()-2)*7+6 &amp; ":R" &amp; (ROW()-1)*7+5))</f>
        <v/>
      </c>
      <c r="AD13" s="579" t="n"/>
      <c r="AE13" s="39">
        <f>SUM(INDIRECT("0分!Y" &amp; (ROW()-2)*7-3 &amp; ":Y" &amp; (ROW()-1)*7+-4))/7</f>
        <v/>
      </c>
      <c r="AF13" s="42">
        <f>P13+L13+M13</f>
        <v/>
      </c>
      <c r="AI13" s="450">
        <f>COUNTIF(INDIRECT("'0₦'!AR" &amp;((ROW()-2)*7+3) &amp; ":AR" &amp; ((ROW()-1)*7+2)), "&lt;0")</f>
        <v/>
      </c>
      <c r="AJ13" s="450">
        <f>COUNTIF(INDIRECT("'0₦'!M" &amp;((ROW()-2)*7+3) &amp; ":M" &amp; ((ROW()-1)*7+2)), "&lt;&gt;")</f>
        <v/>
      </c>
      <c r="AK13" s="450">
        <f>COUNTIF(INDIRECT("'0₦'!O" &amp;((ROW()-2)*7+3) &amp; ":O" &amp; ((ROW()-1)*7+2)), "&lt;&gt;")</f>
        <v/>
      </c>
      <c r="AL13" s="42">
        <f>SUM(INDIRECT("0₦!AR" &amp; (ROW()-2)*7+3 &amp; ":AR" &amp; (ROW()-1)*7+2))/7</f>
        <v/>
      </c>
      <c r="AM13" s="42">
        <f>SUM(INDIRECT("0₦!AS" &amp; (ROW()-2)*7+3 &amp; ":AS" &amp; (ROW()-1)*7+2))/7</f>
        <v/>
      </c>
      <c r="AN13" s="42">
        <f>SUM(INDIRECT("0₦!AT" &amp; (ROW()-2)*7+3 &amp; ":AT" &amp; (ROW()-1)*7+2))/7</f>
        <v/>
      </c>
      <c r="AO13" s="42">
        <f>SUM(INDIRECT("0₦!AU" &amp; (ROW()-2)*7+3 &amp; ":AU" &amp; (ROW()-1)*7+2))/7</f>
        <v/>
      </c>
      <c r="AP13" s="42">
        <f>SUM(AO13+AN13/2+AM13*0.1-AL13)</f>
        <v/>
      </c>
      <c r="AQ13" s="42" t="n"/>
      <c r="AR13" s="42" t="n"/>
      <c r="AU13" s="296">
        <f>SUM(INDIRECT("0分!AJ" &amp; (ROW()-2)*7 -1 &amp; ":AJ" &amp; (ROW()-1)*7-2))/7</f>
        <v/>
      </c>
      <c r="BI13" s="537" t="n"/>
      <c r="BN13" s="580" t="n"/>
      <c r="CA13" s="297" t="n"/>
      <c r="CB13" s="297" t="n"/>
      <c r="CC13" s="297" t="n"/>
      <c r="CD13" s="297" t="n"/>
      <c r="CE13" s="297" t="n"/>
      <c r="CF13" s="297" t="n"/>
      <c r="CG13" s="297" t="n"/>
      <c r="CH13" s="297" t="n"/>
      <c r="CI13" s="297" t="n"/>
      <c r="CJ13" s="297" t="n"/>
      <c r="CK13" s="297" t="n"/>
      <c r="CL13" s="297" t="n"/>
      <c r="CM13" s="445" t="n"/>
    </row>
    <row r="14" ht="45.95" customHeight="1" s="37">
      <c r="A14" s="143">
        <f>A13+0.1</f>
        <v/>
      </c>
      <c r="B14" s="142">
        <f>B13+1</f>
        <v/>
      </c>
      <c r="C14" s="94">
        <f>SUM(INDIRECT("0分!D" &amp; (ROW()-2)*7+2 &amp; ":D" &amp; (ROW()-1)*7+1))</f>
        <v/>
      </c>
      <c r="D14" s="39" t="n"/>
      <c r="E14" s="42">
        <f>'1₦+'!AN16/7</f>
        <v/>
      </c>
      <c r="F14" s="42">
        <f>AVERAGE(INDIRECT("0分!Y" &amp; (ROW()-2)*7+3 &amp; ":Y" &amp; (ROW()-1)*7+2))</f>
        <v/>
      </c>
      <c r="G14" s="42">
        <f>AVERAGE(INDIRECT("0分!Z" &amp; (ROW()-2)*7+2 &amp; ":Z" &amp; (ROW()-1)*7+1))</f>
        <v/>
      </c>
      <c r="H14" s="42">
        <f>AVERAGE(INDIRECT("0分!AA" &amp; (ROW()-2)*7+3 &amp; ":AA" &amp; (ROW()-1)*7+2))</f>
        <v/>
      </c>
      <c r="I14" s="42">
        <f>AVERAGE(INDIRECT("0分!Y" &amp; (ROW()-2)*7+3 &amp; ":Y" &amp; (ROW()-1)*7+2))</f>
        <v/>
      </c>
      <c r="J14" s="42">
        <f>SUM(INDIRECT("0分!AE"&amp;(ROW()-2)*7+2&amp;":AE"&amp;(ROW()-1)*7+1))/7</f>
        <v/>
      </c>
      <c r="K14" s="313">
        <f t="array" ref="K14">INDIRECT("hcbi!BL"&amp;(ROW()-1)*7+-3)/7</f>
        <v/>
      </c>
      <c r="L14" s="240">
        <f>AVERAGE(INDIRECT("0分!AD"&amp;(ROW()-2)*7+2&amp;":AD"&amp;(ROW()-1)*7+1))</f>
        <v/>
      </c>
      <c r="M14" s="42">
        <f>AVERAGE(INDIRECT("0₦!BD"&amp;(ROW()-2)*7+6&amp;":BC"&amp;(ROW())*7 - 1))</f>
        <v/>
      </c>
      <c r="N14" s="42">
        <f>AVERAGE(INDIRECT("0分!AF"&amp;(ROW()-2)*7+2&amp;":AF"&amp;(ROW()-1)*7+1))</f>
        <v/>
      </c>
      <c r="O14" s="288">
        <f>AVERAGE(INDIRECT("0分!AH"&amp;(ROW()-2)*7+1&amp;":AH"&amp;(ROW()-1)*7))</f>
        <v/>
      </c>
      <c r="P14" s="42">
        <f>AVERAGE(INDIRECT("0₦!BC"&amp;(ROW()-2)*7+1&amp;":BB"&amp;(ROW()-1)*7))</f>
        <v/>
      </c>
      <c r="S14" s="42">
        <f>SUM(INDIRECT("0分!D" &amp; (ROW()-2)*7+2 &amp; ":D" &amp; (ROW()-1)*7+1))/7</f>
        <v/>
      </c>
      <c r="T14" s="450">
        <f>'i9'!B15</f>
        <v/>
      </c>
      <c r="U14" s="42">
        <f>-((0.97-0.866)*1000000) / 50 / 4</f>
        <v/>
      </c>
      <c r="V14" s="335" t="n"/>
      <c r="W14" s="335" t="n"/>
      <c r="X14" s="335" t="n"/>
      <c r="Y14" s="335" t="n"/>
      <c r="Z14" s="335" t="n"/>
      <c r="AA14" s="578">
        <f>MAX(INDIRECT("0s!P" &amp; (ROW()-2)*7+6 &amp; ":P" &amp; (ROW()-1)*7+5))</f>
        <v/>
      </c>
      <c r="AB14" s="55">
        <f>MIN(INDIRECT("0s!Q" &amp; (ROW()-2)*7+6 &amp; ":Q" &amp; (ROW()-1)*7+5))</f>
        <v/>
      </c>
      <c r="AC14" s="578">
        <f>AVERAGE(INDIRECT("0s!R" &amp; (ROW()-2)*7+6 &amp; ":R" &amp; (ROW()-1)*7+5))</f>
        <v/>
      </c>
      <c r="AD14" s="579" t="n"/>
      <c r="AE14" s="39">
        <f>SUM(INDIRECT("0分!Y" &amp; (ROW()-2)*7-3 &amp; ":Y" &amp; (ROW()-1)*7+-4))/7</f>
        <v/>
      </c>
      <c r="AF14" s="42">
        <f>P14+L14+M14</f>
        <v/>
      </c>
      <c r="AI14" s="450">
        <f>COUNTIF(INDIRECT("'0₦'!AR" &amp;((ROW()-2)*7+3) &amp; ":AR" &amp; ((ROW()-1)*7+2)), "&lt;0")</f>
        <v/>
      </c>
      <c r="AJ14" s="450">
        <f>COUNTIF(INDIRECT("'0₦'!M" &amp;((ROW()-2)*7+3) &amp; ":M" &amp; ((ROW()-1)*7+2)), "&lt;&gt;")</f>
        <v/>
      </c>
      <c r="AK14" s="450">
        <f>COUNTIF(INDIRECT("'0₦'!O" &amp;((ROW()-2)*7+3) &amp; ":O" &amp; ((ROW()-1)*7+2)), "&lt;&gt;")</f>
        <v/>
      </c>
      <c r="AL14" s="42">
        <f>SUM(INDIRECT("0₦!AR" &amp; (ROW()-2)*7+3 &amp; ":AR" &amp; (ROW()-1)*7+2))/7</f>
        <v/>
      </c>
      <c r="AM14" s="42">
        <f>SUM(INDIRECT("0₦!AS" &amp; (ROW()-2)*7+3 &amp; ":AS" &amp; (ROW()-1)*7+2))/7</f>
        <v/>
      </c>
      <c r="AN14" s="42">
        <f>SUM(INDIRECT("0₦!AT" &amp; (ROW()-2)*7+3 &amp; ":AT" &amp; (ROW()-1)*7+2))/7</f>
        <v/>
      </c>
      <c r="AO14" s="42">
        <f>SUM(INDIRECT("0₦!AU" &amp; (ROW()-2)*7+3 &amp; ":AU" &amp; (ROW()-1)*7+2))/7</f>
        <v/>
      </c>
      <c r="AP14" s="42">
        <f>SUM(AO14+AN14/2+AM14*0.1-AL14)</f>
        <v/>
      </c>
      <c r="AQ14" s="42" t="n"/>
      <c r="AR14" s="42" t="n"/>
      <c r="AU14" s="296">
        <f>SUM(INDIRECT("0分!AJ" &amp; (ROW()-2)*7 -1 &amp; ":AJ" &amp; (ROW()-1)*7-2))/7</f>
        <v/>
      </c>
      <c r="BI14" s="537" t="n"/>
      <c r="BN14" s="580" t="n"/>
    </row>
    <row r="15" ht="45.95" customHeight="1" s="37">
      <c r="A15" s="143">
        <f>A2+3</f>
        <v/>
      </c>
      <c r="B15" s="142">
        <f>B14+1</f>
        <v/>
      </c>
      <c r="C15" s="94">
        <f>SUM(INDIRECT("0分!D" &amp; (ROW()-2)*7+2 &amp; ":D" &amp; (ROW()-1)*7+1))</f>
        <v/>
      </c>
      <c r="D15" s="39" t="n"/>
      <c r="E15" s="42">
        <f>'1₦+'!AN17/7</f>
        <v/>
      </c>
      <c r="F15" s="42">
        <f>AVERAGE(INDIRECT("0分!Y" &amp; (ROW()-2)*7+3 &amp; ":Y" &amp; (ROW()-1)*7+2))</f>
        <v/>
      </c>
      <c r="G15" s="42">
        <f>AVERAGE(INDIRECT("0分!Z" &amp; (ROW()-2)*7+2 &amp; ":Z" &amp; (ROW()-1)*7+1))</f>
        <v/>
      </c>
      <c r="H15" s="42">
        <f>AVERAGE(INDIRECT("0分!AA" &amp; (ROW()-2)*7+3 &amp; ":AA" &amp; (ROW()-1)*7+2))</f>
        <v/>
      </c>
      <c r="I15" s="42">
        <f>AVERAGE(INDIRECT("0分!Y" &amp; (ROW()-2)*7+3 &amp; ":Y" &amp; (ROW()-1)*7+2))</f>
        <v/>
      </c>
      <c r="J15" s="42">
        <f>SUM(INDIRECT("0分!AE"&amp;(ROW()-2)*7+2&amp;":AE"&amp;(ROW()-1)*7+1))/7</f>
        <v/>
      </c>
      <c r="K15" s="313">
        <f t="array" ref="K15">INDIRECT("hcbi!BL"&amp;(ROW()-1)*7+-3)/7</f>
        <v/>
      </c>
      <c r="L15" s="240">
        <f>AVERAGE(INDIRECT("0分!AD"&amp;(ROW()-2)*7+2&amp;":AD"&amp;(ROW()-1)*7+1))</f>
        <v/>
      </c>
      <c r="M15" s="42">
        <f>AVERAGE(INDIRECT("0₦!BD"&amp;(ROW()-2)*7+6&amp;":BC"&amp;(ROW())*7 - 1))</f>
        <v/>
      </c>
      <c r="N15" s="42">
        <f>AVERAGE(INDIRECT("0分!AF"&amp;(ROW()-2)*7+2&amp;":AF"&amp;(ROW()-1)*7+1))</f>
        <v/>
      </c>
      <c r="O15" s="288">
        <f>AVERAGE(INDIRECT("0分!AH"&amp;(ROW()-2)*7+1&amp;":AH"&amp;(ROW()-1)*7))</f>
        <v/>
      </c>
      <c r="P15" s="42">
        <f>AVERAGE(INDIRECT("0₦!BC"&amp;(ROW()-2)*7+1&amp;":BB"&amp;(ROW()-1)*7))</f>
        <v/>
      </c>
      <c r="S15" s="42">
        <f>SUM(INDIRECT("0分!D" &amp; (ROW()-2)*7+2 &amp; ":D" &amp; (ROW()-1)*7+1))/7</f>
        <v/>
      </c>
      <c r="T15" s="450">
        <f>'i9'!B16</f>
        <v/>
      </c>
      <c r="U15" s="42">
        <f>-((0.97-0.866)*1000000) / 50 / 4</f>
        <v/>
      </c>
      <c r="V15" s="335" t="n"/>
      <c r="W15" s="335" t="n"/>
      <c r="X15" s="335" t="n"/>
      <c r="Y15" s="335" t="n"/>
      <c r="Z15" s="335" t="n"/>
      <c r="AA15" s="578">
        <f>MAX(INDIRECT("0s!P" &amp; (ROW()-2)*7+6 &amp; ":P" &amp; (ROW()-1)*7+5))</f>
        <v/>
      </c>
      <c r="AB15" s="55">
        <f>MIN(INDIRECT("0s!Q" &amp; (ROW()-2)*7+6 &amp; ":Q" &amp; (ROW()-1)*7+5))</f>
        <v/>
      </c>
      <c r="AC15" s="578">
        <f>AVERAGE(INDIRECT("0s!R" &amp; (ROW()-2)*7+6 &amp; ":R" &amp; (ROW()-1)*7+5))</f>
        <v/>
      </c>
      <c r="AD15" s="579" t="n"/>
      <c r="AE15" s="39">
        <f>SUM(INDIRECT("0分!Y" &amp; (ROW()-2)*7-3 &amp; ":Y" &amp; (ROW()-1)*7+-4))/7</f>
        <v/>
      </c>
      <c r="AF15" s="42">
        <f>P15+L15+M15</f>
        <v/>
      </c>
      <c r="AG15" s="473" t="n"/>
      <c r="AI15" s="450">
        <f>COUNTIF(INDIRECT("'0₦'!AR" &amp;((ROW()-2)*7+3) &amp; ":AR" &amp; ((ROW()-1)*7+2)), "&lt;0")</f>
        <v/>
      </c>
      <c r="AJ15" s="450">
        <f>COUNTIF(INDIRECT("'0₦'!M" &amp;((ROW()-2)*7+3) &amp; ":M" &amp; ((ROW()-1)*7+2)), "&lt;&gt;")</f>
        <v/>
      </c>
      <c r="AK15" s="450">
        <f>COUNTIF(INDIRECT("'0₦'!O" &amp;((ROW()-2)*7+3) &amp; ":O" &amp; ((ROW()-1)*7+2)), "&lt;&gt;")</f>
        <v/>
      </c>
      <c r="AL15" s="42">
        <f>SUM(INDIRECT("0₦!AR" &amp; (ROW()-2)*7+3 &amp; ":AR" &amp; (ROW()-1)*7+2))/7</f>
        <v/>
      </c>
      <c r="AM15" s="42">
        <f>SUM(INDIRECT("0₦!AS" &amp; (ROW()-2)*7+3 &amp; ":AS" &amp; (ROW()-1)*7+2))/7</f>
        <v/>
      </c>
      <c r="AN15" s="42">
        <f>SUM(INDIRECT("0₦!AT" &amp; (ROW()-2)*7+3 &amp; ":AT" &amp; (ROW()-1)*7+2))/7</f>
        <v/>
      </c>
      <c r="AO15" s="42">
        <f>SUM(INDIRECT("0₦!AU" &amp; (ROW()-2)*7+3 &amp; ":AU" &amp; (ROW()-1)*7+2))/7</f>
        <v/>
      </c>
      <c r="AP15" s="42">
        <f>SUM(AO15+AN15/2+AM15*0.1-AL15)</f>
        <v/>
      </c>
      <c r="AQ15" s="42" t="n"/>
      <c r="AR15" s="42" t="n"/>
      <c r="AU15" s="296">
        <f>SUM(INDIRECT("0分!AJ" &amp; (ROW()-2)*7 -1 &amp; ":AJ" &amp; (ROW()-1)*7-2))/7</f>
        <v/>
      </c>
      <c r="AV15" s="534">
        <f>COUNTIFS('0分'!E39:E67,"&gt;600",'0分'!E39:E67,"&lt;1000")/28</f>
        <v/>
      </c>
      <c r="AW15" s="534">
        <f>COUNTIF('0分'!E93:E120,"&gt;1")/28</f>
        <v/>
      </c>
      <c r="AX15" s="534">
        <f>COUNTIF('0分'!F93:F120,"&gt;0")/28</f>
        <v/>
      </c>
      <c r="AY15" s="533">
        <f>AVERAGE(L15:L18)</f>
        <v/>
      </c>
      <c r="AZ15" s="533">
        <f>AVERAGE(N15:N18)</f>
        <v/>
      </c>
      <c r="BA15" s="533">
        <f>AVERAGE(O15:O18)</f>
        <v/>
      </c>
      <c r="BB15" s="533">
        <f>AVERAGE(E15:E18)</f>
        <v/>
      </c>
      <c r="BC15" s="533">
        <f>SUM(G15:G18)/4</f>
        <v/>
      </c>
      <c r="BD15" s="533">
        <f>SUM(H15:H18)/4</f>
        <v/>
      </c>
      <c r="BE15" s="533">
        <f>AVERAGE(I15:I18)</f>
        <v/>
      </c>
      <c r="BF15" s="533">
        <f>SUM(J15:J18)/4</f>
        <v/>
      </c>
      <c r="BG15" s="537" t="n"/>
      <c r="BH15" s="532">
        <f>AVERAGE(P15:P18)</f>
        <v/>
      </c>
      <c r="BI15" s="537" t="n"/>
      <c r="BJ15" s="533">
        <f>AVERAGE(C15:C18)/7</f>
        <v/>
      </c>
      <c r="BK15" s="532">
        <f>AVERAGE(#REF!)</f>
        <v/>
      </c>
      <c r="BL15" s="532">
        <f>AVERAGE(#REF!)</f>
        <v/>
      </c>
      <c r="BM15" s="492">
        <f>AVERAGE(#REF!)</f>
        <v/>
      </c>
      <c r="BO15" s="581">
        <f>AVERAGE($AC15:$AC18)</f>
        <v/>
      </c>
      <c r="BP15" s="517">
        <f t="array" ref="BP15">SUMPRODUCT(('0分'!F94:F184&lt;&gt;0)*('0分'!F94:F184&lt;&gt;"n/a"))</f>
        <v/>
      </c>
      <c r="BQ15" s="517">
        <f t="array" ref="BQ15">SUMPRODUCT(('0分'!E94:E184&lt;&gt;0)*('0分'!E94:E184&lt;&gt;"n/a"))</f>
        <v/>
      </c>
      <c r="BR15" s="532">
        <f>SUM('0₦'!AW97:AW188,'0₦'!AX97:AX188,'0₦'!AY97:AY188)</f>
        <v/>
      </c>
      <c r="BS15" s="517">
        <f>SUM('0分'!Y94:Y184)</f>
        <v/>
      </c>
      <c r="BT15" s="517">
        <f>SUM(hcbi!AD98:AD188)</f>
        <v/>
      </c>
      <c r="BU15" s="517">
        <f>COUNTIF('0s'!U97:U187, "&lt;&gt;")</f>
        <v/>
      </c>
      <c r="BV15" s="532">
        <f>AVERAGE(N15:N28)</f>
        <v/>
      </c>
      <c r="BW15" s="532">
        <f>AVERAGE(#REF!)</f>
        <v/>
      </c>
      <c r="BX15" s="517">
        <f>SUM('0s'!L97:L187)</f>
        <v/>
      </c>
      <c r="BY15" s="531" t="n"/>
      <c r="CA15" s="296">
        <f>AVERAGE(F15:F18)</f>
        <v/>
      </c>
      <c r="CB15" s="296">
        <f>AVERAGE(D15:D18)</f>
        <v/>
      </c>
      <c r="CC15" s="296">
        <f>AVERAGE(G15:G18)</f>
        <v/>
      </c>
      <c r="CD15" s="296">
        <f>AVERAGE(H15:H18)</f>
        <v/>
      </c>
      <c r="CE15" s="296">
        <f>AVERAGE(I15:I18)</f>
        <v/>
      </c>
      <c r="CF15" s="296">
        <f>BF15</f>
        <v/>
      </c>
      <c r="CG15" s="2">
        <f>SUM(N15:N18)/COUNT(N15:N18)</f>
        <v/>
      </c>
      <c r="CH15" s="2">
        <f>AVERAGE(M15:M18)</f>
        <v/>
      </c>
      <c r="CI15" s="2">
        <f>AVERAGE(L15:L18)</f>
        <v/>
      </c>
      <c r="CJ15" s="2">
        <f>AVERAGE(O15:O18)</f>
        <v/>
      </c>
      <c r="CK15" s="335">
        <f>SUM('0分'!#REF!)</f>
        <v/>
      </c>
      <c r="CL15" s="2">
        <f>AVERAGE(P15:P18)</f>
        <v/>
      </c>
      <c r="CM15" s="445" t="n"/>
    </row>
    <row r="16" ht="45.95" customHeight="1" s="37">
      <c r="A16" s="142">
        <f>A15+0.1</f>
        <v/>
      </c>
      <c r="B16" s="142">
        <f>B15+1</f>
        <v/>
      </c>
      <c r="C16" s="94">
        <f>SUM(INDIRECT("0分!D" &amp; (ROW()-2)*7+2 &amp; ":D" &amp; (ROW()-1)*7+1))</f>
        <v/>
      </c>
      <c r="D16" s="39" t="n"/>
      <c r="E16" s="42">
        <f>'1₦+'!AN18/7</f>
        <v/>
      </c>
      <c r="F16" s="42">
        <f>AVERAGE(INDIRECT("0分!Y" &amp; (ROW()-2)*7+3 &amp; ":Y" &amp; (ROW()-1)*7+2))</f>
        <v/>
      </c>
      <c r="G16" s="42">
        <f>AVERAGE(INDIRECT("0分!Z" &amp; (ROW()-2)*7+2 &amp; ":Z" &amp; (ROW()-1)*7+1))</f>
        <v/>
      </c>
      <c r="H16" s="42">
        <f>AVERAGE(INDIRECT("0分!AA" &amp; (ROW()-2)*7+3 &amp; ":AA" &amp; (ROW()-1)*7+2))</f>
        <v/>
      </c>
      <c r="I16" s="42">
        <f>AVERAGE(INDIRECT("0分!Y" &amp; (ROW()-2)*7+3 &amp; ":Y" &amp; (ROW()-1)*7+2))</f>
        <v/>
      </c>
      <c r="J16" s="42">
        <f>SUM(INDIRECT("0分!AE"&amp;(ROW()-2)*7+2&amp;":AE"&amp;(ROW()-1)*7+1))/7</f>
        <v/>
      </c>
      <c r="K16" s="313">
        <f t="array" ref="K16">INDIRECT("hcbi!BL"&amp;(ROW()-1)*7+-3)/7</f>
        <v/>
      </c>
      <c r="L16" s="240">
        <f>AVERAGE(INDIRECT("0分!AD"&amp;(ROW()-2)*7+2&amp;":AD"&amp;(ROW()-1)*7+1))</f>
        <v/>
      </c>
      <c r="M16" s="42">
        <f>AVERAGE(INDIRECT("0₦!BD"&amp;(ROW()-2)*7+6&amp;":BC"&amp;(ROW())*7 - 1))</f>
        <v/>
      </c>
      <c r="N16" s="42">
        <f>AVERAGE(INDIRECT("0分!AF"&amp;(ROW()-2)*7+2&amp;":AF"&amp;(ROW()-1)*7+1))</f>
        <v/>
      </c>
      <c r="O16" s="288">
        <f>AVERAGE(INDIRECT("0分!AH"&amp;(ROW()-2)*7+1&amp;":AH"&amp;(ROW()-1)*7))</f>
        <v/>
      </c>
      <c r="P16" s="42">
        <f>AVERAGE(INDIRECT("0₦!BC"&amp;(ROW()-2)*7+1&amp;":BB"&amp;(ROW()-1)*7))</f>
        <v/>
      </c>
      <c r="S16" s="42">
        <f>SUM(INDIRECT("0分!D" &amp; (ROW()-2)*7+2 &amp; ":D" &amp; (ROW()-1)*7+1))/7</f>
        <v/>
      </c>
      <c r="T16" s="450">
        <f>'i9'!B17</f>
        <v/>
      </c>
      <c r="U16" s="42">
        <f>-((0.97-0.871)*1000000) / 50 / 4</f>
        <v/>
      </c>
      <c r="V16" s="335" t="n"/>
      <c r="W16" s="335" t="n"/>
      <c r="X16" s="335" t="n"/>
      <c r="Y16" s="335" t="n"/>
      <c r="Z16" s="335" t="n"/>
      <c r="AA16" s="578">
        <f>MAX(INDIRECT("0s!P" &amp; (ROW()-2)*7+6 &amp; ":P" &amp; (ROW()-1)*7+5))</f>
        <v/>
      </c>
      <c r="AB16" s="55">
        <f>MIN(INDIRECT("0s!Q" &amp; (ROW()-2)*7+6 &amp; ":Q" &amp; (ROW()-1)*7+5))</f>
        <v/>
      </c>
      <c r="AC16" s="578">
        <f>AVERAGE(INDIRECT("0s!R" &amp; (ROW()-2)*7+6 &amp; ":R" &amp; (ROW()-1)*7+5))</f>
        <v/>
      </c>
      <c r="AD16" s="579" t="n"/>
      <c r="AE16" s="39">
        <f>SUM(INDIRECT("0分!Y" &amp; (ROW()-2)*7-3 &amp; ":Y" &amp; (ROW()-1)*7+-4))/7</f>
        <v/>
      </c>
      <c r="AF16" s="42">
        <f>P16+L16+M16</f>
        <v/>
      </c>
      <c r="AG16" s="473" t="n"/>
      <c r="AI16" s="450">
        <f>COUNTIF(INDIRECT("'0₦'!AR" &amp;((ROW()-2)*7+3) &amp; ":AR" &amp; ((ROW()-1)*7+2)), "&lt;0")</f>
        <v/>
      </c>
      <c r="AJ16" s="450">
        <f>COUNTIF(INDIRECT("'0₦'!M" &amp;((ROW()-2)*7+3) &amp; ":M" &amp; ((ROW()-1)*7+2)), "&lt;&gt;")</f>
        <v/>
      </c>
      <c r="AK16" s="450">
        <f>COUNTIF(INDIRECT("'0₦'!O" &amp;((ROW()-2)*7+3) &amp; ":O" &amp; ((ROW()-1)*7+2)), "&lt;&gt;")</f>
        <v/>
      </c>
      <c r="AL16" s="42">
        <f>SUM(INDIRECT("0₦!AR" &amp; (ROW()-2)*7+3 &amp; ":AR" &amp; (ROW()-1)*7+2))/7</f>
        <v/>
      </c>
      <c r="AM16" s="42">
        <f>SUM(INDIRECT("0₦!AS" &amp; (ROW()-2)*7+3 &amp; ":AS" &amp; (ROW()-1)*7+2))/7</f>
        <v/>
      </c>
      <c r="AN16" s="42">
        <f>SUM(INDIRECT("0₦!AT" &amp; (ROW()-2)*7+3 &amp; ":AT" &amp; (ROW()-1)*7+2))/7</f>
        <v/>
      </c>
      <c r="AO16" s="42">
        <f>SUM(INDIRECT("0₦!AU" &amp; (ROW()-2)*7+3 &amp; ":AU" &amp; (ROW()-1)*7+2))/7</f>
        <v/>
      </c>
      <c r="AP16" s="42">
        <f>SUM(AO16+AN16/2+AM16*0.1-AL16)</f>
        <v/>
      </c>
      <c r="AQ16" s="42" t="n"/>
      <c r="AR16" s="42" t="n"/>
      <c r="AU16" s="296">
        <f>SUM(INDIRECT("0分!AJ" &amp; (ROW()-2)*7 -1 &amp; ":AJ" &amp; (ROW()-1)*7-2))/7</f>
        <v/>
      </c>
      <c r="BI16" s="464" t="n"/>
      <c r="BY16" s="531" t="n"/>
      <c r="CA16" s="297">
        <f>CA15/$CM$2</f>
        <v/>
      </c>
      <c r="CB16" s="297">
        <f>CB15/$CM$2</f>
        <v/>
      </c>
      <c r="CC16" s="297">
        <f>CC15/$CM$2</f>
        <v/>
      </c>
      <c r="CD16" s="297">
        <f>CD15/$CM$2</f>
        <v/>
      </c>
      <c r="CE16" s="297">
        <f>CE15/$CM$2</f>
        <v/>
      </c>
      <c r="CF16" s="297">
        <f>CF15/$CM$2</f>
        <v/>
      </c>
      <c r="CG16" s="297">
        <f>CG15/$CM$2</f>
        <v/>
      </c>
      <c r="CH16" s="297">
        <f>CH15/$CM$2</f>
        <v/>
      </c>
      <c r="CI16" s="297">
        <f>CI15/$CM$2</f>
        <v/>
      </c>
      <c r="CJ16" s="297">
        <f>CJ15/$CM$2</f>
        <v/>
      </c>
      <c r="CK16" s="297">
        <f>CK15/$CM$2</f>
        <v/>
      </c>
      <c r="CL16" s="297">
        <f>CL15/$CM$2</f>
        <v/>
      </c>
      <c r="CM16" s="445" t="n"/>
    </row>
    <row r="17" ht="45.95" customHeight="1" s="37">
      <c r="A17" s="142">
        <f>A16+0.1</f>
        <v/>
      </c>
      <c r="B17" s="142">
        <f>B16+1</f>
        <v/>
      </c>
      <c r="C17" s="94">
        <f>SUM(INDIRECT("0分!D" &amp; (ROW()-2)*7+2 &amp; ":D" &amp; (ROW()-1)*7+1))</f>
        <v/>
      </c>
      <c r="D17" s="39" t="n"/>
      <c r="E17" s="42">
        <f>'1₦+'!AN19/7</f>
        <v/>
      </c>
      <c r="F17" s="42">
        <f>AVERAGE(INDIRECT("0分!Y" &amp; (ROW()-2)*7+3 &amp; ":Y" &amp; (ROW()-1)*7+2))</f>
        <v/>
      </c>
      <c r="G17" s="42">
        <f>AVERAGE(INDIRECT("0分!Z" &amp; (ROW()-2)*7+2 &amp; ":Z" &amp; (ROW()-1)*7+1))</f>
        <v/>
      </c>
      <c r="H17" s="42">
        <f>AVERAGE(INDIRECT("0分!AA" &amp; (ROW()-2)*7+3 &amp; ":AA" &amp; (ROW()-1)*7+2))</f>
        <v/>
      </c>
      <c r="I17" s="42">
        <f>AVERAGE(INDIRECT("0分!Y" &amp; (ROW()-2)*7+3 &amp; ":Y" &amp; (ROW()-1)*7+2))</f>
        <v/>
      </c>
      <c r="J17" s="42">
        <f>SUM(INDIRECT("0分!AE"&amp;(ROW()-2)*7+2&amp;":AE"&amp;(ROW()-1)*7+1))/7</f>
        <v/>
      </c>
      <c r="K17" s="313">
        <f t="array" ref="K17">INDIRECT("hcbi!BL"&amp;(ROW()-1)*7+-3)/7</f>
        <v/>
      </c>
      <c r="L17" s="240">
        <f>AVERAGE(INDIRECT("0分!AD"&amp;(ROW()-2)*7+2&amp;":AD"&amp;(ROW()-1)*7+1))</f>
        <v/>
      </c>
      <c r="M17" s="42">
        <f>AVERAGE(INDIRECT("0₦!BD"&amp;(ROW()-2)*7+6&amp;":BC"&amp;(ROW())*7 - 1))</f>
        <v/>
      </c>
      <c r="N17" s="42">
        <f>AVERAGE(INDIRECT("0分!AF"&amp;(ROW()-2)*7+2&amp;":AF"&amp;(ROW()-1)*7+1))</f>
        <v/>
      </c>
      <c r="O17" s="288">
        <f>AVERAGE(INDIRECT("0分!AH"&amp;(ROW()-2)*7+1&amp;":AH"&amp;(ROW()-1)*7))</f>
        <v/>
      </c>
      <c r="P17" s="42">
        <f>AVERAGE(INDIRECT("0₦!BC"&amp;(ROW()-2)*7+1&amp;":BB"&amp;(ROW()-1)*7))</f>
        <v/>
      </c>
      <c r="S17" s="42">
        <f>SUM(INDIRECT("0分!D" &amp; (ROW()-2)*7+2 &amp; ":D" &amp; (ROW()-1)*7+1))/7</f>
        <v/>
      </c>
      <c r="T17" s="450">
        <f>'i9'!B18</f>
        <v/>
      </c>
      <c r="U17" s="42">
        <f>-((0.97-0.878)*1000000) / 50 / 4</f>
        <v/>
      </c>
      <c r="V17" s="335" t="n"/>
      <c r="W17" s="335" t="n"/>
      <c r="X17" s="335" t="n"/>
      <c r="Y17" s="335" t="n"/>
      <c r="Z17" s="335" t="n"/>
      <c r="AA17" s="578">
        <f>MAX(INDIRECT("0s!P" &amp; (ROW()-2)*7+6 &amp; ":P" &amp; (ROW()-1)*7+5))</f>
        <v/>
      </c>
      <c r="AB17" s="55">
        <f>MIN(INDIRECT("0s!Q" &amp; (ROW()-2)*7+6 &amp; ":Q" &amp; (ROW()-1)*7+5))</f>
        <v/>
      </c>
      <c r="AC17" s="578">
        <f>AVERAGE(INDIRECT("0s!R" &amp; (ROW()-2)*7+6 &amp; ":R" &amp; (ROW()-1)*7+5))</f>
        <v/>
      </c>
      <c r="AD17" s="579" t="n"/>
      <c r="AE17" s="39">
        <f>SUM(INDIRECT("0分!Y" &amp; (ROW()-2)*7-3 &amp; ":Y" &amp; (ROW()-1)*7+-4))/7</f>
        <v/>
      </c>
      <c r="AF17" s="42">
        <f>P17+L17+M17</f>
        <v/>
      </c>
      <c r="AG17" s="473" t="n"/>
      <c r="AI17" s="450">
        <f>COUNTIF(INDIRECT("'0₦'!AR" &amp;((ROW()-2)*7+3) &amp; ":AR" &amp; ((ROW()-1)*7+2)), "&lt;0")</f>
        <v/>
      </c>
      <c r="AJ17" s="450">
        <f>COUNTIF(INDIRECT("'0₦'!M" &amp;((ROW()-2)*7+3) &amp; ":M" &amp; ((ROW()-1)*7+2)), "&lt;&gt;")</f>
        <v/>
      </c>
      <c r="AK17" s="450">
        <f>COUNTIF(INDIRECT("'0₦'!O" &amp;((ROW()-2)*7+3) &amp; ":O" &amp; ((ROW()-1)*7+2)), "&lt;&gt;")</f>
        <v/>
      </c>
      <c r="AL17" s="42">
        <f>SUM(INDIRECT("0₦!AR" &amp; (ROW()-2)*7+3 &amp; ":AR" &amp; (ROW()-1)*7+2))/7</f>
        <v/>
      </c>
      <c r="AM17" s="42">
        <f>SUM(INDIRECT("0₦!AS" &amp; (ROW()-2)*7+3 &amp; ":AS" &amp; (ROW()-1)*7+2))/7</f>
        <v/>
      </c>
      <c r="AN17" s="42">
        <f>SUM(INDIRECT("0₦!AT" &amp; (ROW()-2)*7+3 &amp; ":AT" &amp; (ROW()-1)*7+2))/7</f>
        <v/>
      </c>
      <c r="AO17" s="42">
        <f>SUM(INDIRECT("0₦!AU" &amp; (ROW()-2)*7+3 &amp; ":AU" &amp; (ROW()-1)*7+2))/7</f>
        <v/>
      </c>
      <c r="AP17" s="42">
        <f>SUM(AO17+AN17/2+AM17*0.1-AL17)</f>
        <v/>
      </c>
      <c r="AQ17" s="42" t="n"/>
      <c r="AR17" s="42" t="n"/>
      <c r="AU17" s="296">
        <f>SUM(INDIRECT("0分!AJ" &amp; (ROW()-2)*7 -1 &amp; ":AJ" &amp; (ROW()-1)*7-2))/7</f>
        <v/>
      </c>
      <c r="BI17" s="464" t="n"/>
      <c r="BY17" s="531" t="n"/>
      <c r="CA17" s="296" t="n"/>
      <c r="CB17" s="296" t="n"/>
      <c r="CC17" s="296" t="n"/>
      <c r="CD17" s="296" t="n"/>
      <c r="CE17" s="296" t="n"/>
      <c r="CF17" s="296" t="n"/>
      <c r="CG17" s="2" t="n"/>
      <c r="CH17" s="2" t="n"/>
      <c r="CI17" s="2" t="n"/>
      <c r="CJ17" s="2" t="n"/>
      <c r="CK17" s="335" t="n"/>
      <c r="CL17" s="2" t="n"/>
      <c r="CM17" s="445" t="n"/>
    </row>
    <row r="18" ht="45.95" customHeight="1" s="37">
      <c r="A18" s="142">
        <f>A17+0.1</f>
        <v/>
      </c>
      <c r="B18" s="142">
        <f>B17+1</f>
        <v/>
      </c>
      <c r="C18" s="94">
        <f>SUM(INDIRECT("0分!D" &amp; (ROW()-2)*7+2 &amp; ":D" &amp; (ROW()-1)*7+1))</f>
        <v/>
      </c>
      <c r="D18" s="39" t="n"/>
      <c r="E18" s="42">
        <f>'1₦+'!AN20/7</f>
        <v/>
      </c>
      <c r="F18" s="42">
        <f>AVERAGE(INDIRECT("0分!Y" &amp; (ROW()-2)*7+3 &amp; ":Y" &amp; (ROW()-1)*7+2))</f>
        <v/>
      </c>
      <c r="G18" s="42">
        <f>AVERAGE(INDIRECT("0分!Z" &amp; (ROW()-2)*7+2 &amp; ":Z" &amp; (ROW()-1)*7+1))</f>
        <v/>
      </c>
      <c r="H18" s="42">
        <f>AVERAGE(INDIRECT("0分!AA" &amp; (ROW()-2)*7+3 &amp; ":AA" &amp; (ROW()-1)*7+2))</f>
        <v/>
      </c>
      <c r="I18" s="42">
        <f>AVERAGE(INDIRECT("0分!Y" &amp; (ROW()-2)*7+3 &amp; ":Y" &amp; (ROW()-1)*7+2))</f>
        <v/>
      </c>
      <c r="J18" s="42">
        <f>SUM(INDIRECT("0分!AE"&amp;(ROW()-2)*7+2&amp;":AE"&amp;(ROW()-1)*7+1))/7</f>
        <v/>
      </c>
      <c r="K18" s="313">
        <f t="array" ref="K18">INDIRECT("hcbi!BL"&amp;(ROW()-1)*7+-3)/7</f>
        <v/>
      </c>
      <c r="L18" s="240">
        <f>AVERAGE(INDIRECT("0分!AD"&amp;(ROW()-2)*7+2&amp;":AD"&amp;(ROW()-1)*7+1))</f>
        <v/>
      </c>
      <c r="M18" s="42">
        <f>AVERAGE(INDIRECT("0₦!BD"&amp;(ROW()-2)*7+6&amp;":BC"&amp;(ROW())*7 - 1))</f>
        <v/>
      </c>
      <c r="N18" s="42">
        <f>AVERAGE(INDIRECT("0分!AF"&amp;(ROW()-2)*7+2&amp;":AF"&amp;(ROW()-1)*7+1))</f>
        <v/>
      </c>
      <c r="O18" s="288">
        <f>AVERAGE(INDIRECT("0分!AH"&amp;(ROW()-2)*7+1&amp;":AH"&amp;(ROW()-1)*7))</f>
        <v/>
      </c>
      <c r="P18" s="42">
        <f>AVERAGE(INDIRECT("0₦!BC"&amp;(ROW()-2)*7+1&amp;":BB"&amp;(ROW()-1)*7))</f>
        <v/>
      </c>
      <c r="S18" s="42">
        <f>SUM(INDIRECT("0分!D" &amp; (ROW()-2)*7+2 &amp; ":D" &amp; (ROW()-1)*7+1))/7</f>
        <v/>
      </c>
      <c r="T18" s="450">
        <f>'i9'!B19</f>
        <v/>
      </c>
      <c r="U18" s="42">
        <f>-((0.97-0.868)*1000000) / 50 / 4</f>
        <v/>
      </c>
      <c r="V18" s="335" t="n"/>
      <c r="W18" s="335" t="n"/>
      <c r="X18" s="335" t="n"/>
      <c r="Y18" s="335" t="n"/>
      <c r="Z18" s="335" t="n"/>
      <c r="AA18" s="578">
        <f>MAX(INDIRECT("0s!P" &amp; (ROW()-2)*7+6 &amp; ":P" &amp; (ROW()-1)*7+5))</f>
        <v/>
      </c>
      <c r="AB18" s="55">
        <f>MIN(INDIRECT("0s!Q" &amp; (ROW()-2)*7+6 &amp; ":Q" &amp; (ROW()-1)*7+5))</f>
        <v/>
      </c>
      <c r="AC18" s="578">
        <f>AVERAGE(INDIRECT("0s!R" &amp; (ROW()-2)*7+6 &amp; ":R" &amp; (ROW()-1)*7+5))</f>
        <v/>
      </c>
      <c r="AD18" s="579" t="n"/>
      <c r="AE18" s="39">
        <f>SUM(INDIRECT("0分!Y" &amp; (ROW()-2)*7-3 &amp; ":Y" &amp; (ROW()-1)*7+-4))/7</f>
        <v/>
      </c>
      <c r="AF18" s="42">
        <f>P18+L18+M18</f>
        <v/>
      </c>
      <c r="AG18" s="473" t="n"/>
      <c r="AI18" s="450">
        <f>COUNTIF(INDIRECT("'0₦'!AR" &amp;((ROW()-2)*7+3) &amp; ":AR" &amp; ((ROW()-1)*7+2)), "&lt;0")</f>
        <v/>
      </c>
      <c r="AJ18" s="450">
        <f>COUNTIF(INDIRECT("'0₦'!M" &amp;((ROW()-2)*7+3) &amp; ":M" &amp; ((ROW()-1)*7+2)), "&lt;&gt;")</f>
        <v/>
      </c>
      <c r="AK18" s="450">
        <f>COUNTIF(INDIRECT("'0₦'!O" &amp;((ROW()-2)*7+3) &amp; ":O" &amp; ((ROW()-1)*7+2)), "&lt;&gt;")</f>
        <v/>
      </c>
      <c r="AL18" s="42">
        <f>SUM(INDIRECT("0₦!AR" &amp; (ROW()-2)*7+3 &amp; ":AR" &amp; (ROW()-1)*7+2))/7</f>
        <v/>
      </c>
      <c r="AM18" s="42">
        <f>SUM(INDIRECT("0₦!AS" &amp; (ROW()-2)*7+3 &amp; ":AS" &amp; (ROW()-1)*7+2))/7</f>
        <v/>
      </c>
      <c r="AN18" s="42">
        <f>SUM(INDIRECT("0₦!AT" &amp; (ROW()-2)*7+3 &amp; ":AT" &amp; (ROW()-1)*7+2))/7</f>
        <v/>
      </c>
      <c r="AO18" s="42">
        <f>SUM(INDIRECT("0₦!AU" &amp; (ROW()-2)*7+3 &amp; ":AU" &amp; (ROW()-1)*7+2))/7</f>
        <v/>
      </c>
      <c r="AP18" s="42">
        <f>SUM(AO18+AN18/2+AM18*0.1-AL18)</f>
        <v/>
      </c>
      <c r="AQ18" s="42" t="n"/>
      <c r="AR18" s="42" t="n"/>
      <c r="AU18" s="296">
        <f>SUM(INDIRECT("0分!AJ" &amp; (ROW()-2)*7 -1 &amp; ":AJ" &amp; (ROW()-1)*7-2))/7</f>
        <v/>
      </c>
      <c r="BI18" s="464" t="n"/>
      <c r="BY18" s="531" t="n"/>
      <c r="CA18" s="297" t="n"/>
      <c r="CB18" s="297" t="n"/>
      <c r="CC18" s="297" t="n"/>
      <c r="CD18" s="297" t="n"/>
      <c r="CE18" s="297" t="n"/>
      <c r="CF18" s="297" t="n"/>
      <c r="CG18" s="297" t="n"/>
      <c r="CH18" s="297" t="n"/>
      <c r="CI18" s="297" t="n"/>
      <c r="CJ18" s="297" t="n"/>
      <c r="CK18" s="297" t="n"/>
      <c r="CL18" s="297" t="n"/>
      <c r="CM18" s="445" t="n"/>
    </row>
    <row r="19" ht="45.95" customHeight="1" s="37">
      <c r="A19" s="142">
        <f>A15+1</f>
        <v/>
      </c>
      <c r="B19" s="142">
        <f>B18+1</f>
        <v/>
      </c>
      <c r="C19" s="94">
        <f>SUM(INDIRECT("0分!D" &amp; (ROW()-2)*7+2 &amp; ":D" &amp; (ROW()-1)*7+1))</f>
        <v/>
      </c>
      <c r="D19" s="39" t="n"/>
      <c r="E19" s="42">
        <f>'1₦+'!AN21/7</f>
        <v/>
      </c>
      <c r="F19" s="42">
        <f>AVERAGE(INDIRECT("0分!Y" &amp; (ROW()-2)*7+3 &amp; ":Y" &amp; (ROW()-1)*7+2))</f>
        <v/>
      </c>
      <c r="G19" s="42">
        <f>AVERAGE(INDIRECT("0分!Z" &amp; (ROW()-2)*7+2 &amp; ":Z" &amp; (ROW()-1)*7+1))</f>
        <v/>
      </c>
      <c r="H19" s="42">
        <f>AVERAGE(INDIRECT("0分!AA" &amp; (ROW()-2)*7+3 &amp; ":AA" &amp; (ROW()-1)*7+2))</f>
        <v/>
      </c>
      <c r="I19" s="42">
        <f>AVERAGE(INDIRECT("0分!Y" &amp; (ROW()-2)*7+3 &amp; ":Y" &amp; (ROW()-1)*7+2))</f>
        <v/>
      </c>
      <c r="J19" s="42">
        <f>SUM(INDIRECT("0分!AE"&amp;(ROW()-2)*7+2&amp;":AE"&amp;(ROW()-1)*7+1))/7</f>
        <v/>
      </c>
      <c r="K19" s="313">
        <f t="array" ref="K19">INDIRECT("hcbi!BL"&amp;(ROW()-1)*7+-3)/7</f>
        <v/>
      </c>
      <c r="L19" s="240">
        <f>AVERAGE(INDIRECT("0分!AD"&amp;(ROW()-2)*7+2&amp;":AD"&amp;(ROW()-1)*7+1))</f>
        <v/>
      </c>
      <c r="M19" s="42">
        <f>AVERAGE(INDIRECT("0₦!BD"&amp;(ROW()-2)*7+6&amp;":BC"&amp;(ROW())*7 - 1))</f>
        <v/>
      </c>
      <c r="N19" s="42">
        <f>AVERAGE(INDIRECT("0分!AF"&amp;(ROW()-2)*7+2&amp;":AF"&amp;(ROW()-1)*7+1))</f>
        <v/>
      </c>
      <c r="O19" s="288">
        <f>AVERAGE(INDIRECT("0分!AH"&amp;(ROW()-2)*7+1&amp;":AH"&amp;(ROW()-1)*7))</f>
        <v/>
      </c>
      <c r="P19" s="42">
        <f>AVERAGE(INDIRECT("0₦!BC"&amp;(ROW()-2)*7+1&amp;":BB"&amp;(ROW()-1)*7))</f>
        <v/>
      </c>
      <c r="S19" s="42">
        <f>SUM(INDIRECT("0分!D" &amp; (ROW()-2)*7+2 &amp; ":D" &amp; (ROW()-1)*7+1))/7</f>
        <v/>
      </c>
      <c r="T19" s="450">
        <f>'i9'!B20</f>
        <v/>
      </c>
      <c r="U19" s="42">
        <f>-((0.97-0.87)*1000000) / 50 / 4</f>
        <v/>
      </c>
      <c r="V19" s="335" t="n"/>
      <c r="W19" s="335" t="n"/>
      <c r="X19" s="335" t="n"/>
      <c r="Y19" s="335" t="n"/>
      <c r="Z19" s="335" t="n"/>
      <c r="AA19" s="578">
        <f>MAX(INDIRECT("0s!P" &amp; (ROW()-2)*7+6 &amp; ":P" &amp; (ROW()-1)*7+5))</f>
        <v/>
      </c>
      <c r="AB19" s="55">
        <f>MIN(INDIRECT("0s!Q" &amp; (ROW()-2)*7+6 &amp; ":Q" &amp; (ROW()-1)*7+5))</f>
        <v/>
      </c>
      <c r="AC19" s="578">
        <f>AVERAGE(INDIRECT("0s!R" &amp; (ROW()-2)*7+6 &amp; ":R" &amp; (ROW()-1)*7+5))</f>
        <v/>
      </c>
      <c r="AD19" s="579" t="n"/>
      <c r="AE19" s="39">
        <f>SUM(INDIRECT("0分!Y" &amp; (ROW()-2)*7-3 &amp; ":Y" &amp; (ROW()-1)*7+-4))/7</f>
        <v/>
      </c>
      <c r="AF19" s="42">
        <f>P19+L19+M19</f>
        <v/>
      </c>
      <c r="AG19" s="473" t="n"/>
      <c r="AI19" s="450">
        <f>COUNTIF(INDIRECT("'0₦'!AR" &amp;((ROW()-2)*7+3) &amp; ":AR" &amp; ((ROW()-1)*7+2)), "&lt;0")</f>
        <v/>
      </c>
      <c r="AJ19" s="450">
        <f>COUNTIF(INDIRECT("'0₦'!M" &amp;((ROW()-2)*7+3) &amp; ":M" &amp; ((ROW()-1)*7+2)), "&lt;&gt;")</f>
        <v/>
      </c>
      <c r="AK19" s="450">
        <f>COUNTIF(INDIRECT("'0₦'!O" &amp;((ROW()-2)*7+3) &amp; ":O" &amp; ((ROW()-1)*7+2)), "&lt;&gt;")</f>
        <v/>
      </c>
      <c r="AL19" s="42">
        <f>SUM(INDIRECT("0₦!AR" &amp; (ROW()-2)*7+3 &amp; ":AR" &amp; (ROW()-1)*7+2))/7</f>
        <v/>
      </c>
      <c r="AM19" s="42">
        <f>SUM(INDIRECT("0₦!AS" &amp; (ROW()-2)*7+3 &amp; ":AS" &amp; (ROW()-1)*7+2))/7</f>
        <v/>
      </c>
      <c r="AN19" s="42">
        <f>SUM(INDIRECT("0₦!AT" &amp; (ROW()-2)*7+3 &amp; ":AT" &amp; (ROW()-1)*7+2))/7</f>
        <v/>
      </c>
      <c r="AO19" s="42">
        <f>SUM(INDIRECT("0₦!AU" &amp; (ROW()-2)*7+3 &amp; ":AU" &amp; (ROW()-1)*7+2))/7</f>
        <v/>
      </c>
      <c r="AP19" s="42">
        <f>SUM(AO19+AN19/2+AM19*0.1-AL19)</f>
        <v/>
      </c>
      <c r="AQ19" s="42" t="n"/>
      <c r="AR19" s="42" t="n"/>
      <c r="AU19" s="296">
        <f>SUM(INDIRECT("0分!AJ" &amp; (ROW()-2)*7 -1 &amp; ":AJ" &amp; (ROW()-1)*7-2))/7</f>
        <v/>
      </c>
      <c r="AV19" s="534">
        <f>COUNTIFS('0分'!E121:E148,"&gt;600",'0分'!E121:E148,"&lt;1000")/28</f>
        <v/>
      </c>
      <c r="AW19" s="534">
        <f>COUNTIF('0分'!E121:E148,"&gt;1")/28</f>
        <v/>
      </c>
      <c r="AX19" s="534">
        <f>COUNTIF('0分'!F121:F148,"&gt;0")/28</f>
        <v/>
      </c>
      <c r="AY19" s="533">
        <f>AVERAGE(L19:L22)</f>
        <v/>
      </c>
      <c r="AZ19" s="533">
        <f>AVERAGE(N19:N22)</f>
        <v/>
      </c>
      <c r="BA19" s="533">
        <f>AVERAGE(O19:O22)</f>
        <v/>
      </c>
      <c r="BB19" s="533">
        <f>AVERAGE(E19:E22)</f>
        <v/>
      </c>
      <c r="BC19" s="533">
        <f>SUM(G19:G22)/4</f>
        <v/>
      </c>
      <c r="BD19" s="533">
        <f>SUM(H19:H22)/4</f>
        <v/>
      </c>
      <c r="BE19" s="533">
        <f>AVERAGE(I19:I22)</f>
        <v/>
      </c>
      <c r="BF19" s="533">
        <f>SUM(J19:J22)/4</f>
        <v/>
      </c>
      <c r="BG19" s="537" t="n"/>
      <c r="BH19" s="532">
        <f>AVERAGE(P19:P22)</f>
        <v/>
      </c>
      <c r="BI19" s="537" t="n"/>
      <c r="BJ19" s="533">
        <f>AVERAGE(C19:C22)/7</f>
        <v/>
      </c>
      <c r="BK19" s="532">
        <f>AVERAGE(#REF!)</f>
        <v/>
      </c>
      <c r="BL19" s="532">
        <f>AVERAGE(#REF!)</f>
        <v/>
      </c>
      <c r="BM19" s="492">
        <f>AVERAGE(#REF!)</f>
        <v/>
      </c>
      <c r="BN19" s="582" t="n"/>
      <c r="BO19" s="581">
        <f>AVERAGE($AC19:$AC22)</f>
        <v/>
      </c>
      <c r="BY19" s="531" t="n"/>
      <c r="CA19" s="296">
        <f>AVERAGE(F19:F22)</f>
        <v/>
      </c>
      <c r="CB19" s="296">
        <f>AVERAGE(D19:D22)</f>
        <v/>
      </c>
      <c r="CC19" s="296">
        <f>AVERAGE(G19:G22)</f>
        <v/>
      </c>
      <c r="CD19" s="296">
        <f>AVERAGE(H19:H22)</f>
        <v/>
      </c>
      <c r="CE19" s="296">
        <f>AVERAGE(I19:I22)</f>
        <v/>
      </c>
      <c r="CF19" s="296">
        <f>BF19</f>
        <v/>
      </c>
      <c r="CG19" s="2">
        <f>SUM(N19:N22)/COUNT(N19:N22)</f>
        <v/>
      </c>
      <c r="CH19" s="2">
        <f>AVERAGE(M19:M22)</f>
        <v/>
      </c>
      <c r="CI19" s="2">
        <f>AVERAGE(L19:L22)</f>
        <v/>
      </c>
      <c r="CJ19" s="2">
        <f>AVERAGE(O19:O22)</f>
        <v/>
      </c>
      <c r="CK19" s="335">
        <f>SUM('0分'!#REF!)</f>
        <v/>
      </c>
      <c r="CL19" s="2">
        <f>AVERAGE(P19:P22)</f>
        <v/>
      </c>
      <c r="CM19" s="445" t="n"/>
    </row>
    <row r="20" ht="45.95" customHeight="1" s="37">
      <c r="A20" s="142">
        <f>A19+0.1</f>
        <v/>
      </c>
      <c r="B20" s="142">
        <f>B19+1</f>
        <v/>
      </c>
      <c r="C20" s="94">
        <f>SUM(INDIRECT("0分!D" &amp; (ROW()-2)*7+2 &amp; ":D" &amp; (ROW()-1)*7+1))</f>
        <v/>
      </c>
      <c r="D20" s="39" t="n"/>
      <c r="E20" s="42">
        <f>'1₦+'!AN22/7</f>
        <v/>
      </c>
      <c r="F20" s="42">
        <f>AVERAGE(INDIRECT("0分!Y" &amp; (ROW()-2)*7+3 &amp; ":Y" &amp; (ROW()-1)*7+2))</f>
        <v/>
      </c>
      <c r="G20" s="42">
        <f>AVERAGE(INDIRECT("0分!Z" &amp; (ROW()-2)*7+2 &amp; ":Z" &amp; (ROW()-1)*7+1))</f>
        <v/>
      </c>
      <c r="H20" s="42">
        <f>AVERAGE(INDIRECT("0分!AA" &amp; (ROW()-2)*7+3 &amp; ":AA" &amp; (ROW()-1)*7+2))</f>
        <v/>
      </c>
      <c r="I20" s="42">
        <f>AVERAGE(INDIRECT("0分!Y" &amp; (ROW()-2)*7+3 &amp; ":Y" &amp; (ROW()-1)*7+2))</f>
        <v/>
      </c>
      <c r="J20" s="42">
        <f>SUM(INDIRECT("0分!AE"&amp;(ROW()-2)*7+2&amp;":AE"&amp;(ROW()-1)*7+1))/7</f>
        <v/>
      </c>
      <c r="K20" s="313">
        <f t="array" ref="K20">INDIRECT("hcbi!BL"&amp;(ROW()-1)*7+-3)/7</f>
        <v/>
      </c>
      <c r="L20" s="240">
        <f>AVERAGE(INDIRECT("0分!AD"&amp;(ROW()-2)*7+2&amp;":AD"&amp;(ROW()-1)*7+1))</f>
        <v/>
      </c>
      <c r="M20" s="42">
        <f>AVERAGE(INDIRECT("0₦!BD"&amp;(ROW()-2)*7+6&amp;":BC"&amp;(ROW())*7 - 1))</f>
        <v/>
      </c>
      <c r="N20" s="42">
        <f>AVERAGE(INDIRECT("0分!AF"&amp;(ROW()-2)*7+2&amp;":AF"&amp;(ROW()-1)*7+1))</f>
        <v/>
      </c>
      <c r="O20" s="288">
        <f>AVERAGE(INDIRECT("0分!AH"&amp;(ROW()-2)*7+1&amp;":AH"&amp;(ROW()-1)*7))</f>
        <v/>
      </c>
      <c r="P20" s="42">
        <f>AVERAGE(INDIRECT("0₦!BC"&amp;(ROW()-2)*7+1&amp;":BB"&amp;(ROW()-1)*7))</f>
        <v/>
      </c>
      <c r="S20" s="42">
        <f>SUM(INDIRECT("0分!D" &amp; (ROW()-2)*7+2 &amp; ":D" &amp; (ROW()-1)*7+1))/7</f>
        <v/>
      </c>
      <c r="T20" s="450">
        <f>'i9'!B21</f>
        <v/>
      </c>
      <c r="U20" s="42">
        <f>-((0.97-0.874)*1000000) / 50 / 4</f>
        <v/>
      </c>
      <c r="V20" s="335" t="n"/>
      <c r="W20" s="335" t="n"/>
      <c r="X20" s="335" t="n"/>
      <c r="Y20" s="335" t="n"/>
      <c r="Z20" s="335" t="n"/>
      <c r="AA20" s="578">
        <f>MAX(INDIRECT("0s!P" &amp; (ROW()-2)*7+6 &amp; ":P" &amp; (ROW()-1)*7+5))</f>
        <v/>
      </c>
      <c r="AB20" s="55">
        <f>MIN(INDIRECT("0s!Q" &amp; (ROW()-2)*7+6 &amp; ":Q" &amp; (ROW()-1)*7+5))</f>
        <v/>
      </c>
      <c r="AC20" s="578">
        <f>AVERAGE(INDIRECT("0s!R" &amp; (ROW()-2)*7+6 &amp; ":R" &amp; (ROW()-1)*7+5))</f>
        <v/>
      </c>
      <c r="AD20" s="579" t="n"/>
      <c r="AE20" s="39">
        <f>SUM(INDIRECT("0分!Y" &amp; (ROW()-2)*7-3 &amp; ":Y" &amp; (ROW()-1)*7+-4))/7</f>
        <v/>
      </c>
      <c r="AF20" s="42">
        <f>P20+L20+M20</f>
        <v/>
      </c>
      <c r="AG20" s="473" t="n"/>
      <c r="AI20" s="450">
        <f>COUNTIF(INDIRECT("'0₦'!AR" &amp;((ROW()-2)*7+3) &amp; ":AR" &amp; ((ROW()-1)*7+2)), "&lt;0")</f>
        <v/>
      </c>
      <c r="AJ20" s="450">
        <f>COUNTIF(INDIRECT("'0₦'!M" &amp;((ROW()-2)*7+3) &amp; ":M" &amp; ((ROW()-1)*7+2)), "&lt;&gt;")</f>
        <v/>
      </c>
      <c r="AK20" s="450">
        <f>COUNTIF(INDIRECT("'0₦'!O" &amp;((ROW()-2)*7+3) &amp; ":O" &amp; ((ROW()-1)*7+2)), "&lt;&gt;")</f>
        <v/>
      </c>
      <c r="AL20" s="42">
        <f>SUM(INDIRECT("0₦!AR" &amp; (ROW()-2)*7+3 &amp; ":AR" &amp; (ROW()-1)*7+2))/7</f>
        <v/>
      </c>
      <c r="AM20" s="42">
        <f>SUM(INDIRECT("0₦!AS" &amp; (ROW()-2)*7+3 &amp; ":AS" &amp; (ROW()-1)*7+2))/7</f>
        <v/>
      </c>
      <c r="AN20" s="42">
        <f>SUM(INDIRECT("0₦!AT" &amp; (ROW()-2)*7+3 &amp; ":AT" &amp; (ROW()-1)*7+2))/7</f>
        <v/>
      </c>
      <c r="AO20" s="42">
        <f>SUM(INDIRECT("0₦!AU" &amp; (ROW()-2)*7+3 &amp; ":AU" &amp; (ROW()-1)*7+2))/7</f>
        <v/>
      </c>
      <c r="AP20" s="42">
        <f>SUM(AO20+AN20/2+AM20*0.1-AL20)</f>
        <v/>
      </c>
      <c r="AQ20" s="42" t="n"/>
      <c r="AR20" s="42" t="n"/>
      <c r="AU20" s="296">
        <f>SUM(INDIRECT("0分!AJ" &amp; (ROW()-2)*7 -1 &amp; ":AJ" &amp; (ROW()-1)*7-2))/7</f>
        <v/>
      </c>
      <c r="BI20" s="464" t="n"/>
      <c r="BN20" s="531" t="n"/>
      <c r="BY20" s="531" t="n"/>
      <c r="CA20" s="297">
        <f>CA19/$CM$2</f>
        <v/>
      </c>
      <c r="CB20" s="297">
        <f>CB19/$CM$2</f>
        <v/>
      </c>
      <c r="CC20" s="297">
        <f>CC19/$CM$2</f>
        <v/>
      </c>
      <c r="CD20" s="297">
        <f>CD19/$CM$2</f>
        <v/>
      </c>
      <c r="CE20" s="297">
        <f>CE19/$CM$2</f>
        <v/>
      </c>
      <c r="CF20" s="297">
        <f>CF19/$CM$2</f>
        <v/>
      </c>
      <c r="CG20" s="297">
        <f>CG19/$CM$2</f>
        <v/>
      </c>
      <c r="CH20" s="297">
        <f>CH19/$CM$2</f>
        <v/>
      </c>
      <c r="CI20" s="297">
        <f>CI19/$CM$2</f>
        <v/>
      </c>
      <c r="CJ20" s="297">
        <f>CJ19/$CM$2</f>
        <v/>
      </c>
      <c r="CK20" s="297">
        <f>CK19/$CM$2</f>
        <v/>
      </c>
      <c r="CL20" s="297">
        <f>CL19/$CM$2</f>
        <v/>
      </c>
      <c r="CM20" s="445" t="n"/>
    </row>
    <row r="21" ht="45.95" customHeight="1" s="37">
      <c r="A21" s="142">
        <f>A20+0.1</f>
        <v/>
      </c>
      <c r="B21" s="142">
        <f>B20+1</f>
        <v/>
      </c>
      <c r="C21" s="94">
        <f>SUM(INDIRECT("0分!D" &amp; (ROW()-2)*7+2 &amp; ":D" &amp; (ROW()-1)*7+1))</f>
        <v/>
      </c>
      <c r="D21" s="39" t="n"/>
      <c r="E21" s="42">
        <f>'1₦+'!AN23/7</f>
        <v/>
      </c>
      <c r="F21" s="42">
        <f>AVERAGE(INDIRECT("0分!Y" &amp; (ROW()-2)*7+3 &amp; ":Y" &amp; (ROW()-1)*7+2))</f>
        <v/>
      </c>
      <c r="G21" s="42">
        <f>AVERAGE(INDIRECT("0分!Z" &amp; (ROW()-2)*7+2 &amp; ":Z" &amp; (ROW()-1)*7+1))</f>
        <v/>
      </c>
      <c r="H21" s="42">
        <f>AVERAGE(INDIRECT("0分!AA" &amp; (ROW()-2)*7+3 &amp; ":AA" &amp; (ROW()-1)*7+2))</f>
        <v/>
      </c>
      <c r="I21" s="42">
        <f>AVERAGE(INDIRECT("0分!Y" &amp; (ROW()-2)*7+3 &amp; ":Y" &amp; (ROW()-1)*7+2))</f>
        <v/>
      </c>
      <c r="J21" s="42">
        <f>SUM(INDIRECT("0分!AE"&amp;(ROW()-2)*7+2&amp;":AE"&amp;(ROW()-1)*7+1))/7</f>
        <v/>
      </c>
      <c r="K21" s="313">
        <f t="array" ref="K21">INDIRECT("hcbi!BL"&amp;(ROW()-1)*7+-3)/7</f>
        <v/>
      </c>
      <c r="L21" s="240">
        <f>AVERAGE(INDIRECT("0分!AD"&amp;(ROW()-2)*7+2&amp;":AD"&amp;(ROW()-1)*7+1))</f>
        <v/>
      </c>
      <c r="M21" s="42">
        <f>AVERAGE(INDIRECT("0₦!BD"&amp;(ROW()-2)*7+6&amp;":BC"&amp;(ROW())*7 - 1))</f>
        <v/>
      </c>
      <c r="N21" s="42">
        <f>AVERAGE(INDIRECT("0分!AF"&amp;(ROW()-2)*7+2&amp;":AF"&amp;(ROW()-1)*7+1))</f>
        <v/>
      </c>
      <c r="O21" s="288">
        <f>AVERAGE(INDIRECT("0分!AH"&amp;(ROW()-2)*7+1&amp;":AH"&amp;(ROW()-1)*7))</f>
        <v/>
      </c>
      <c r="P21" s="42">
        <f>AVERAGE(INDIRECT("0₦!BC"&amp;(ROW()-2)*7+1&amp;":BB"&amp;(ROW()-1)*7))</f>
        <v/>
      </c>
      <c r="S21" s="42">
        <f>SUM(INDIRECT("0分!D" &amp; (ROW()-2)*7+2 &amp; ":D" &amp; (ROW()-1)*7+1))/7</f>
        <v/>
      </c>
      <c r="T21" s="450">
        <f>'i9'!B22</f>
        <v/>
      </c>
      <c r="U21" s="42">
        <f>-((0.97-0.877)*1000000) / 50 / 4</f>
        <v/>
      </c>
      <c r="V21" s="335" t="n"/>
      <c r="W21" s="335" t="n"/>
      <c r="X21" s="335" t="n"/>
      <c r="Y21" s="335" t="n"/>
      <c r="Z21" s="335" t="n"/>
      <c r="AA21" s="578">
        <f>MAX(INDIRECT("0s!P" &amp; (ROW()-2)*7+6 &amp; ":P" &amp; (ROW()-1)*7+5))</f>
        <v/>
      </c>
      <c r="AB21" s="55">
        <f>MIN(INDIRECT("0s!Q" &amp; (ROW()-2)*7+6 &amp; ":Q" &amp; (ROW()-1)*7+5))</f>
        <v/>
      </c>
      <c r="AC21" s="578">
        <f>AVERAGE(INDIRECT("0s!R" &amp; (ROW()-2)*7+6 &amp; ":R" &amp; (ROW()-1)*7+5))</f>
        <v/>
      </c>
      <c r="AD21" s="579" t="n"/>
      <c r="AE21" s="39">
        <f>SUM(INDIRECT("0分!Y" &amp; (ROW()-2)*7-3 &amp; ":Y" &amp; (ROW()-1)*7+-4))/7</f>
        <v/>
      </c>
      <c r="AF21" s="42">
        <f>P21+L21+M21</f>
        <v/>
      </c>
      <c r="AG21" s="473" t="n"/>
      <c r="AI21" s="450">
        <f>COUNTIF(INDIRECT("'0₦'!AR" &amp;((ROW()-2)*7+3) &amp; ":AR" &amp; ((ROW()-1)*7+2)), "&lt;0")</f>
        <v/>
      </c>
      <c r="AJ21" s="450">
        <f>COUNTIF(INDIRECT("'0₦'!M" &amp;((ROW()-2)*7+3) &amp; ":M" &amp; ((ROW()-1)*7+2)), "&lt;&gt;")</f>
        <v/>
      </c>
      <c r="AK21" s="450">
        <f>COUNTIF(INDIRECT("'0₦'!O" &amp;((ROW()-2)*7+3) &amp; ":O" &amp; ((ROW()-1)*7+2)), "&lt;&gt;")</f>
        <v/>
      </c>
      <c r="AL21" s="42">
        <f>SUM(INDIRECT("0₦!AR" &amp; (ROW()-2)*7+3 &amp; ":AR" &amp; (ROW()-1)*7+2))/7</f>
        <v/>
      </c>
      <c r="AM21" s="42">
        <f>SUM(INDIRECT("0₦!AS" &amp; (ROW()-2)*7+3 &amp; ":AS" &amp; (ROW()-1)*7+2))/7</f>
        <v/>
      </c>
      <c r="AN21" s="42">
        <f>SUM(INDIRECT("0₦!AT" &amp; (ROW()-2)*7+3 &amp; ":AT" &amp; (ROW()-1)*7+2))/7</f>
        <v/>
      </c>
      <c r="AO21" s="42">
        <f>SUM(INDIRECT("0₦!AU" &amp; (ROW()-2)*7+3 &amp; ":AU" &amp; (ROW()-1)*7+2))/7</f>
        <v/>
      </c>
      <c r="AP21" s="42">
        <f>SUM(AO21+AN21/2+AM21*0.1-AL21)</f>
        <v/>
      </c>
      <c r="AQ21" s="42" t="n"/>
      <c r="AR21" s="42" t="n"/>
      <c r="AU21" s="296">
        <f>SUM(INDIRECT("0分!AJ" &amp; (ROW()-2)*7 -1 &amp; ":AJ" &amp; (ROW()-1)*7-2))/7</f>
        <v/>
      </c>
      <c r="BI21" s="464" t="n"/>
      <c r="BN21" s="531" t="n"/>
      <c r="BY21" s="531" t="n"/>
      <c r="CA21" s="296" t="n"/>
      <c r="CB21" s="296" t="n"/>
      <c r="CC21" s="296" t="n"/>
      <c r="CD21" s="296" t="n"/>
      <c r="CE21" s="296" t="n"/>
      <c r="CF21" s="296" t="n"/>
      <c r="CG21" s="2" t="n"/>
      <c r="CH21" s="2" t="n"/>
      <c r="CI21" s="2" t="n"/>
      <c r="CJ21" s="2" t="n"/>
      <c r="CK21" s="335" t="n"/>
      <c r="CL21" s="2" t="n"/>
      <c r="CM21" s="445" t="n"/>
    </row>
    <row r="22" ht="45.95" customHeight="1" s="37">
      <c r="A22" s="142">
        <f>A21+0.1</f>
        <v/>
      </c>
      <c r="B22" s="142">
        <f>B21+1</f>
        <v/>
      </c>
      <c r="C22" s="94">
        <f>SUM(INDIRECT("0分!D" &amp; (ROW()-2)*7+2 &amp; ":D" &amp; (ROW()-1)*7+1))</f>
        <v/>
      </c>
      <c r="D22" s="39" t="n"/>
      <c r="E22" s="42">
        <f>'1₦+'!AN24/7</f>
        <v/>
      </c>
      <c r="F22" s="42">
        <f>AVERAGE(INDIRECT("0分!Y" &amp; (ROW()-2)*7+3 &amp; ":Y" &amp; (ROW()-1)*7+2))</f>
        <v/>
      </c>
      <c r="G22" s="42">
        <f>AVERAGE(INDIRECT("0分!Z" &amp; (ROW()-2)*7+2 &amp; ":Z" &amp; (ROW()-1)*7+1))</f>
        <v/>
      </c>
      <c r="H22" s="42">
        <f>AVERAGE(INDIRECT("0分!AA" &amp; (ROW()-2)*7+3 &amp; ":AA" &amp; (ROW()-1)*7+2))</f>
        <v/>
      </c>
      <c r="I22" s="42">
        <f>AVERAGE(INDIRECT("0分!Y" &amp; (ROW()-2)*7+3 &amp; ":Y" &amp; (ROW()-1)*7+2))</f>
        <v/>
      </c>
      <c r="J22" s="42">
        <f>SUM(INDIRECT("0分!AE"&amp;(ROW()-2)*7+2&amp;":AE"&amp;(ROW()-1)*7+1))/7</f>
        <v/>
      </c>
      <c r="K22" s="313">
        <f t="array" ref="K22">INDIRECT("hcbi!BL"&amp;(ROW()-1)*7+-3)/7</f>
        <v/>
      </c>
      <c r="L22" s="240">
        <f>AVERAGE(INDIRECT("0分!AD"&amp;(ROW()-2)*7+2&amp;":AD"&amp;(ROW()-1)*7+1))</f>
        <v/>
      </c>
      <c r="M22" s="42">
        <f>AVERAGE(INDIRECT("0₦!BD"&amp;(ROW()-2)*7+6&amp;":BC"&amp;(ROW())*7 - 1))</f>
        <v/>
      </c>
      <c r="N22" s="42">
        <f>AVERAGE(INDIRECT("0分!AF"&amp;(ROW()-2)*7+2&amp;":AF"&amp;(ROW()-1)*7+1))</f>
        <v/>
      </c>
      <c r="O22" s="288">
        <f>AVERAGE(INDIRECT("0分!AH"&amp;(ROW()-2)*7+1&amp;":AH"&amp;(ROW()-1)*7))</f>
        <v/>
      </c>
      <c r="P22" s="42">
        <f>AVERAGE(INDIRECT("0₦!BC"&amp;(ROW()-2)*7+1&amp;":BB"&amp;(ROW()-1)*7))</f>
        <v/>
      </c>
      <c r="S22" s="42">
        <f>SUM(INDIRECT("0分!D" &amp; (ROW()-2)*7+2 &amp; ":D" &amp; (ROW()-1)*7+1))/7</f>
        <v/>
      </c>
      <c r="T22" s="450">
        <f>'i9'!B23</f>
        <v/>
      </c>
      <c r="U22" s="42">
        <f>-((0.97-0.867)*1000000) / 50 / 4</f>
        <v/>
      </c>
      <c r="V22" s="335" t="n"/>
      <c r="W22" s="335" t="n"/>
      <c r="X22" s="335" t="n"/>
      <c r="Y22" s="335" t="n"/>
      <c r="Z22" s="335" t="n"/>
      <c r="AA22" s="578">
        <f>MAX(INDIRECT("0s!P" &amp; (ROW()-2)*7+6 &amp; ":P" &amp; (ROW()-1)*7+5))</f>
        <v/>
      </c>
      <c r="AB22" s="55">
        <f>MIN(INDIRECT("0s!Q" &amp; (ROW()-2)*7+6 &amp; ":Q" &amp; (ROW()-1)*7+5))</f>
        <v/>
      </c>
      <c r="AC22" s="578">
        <f>AVERAGE(INDIRECT("0s!R" &amp; (ROW()-2)*7+6 &amp; ":R" &amp; (ROW()-1)*7+5))</f>
        <v/>
      </c>
      <c r="AD22" s="579" t="n"/>
      <c r="AE22" s="39">
        <f>SUM(INDIRECT("0分!Y" &amp; (ROW()-2)*7-3 &amp; ":Y" &amp; (ROW()-1)*7+-4))/7</f>
        <v/>
      </c>
      <c r="AF22" s="42">
        <f>P22+L22+M22</f>
        <v/>
      </c>
      <c r="AG22" s="473" t="n"/>
      <c r="AI22" s="450">
        <f>COUNTIF(INDIRECT("'0₦'!AR" &amp;((ROW()-2)*7+3) &amp; ":AR" &amp; ((ROW()-1)*7+2)), "&lt;0")</f>
        <v/>
      </c>
      <c r="AJ22" s="450">
        <f>COUNTIF(INDIRECT("'0₦'!M" &amp;((ROW()-2)*7+3) &amp; ":M" &amp; ((ROW()-1)*7+2)), "&lt;&gt;")</f>
        <v/>
      </c>
      <c r="AK22" s="450">
        <f>COUNTIF(INDIRECT("'0₦'!O" &amp;((ROW()-2)*7+3) &amp; ":O" &amp; ((ROW()-1)*7+2)), "&lt;&gt;")</f>
        <v/>
      </c>
      <c r="AL22" s="42">
        <f>SUM(INDIRECT("0₦!AR" &amp; (ROW()-2)*7+3 &amp; ":AR" &amp; (ROW()-1)*7+2))/7</f>
        <v/>
      </c>
      <c r="AM22" s="42">
        <f>SUM(INDIRECT("0₦!AS" &amp; (ROW()-2)*7+3 &amp; ":AS" &amp; (ROW()-1)*7+2))/7</f>
        <v/>
      </c>
      <c r="AN22" s="42">
        <f>SUM(INDIRECT("0₦!AT" &amp; (ROW()-2)*7+3 &amp; ":AT" &amp; (ROW()-1)*7+2))/7</f>
        <v/>
      </c>
      <c r="AO22" s="42">
        <f>SUM(INDIRECT("0₦!AU" &amp; (ROW()-2)*7+3 &amp; ":AU" &amp; (ROW()-1)*7+2))/7</f>
        <v/>
      </c>
      <c r="AP22" s="42">
        <f>SUM(AO22+AN22/2+AM22*0.1-AL22)</f>
        <v/>
      </c>
      <c r="AQ22" s="42" t="n"/>
      <c r="AR22" s="42" t="n"/>
      <c r="AU22" s="296">
        <f>SUM(INDIRECT("0分!AJ" &amp; (ROW()-2)*7 -1 &amp; ":AJ" &amp; (ROW()-1)*7-2))/7</f>
        <v/>
      </c>
      <c r="BI22" s="464" t="n"/>
      <c r="BN22" s="531" t="n"/>
      <c r="BY22" s="531" t="n"/>
      <c r="CA22" s="297" t="n"/>
      <c r="CB22" s="297" t="n"/>
      <c r="CC22" s="297" t="n"/>
      <c r="CD22" s="297" t="n"/>
      <c r="CE22" s="297" t="n"/>
      <c r="CF22" s="297" t="n"/>
      <c r="CG22" s="297" t="n"/>
      <c r="CH22" s="297" t="n"/>
      <c r="CI22" s="297" t="n"/>
      <c r="CJ22" s="297" t="n"/>
      <c r="CK22" s="297" t="n"/>
      <c r="CL22" s="297" t="n"/>
      <c r="CM22" s="445" t="n"/>
    </row>
    <row r="23" ht="45.95" customHeight="1" s="37">
      <c r="A23" s="142">
        <f>A19+1</f>
        <v/>
      </c>
      <c r="B23" s="142">
        <f>B22+1</f>
        <v/>
      </c>
      <c r="C23" s="94">
        <f>SUM(INDIRECT("0分!D" &amp; (ROW()-2)*7+2 &amp; ":D" &amp; (ROW()-1)*7+1))</f>
        <v/>
      </c>
      <c r="D23" s="343" t="n"/>
      <c r="E23" s="42">
        <f>'1₦+'!AN25/7</f>
        <v/>
      </c>
      <c r="F23" s="42">
        <f>AVERAGE(INDIRECT("0分!Y" &amp; (ROW()-2)*7+3 &amp; ":Y" &amp; (ROW()-1)*7+2))</f>
        <v/>
      </c>
      <c r="G23" s="42">
        <f>AVERAGE(INDIRECT("0分!Z" &amp; (ROW()-2)*7+2 &amp; ":Z" &amp; (ROW()-1)*7+1))</f>
        <v/>
      </c>
      <c r="H23" s="42">
        <f>AVERAGE(INDIRECT("0分!AA" &amp; (ROW()-2)*7+3 &amp; ":AA" &amp; (ROW()-1)*7+2))</f>
        <v/>
      </c>
      <c r="I23" s="42">
        <f>AVERAGE(INDIRECT("0分!Y" &amp; (ROW()-2)*7+3 &amp; ":Y" &amp; (ROW()-1)*7+2))</f>
        <v/>
      </c>
      <c r="J23" s="42">
        <f>SUM(INDIRECT("0分!AE"&amp;(ROW()-2)*7+2&amp;":AE"&amp;(ROW()-1)*7+1))/7</f>
        <v/>
      </c>
      <c r="K23" s="313">
        <f t="array" ref="K23">INDIRECT("hcbi!BL"&amp;(ROW()-1)*7+-3)/7</f>
        <v/>
      </c>
      <c r="L23" s="240">
        <f>AVERAGE(INDIRECT("0分!AD"&amp;(ROW()-2)*7+2&amp;":AD"&amp;(ROW()-1)*7+1))</f>
        <v/>
      </c>
      <c r="M23" s="42">
        <f>AVERAGE(INDIRECT("0₦!BD"&amp;(ROW()-2)*7+6&amp;":BC"&amp;(ROW())*7 - 1))</f>
        <v/>
      </c>
      <c r="N23" s="42">
        <f>AVERAGE(INDIRECT("0分!AF"&amp;(ROW()-2)*7+2&amp;":AF"&amp;(ROW()-1)*7+1))</f>
        <v/>
      </c>
      <c r="O23" s="288">
        <f>AVERAGE(INDIRECT("0分!AH"&amp;(ROW()-2)*7+1&amp;":AH"&amp;(ROW()-1)*7))</f>
        <v/>
      </c>
      <c r="P23" s="42">
        <f>AVERAGE(INDIRECT("0₦!BC"&amp;(ROW()-2)*7+1&amp;":BB"&amp;(ROW()-1)*7))</f>
        <v/>
      </c>
      <c r="S23" s="42">
        <f>SUM(INDIRECT("0分!D" &amp; (ROW()-2)*7+2 &amp; ":D" &amp; (ROW()-1)*7+1))/7</f>
        <v/>
      </c>
      <c r="T23" s="450">
        <f>'i9'!B24</f>
        <v/>
      </c>
      <c r="U23" s="42">
        <f>-((0.97-0.867)*1000000) / 50 / 4</f>
        <v/>
      </c>
      <c r="V23" s="335" t="n"/>
      <c r="W23" s="335" t="n"/>
      <c r="X23" s="335" t="n"/>
      <c r="Y23" s="335" t="n"/>
      <c r="Z23" s="335" t="n"/>
      <c r="AA23" s="578">
        <f>MAX(INDIRECT("0s!P" &amp; (ROW()-2)*7+6 &amp; ":P" &amp; (ROW()-1)*7+5))</f>
        <v/>
      </c>
      <c r="AB23" s="55">
        <f>MIN(INDIRECT("0s!Q" &amp; (ROW()-2)*7+6 &amp; ":Q" &amp; (ROW()-1)*7+5))</f>
        <v/>
      </c>
      <c r="AC23" s="578">
        <f>AVERAGE(INDIRECT("0s!R" &amp; (ROW()-2)*7+6 &amp; ":R" &amp; (ROW()-1)*7+5))</f>
        <v/>
      </c>
      <c r="AD23" s="579" t="n"/>
      <c r="AE23" s="39">
        <f>SUM(INDIRECT("0分!Y" &amp; (ROW()-2)*7-3 &amp; ":Y" &amp; (ROW()-1)*7+-4))/7</f>
        <v/>
      </c>
      <c r="AF23" s="42">
        <f>P23+L23+M23</f>
        <v/>
      </c>
      <c r="AG23" s="445" t="n"/>
      <c r="AI23" s="450">
        <f>COUNTIF(INDIRECT("'0₦'!AR" &amp;((ROW()-2)*7+3) &amp; ":AR" &amp; ((ROW()-1)*7+2)), "&lt;0")</f>
        <v/>
      </c>
      <c r="AJ23" s="450">
        <f>COUNTIF(INDIRECT("'0₦'!M" &amp;((ROW()-2)*7+3) &amp; ":M" &amp; ((ROW()-1)*7+2)), "&lt;&gt;")</f>
        <v/>
      </c>
      <c r="AK23" s="450">
        <f>COUNTIF(INDIRECT("'0₦'!O" &amp;((ROW()-2)*7+3) &amp; ":O" &amp; ((ROW()-1)*7+2)), "&lt;&gt;")</f>
        <v/>
      </c>
      <c r="AL23" s="42">
        <f>SUM(INDIRECT("0₦!AR" &amp; (ROW()-2)*7+3 &amp; ":AR" &amp; (ROW()-1)*7+2))/7</f>
        <v/>
      </c>
      <c r="AM23" s="42">
        <f>SUM(INDIRECT("0₦!AS" &amp; (ROW()-2)*7+3 &amp; ":AS" &amp; (ROW()-1)*7+2))/7</f>
        <v/>
      </c>
      <c r="AN23" s="42">
        <f>SUM(INDIRECT("0₦!AT" &amp; (ROW()-2)*7+3 &amp; ":AT" &amp; (ROW()-1)*7+2))/7</f>
        <v/>
      </c>
      <c r="AO23" s="42">
        <f>SUM(INDIRECT("0₦!AU" &amp; (ROW()-2)*7+3 &amp; ":AU" &amp; (ROW()-1)*7+2))/7</f>
        <v/>
      </c>
      <c r="AP23" s="42">
        <f>SUM(AO23+AN23/2+AM23*0.1-AL23)</f>
        <v/>
      </c>
      <c r="AQ23" s="42" t="n"/>
      <c r="AR23" s="42" t="n"/>
      <c r="AU23" s="296">
        <f>SUM(INDIRECT("0分!AJ" &amp; (ROW()-2)*7 -1 &amp; ":AJ" &amp; (ROW()-1)*7-2))/7</f>
        <v/>
      </c>
      <c r="AV23" s="534">
        <f>COUNTIFS('0分'!E71:E105,"&gt;600",'0分'!E71:E105,"&lt;1000")/35</f>
        <v/>
      </c>
      <c r="AW23" s="534">
        <f>COUNTIF('0分'!E149:E183,"&gt;1")/35</f>
        <v/>
      </c>
      <c r="AX23" s="534">
        <f>COUNTIF('0分'!F71:F105,"&gt;0")/35</f>
        <v/>
      </c>
      <c r="AY23" s="533">
        <f>AVERAGE(L23:L27)</f>
        <v/>
      </c>
      <c r="AZ23" s="533">
        <f>AVERAGE(N23:N27)</f>
        <v/>
      </c>
      <c r="BA23" s="533">
        <f>AVERAGE(O23:O27)</f>
        <v/>
      </c>
      <c r="BB23" s="533">
        <f>AVERAGE(E23:E27)</f>
        <v/>
      </c>
      <c r="BC23" s="533">
        <f>AVERAGE(G23:G27)</f>
        <v/>
      </c>
      <c r="BD23" s="533">
        <f>AVERAGE(H23:H27)</f>
        <v/>
      </c>
      <c r="BE23" s="533">
        <f>AVERAGE(I23:I27)</f>
        <v/>
      </c>
      <c r="BF23" s="533">
        <f>AVERAGE(J23:J27)</f>
        <v/>
      </c>
      <c r="BG23" s="537" t="n"/>
      <c r="BH23" s="532">
        <f>AVERAGE(P23:P27)</f>
        <v/>
      </c>
      <c r="BI23" s="537" t="n"/>
      <c r="BJ23" s="533">
        <f>AVERAGE(C23:C27)/7</f>
        <v/>
      </c>
      <c r="BK23" s="537" t="n"/>
      <c r="BL23" s="537" t="n"/>
      <c r="BM23" s="532">
        <f>AVERAGE(#REF!)</f>
        <v/>
      </c>
      <c r="BO23" s="581">
        <f>AVERAGE($AC23:$AC27)</f>
        <v/>
      </c>
      <c r="BY23" s="531" t="n"/>
      <c r="CA23" s="296">
        <f>AVERAGE(F23:F26)</f>
        <v/>
      </c>
      <c r="CB23" s="296" t="n"/>
      <c r="CC23" s="296">
        <f>AVERAGE(G23:G26)</f>
        <v/>
      </c>
      <c r="CD23" s="296">
        <f>AVERAGE(H23:H26)</f>
        <v/>
      </c>
      <c r="CE23" s="296">
        <f>AVERAGE(I23:I26)</f>
        <v/>
      </c>
      <c r="CF23" s="296">
        <f>BF23</f>
        <v/>
      </c>
      <c r="CG23" s="2">
        <f>SUM(N23:N26)/COUNT(N23:N26)</f>
        <v/>
      </c>
      <c r="CH23" s="2">
        <f>AVERAGE(M23:M26)</f>
        <v/>
      </c>
      <c r="CI23" s="2">
        <f>AVERAGE(L23:L26)</f>
        <v/>
      </c>
      <c r="CJ23" s="2">
        <f>AVERAGE(O23:O26)</f>
        <v/>
      </c>
      <c r="CK23" s="335">
        <f>SUM('0分'!#REF!)</f>
        <v/>
      </c>
      <c r="CL23" s="2">
        <f>AVERAGE(P23:P26)</f>
        <v/>
      </c>
      <c r="CM23" s="445" t="n"/>
    </row>
    <row r="24" ht="45.95" customHeight="1" s="37">
      <c r="A24" s="142">
        <f>A23+0.1</f>
        <v/>
      </c>
      <c r="B24" s="142">
        <f>B23+1</f>
        <v/>
      </c>
      <c r="C24" s="94">
        <f>SUM(INDIRECT("0分!D" &amp; (ROW()-2)*7+2 &amp; ":D" &amp; (ROW()-1)*7+1))</f>
        <v/>
      </c>
      <c r="D24" s="343" t="n"/>
      <c r="E24" s="42">
        <f>'1₦+'!AN26/7</f>
        <v/>
      </c>
      <c r="F24" s="42">
        <f>AVERAGE(INDIRECT("0分!Y" &amp; (ROW()-2)*7+3 &amp; ":Y" &amp; (ROW()-1)*7+2))</f>
        <v/>
      </c>
      <c r="G24" s="42">
        <f>AVERAGE(INDIRECT("0分!Z" &amp; (ROW()-2)*7+2 &amp; ":Z" &amp; (ROW()-1)*7+1))</f>
        <v/>
      </c>
      <c r="H24" s="42">
        <f>AVERAGE(INDIRECT("0分!AA" &amp; (ROW()-2)*7+3 &amp; ":AA" &amp; (ROW()-1)*7+2))</f>
        <v/>
      </c>
      <c r="I24" s="42">
        <f>AVERAGE(INDIRECT("0分!Y" &amp; (ROW()-2)*7+3 &amp; ":Y" &amp; (ROW()-1)*7+2))</f>
        <v/>
      </c>
      <c r="J24" s="42">
        <f>SUM(INDIRECT("0分!AE"&amp;(ROW()-2)*7+2&amp;":AE"&amp;(ROW()-1)*7+1))/7</f>
        <v/>
      </c>
      <c r="K24" s="313">
        <f t="array" ref="K24">INDIRECT("hcbi!BL"&amp;(ROW()-1)*7+-3)/7</f>
        <v/>
      </c>
      <c r="L24" s="240">
        <f>AVERAGE(INDIRECT("0分!AD"&amp;(ROW()-2)*7+2&amp;":AD"&amp;(ROW()-1)*7+1))</f>
        <v/>
      </c>
      <c r="M24" s="42">
        <f>AVERAGE(INDIRECT("0₦!BD"&amp;(ROW()-2)*7+6&amp;":BC"&amp;(ROW())*7 - 1))</f>
        <v/>
      </c>
      <c r="N24" s="42">
        <f>AVERAGE(INDIRECT("0分!AF"&amp;(ROW()-2)*7+2&amp;":AF"&amp;(ROW()-1)*7+1))</f>
        <v/>
      </c>
      <c r="O24" s="288">
        <f>AVERAGE(INDIRECT("0分!AH"&amp;(ROW()-2)*7+1&amp;":AH"&amp;(ROW()-1)*7))</f>
        <v/>
      </c>
      <c r="P24" s="42">
        <f>AVERAGE(INDIRECT("0₦!BC"&amp;(ROW()-2)*7+1&amp;":BB"&amp;(ROW()-1)*7))</f>
        <v/>
      </c>
      <c r="S24" s="42">
        <f>SUM(INDIRECT("0分!D" &amp; (ROW()-2)*7+2 &amp; ":D" &amp; (ROW()-1)*7+1))/7</f>
        <v/>
      </c>
      <c r="T24" s="450">
        <f>'i9'!B25</f>
        <v/>
      </c>
      <c r="U24" s="42">
        <f>-((0.97-0.867)*1000000) / 50 / 4</f>
        <v/>
      </c>
      <c r="V24" s="335" t="n"/>
      <c r="W24" s="335" t="n"/>
      <c r="X24" s="335" t="n"/>
      <c r="Y24" s="335" t="n"/>
      <c r="Z24" s="335" t="n"/>
      <c r="AA24" s="578">
        <f>MAX(INDIRECT("0s!P" &amp; (ROW()-2)*7+6 &amp; ":P" &amp; (ROW()-1)*7+5))</f>
        <v/>
      </c>
      <c r="AB24" s="55">
        <f>MIN(INDIRECT("0s!Q" &amp; (ROW()-2)*7+6 &amp; ":Q" &amp; (ROW()-1)*7+5))</f>
        <v/>
      </c>
      <c r="AC24" s="578">
        <f>AVERAGE(INDIRECT("0s!R" &amp; (ROW()-2)*7+6 &amp; ":R" &amp; (ROW()-1)*7+5))</f>
        <v/>
      </c>
      <c r="AD24" s="579" t="n"/>
      <c r="AE24" s="39">
        <f>SUM(INDIRECT("0分!Y" &amp; (ROW()-2)*7-3 &amp; ":Y" &amp; (ROW()-1)*7+-4))/7</f>
        <v/>
      </c>
      <c r="AF24" s="42">
        <f>P24+L24+M24</f>
        <v/>
      </c>
      <c r="AG24" s="445" t="n"/>
      <c r="AI24" s="450">
        <f>COUNTIF(INDIRECT("'0₦'!AR" &amp;((ROW()-2)*7+3) &amp; ":AR" &amp; ((ROW()-1)*7+2)), "&lt;0")</f>
        <v/>
      </c>
      <c r="AJ24" s="450">
        <f>COUNTIF(INDIRECT("'0₦'!M" &amp;((ROW()-2)*7+3) &amp; ":M" &amp; ((ROW()-1)*7+2)), "&lt;&gt;")</f>
        <v/>
      </c>
      <c r="AK24" s="450">
        <f>COUNTIF(INDIRECT("'0₦'!O" &amp;((ROW()-2)*7+3) &amp; ":O" &amp; ((ROW()-1)*7+2)), "&lt;&gt;")</f>
        <v/>
      </c>
      <c r="AL24" s="42">
        <f>SUM(INDIRECT("0₦!AR" &amp; (ROW()-2)*7+3 &amp; ":AR" &amp; (ROW()-1)*7+2))/7</f>
        <v/>
      </c>
      <c r="AM24" s="42">
        <f>SUM(INDIRECT("0₦!AS" &amp; (ROW()-2)*7+3 &amp; ":AS" &amp; (ROW()-1)*7+2))/7</f>
        <v/>
      </c>
      <c r="AN24" s="42">
        <f>SUM(INDIRECT("0₦!AT" &amp; (ROW()-2)*7+3 &amp; ":AT" &amp; (ROW()-1)*7+2))/7</f>
        <v/>
      </c>
      <c r="AO24" s="42">
        <f>SUM(INDIRECT("0₦!AU" &amp; (ROW()-2)*7+3 &amp; ":AU" &amp; (ROW()-1)*7+2))/7</f>
        <v/>
      </c>
      <c r="AP24" s="42">
        <f>SUM(AO24+AN24/2+AM24*0.1-AL24)</f>
        <v/>
      </c>
      <c r="AQ24" s="42" t="n"/>
      <c r="AR24" s="42" t="n"/>
      <c r="AU24" s="296">
        <f>SUM(INDIRECT("0分!AJ" &amp; (ROW()-2)*7 -1 &amp; ":AJ" &amp; (ROW()-1)*7-2))/7</f>
        <v/>
      </c>
      <c r="BI24" s="537" t="n"/>
      <c r="BY24" s="531" t="n"/>
      <c r="CA24" s="297" t="n"/>
      <c r="CB24" s="297" t="n"/>
      <c r="CC24" s="297" t="n"/>
      <c r="CD24" s="297" t="n"/>
      <c r="CE24" s="297" t="n"/>
      <c r="CF24" s="297" t="n"/>
      <c r="CG24" s="297" t="n"/>
      <c r="CH24" s="297" t="n"/>
      <c r="CI24" s="297" t="n"/>
      <c r="CJ24" s="297" t="n"/>
      <c r="CK24" s="297" t="n"/>
      <c r="CL24" s="297" t="n"/>
      <c r="CM24" s="445" t="n"/>
    </row>
    <row r="25" ht="45.95" customHeight="1" s="37">
      <c r="A25" s="142">
        <f>A24+0.1</f>
        <v/>
      </c>
      <c r="B25" s="142">
        <f>B24+1</f>
        <v/>
      </c>
      <c r="C25" s="94">
        <f>SUM(INDIRECT("0分!D" &amp; (ROW()-2)*7+2 &amp; ":D" &amp; (ROW()-1)*7+1))</f>
        <v/>
      </c>
      <c r="D25" s="343" t="n"/>
      <c r="E25" s="42">
        <f>'1₦+'!AN27/7</f>
        <v/>
      </c>
      <c r="F25" s="42">
        <f>AVERAGE(INDIRECT("0分!Y" &amp; (ROW()-2)*7+3 &amp; ":Y" &amp; (ROW()-1)*7+2))</f>
        <v/>
      </c>
      <c r="G25" s="42">
        <f>AVERAGE(INDIRECT("0分!Z" &amp; (ROW()-2)*7+2 &amp; ":Z" &amp; (ROW()-1)*7+1))</f>
        <v/>
      </c>
      <c r="H25" s="42">
        <f>AVERAGE(INDIRECT("0分!AA" &amp; (ROW()-2)*7+3 &amp; ":AA" &amp; (ROW()-1)*7+2))</f>
        <v/>
      </c>
      <c r="I25" s="42">
        <f>AVERAGE(INDIRECT("0分!Y" &amp; (ROW()-2)*7+3 &amp; ":Y" &amp; (ROW()-1)*7+2))</f>
        <v/>
      </c>
      <c r="J25" s="42">
        <f>SUM(INDIRECT("0分!AE"&amp;(ROW()-2)*7+2&amp;":AE"&amp;(ROW()-1)*7+1))/7</f>
        <v/>
      </c>
      <c r="K25" s="313">
        <f t="array" ref="K25">INDIRECT("hcbi!BL"&amp;(ROW()-1)*7+-3)/7</f>
        <v/>
      </c>
      <c r="L25" s="240">
        <f>AVERAGE(INDIRECT("0分!AD"&amp;(ROW()-2)*7+2&amp;":AD"&amp;(ROW()-1)*7+1))</f>
        <v/>
      </c>
      <c r="M25" s="42">
        <f>AVERAGE(INDIRECT("0₦!BD"&amp;(ROW()-2)*7+6&amp;":BC"&amp;(ROW())*7 - 1))</f>
        <v/>
      </c>
      <c r="N25" s="42">
        <f>AVERAGE(INDIRECT("0分!AF"&amp;(ROW()-2)*7+2&amp;":AF"&amp;(ROW()-1)*7+1))</f>
        <v/>
      </c>
      <c r="O25" s="288">
        <f>AVERAGE(INDIRECT("0分!AH"&amp;(ROW()-2)*7+1&amp;":AH"&amp;(ROW()-1)*7))</f>
        <v/>
      </c>
      <c r="P25" s="42">
        <f>AVERAGE(INDIRECT("0₦!BC"&amp;(ROW()-2)*7+1&amp;":BB"&amp;(ROW()-1)*7))</f>
        <v/>
      </c>
      <c r="S25" s="42">
        <f>SUM(INDIRECT("0分!D" &amp; (ROW()-2)*7+2 &amp; ":D" &amp; (ROW()-1)*7+1))/7</f>
        <v/>
      </c>
      <c r="T25" s="450">
        <f>'i9'!B26</f>
        <v/>
      </c>
      <c r="U25" s="42">
        <f>AVERAGE(U24,U27)</f>
        <v/>
      </c>
      <c r="V25" s="335" t="n"/>
      <c r="W25" s="335" t="n"/>
      <c r="X25" s="335" t="n"/>
      <c r="Y25" s="335" t="n"/>
      <c r="Z25" s="335" t="n"/>
      <c r="AA25" s="578">
        <f>MAX(INDIRECT("0s!P" &amp; (ROW()-2)*7+6 &amp; ":P" &amp; (ROW()-1)*7+5))</f>
        <v/>
      </c>
      <c r="AB25" s="55">
        <f>MIN(INDIRECT("0s!Q" &amp; (ROW()-2)*7+6 &amp; ":Q" &amp; (ROW()-1)*7+5))</f>
        <v/>
      </c>
      <c r="AC25" s="578">
        <f>AVERAGE(INDIRECT("0s!R" &amp; (ROW()-2)*7+6 &amp; ":R" &amp; (ROW()-1)*7+5))</f>
        <v/>
      </c>
      <c r="AD25" s="579" t="n"/>
      <c r="AE25" s="39">
        <f>SUM(INDIRECT("0分!Y" &amp; (ROW()-2)*7-3 &amp; ":Y" &amp; (ROW()-1)*7+-4))/7</f>
        <v/>
      </c>
      <c r="AF25" s="42">
        <f>P25+L25+M25</f>
        <v/>
      </c>
      <c r="AG25" s="445" t="n"/>
      <c r="AI25" s="450">
        <f>COUNTIF(INDIRECT("'0₦'!AR" &amp;((ROW()-2)*7+3) &amp; ":AR" &amp; ((ROW()-1)*7+2)), "&lt;0")</f>
        <v/>
      </c>
      <c r="AJ25" s="450">
        <f>COUNTIF(INDIRECT("'0₦'!M" &amp;((ROW()-2)*7+3) &amp; ":M" &amp; ((ROW()-1)*7+2)), "&lt;&gt;")</f>
        <v/>
      </c>
      <c r="AK25" s="450">
        <f>COUNTIF(INDIRECT("'0₦'!O" &amp;((ROW()-2)*7+3) &amp; ":O" &amp; ((ROW()-1)*7+2)), "&lt;&gt;")</f>
        <v/>
      </c>
      <c r="AL25" s="42">
        <f>SUM(INDIRECT("0₦!AR" &amp; (ROW()-2)*7+3 &amp; ":AR" &amp; (ROW()-1)*7+2))/7</f>
        <v/>
      </c>
      <c r="AM25" s="42">
        <f>SUM(INDIRECT("0₦!AS" &amp; (ROW()-2)*7+3 &amp; ":AS" &amp; (ROW()-1)*7+2))/7</f>
        <v/>
      </c>
      <c r="AN25" s="42">
        <f>SUM(INDIRECT("0₦!AT" &amp; (ROW()-2)*7+3 &amp; ":AT" &amp; (ROW()-1)*7+2))/7</f>
        <v/>
      </c>
      <c r="AO25" s="42">
        <f>SUM(INDIRECT("0₦!AU" &amp; (ROW()-2)*7+3 &amp; ":AU" &amp; (ROW()-1)*7+2))/7</f>
        <v/>
      </c>
      <c r="AP25" s="42">
        <f>SUM(AO25+AN25/2+AM25*0.1-AL25)</f>
        <v/>
      </c>
      <c r="AQ25" s="42" t="n"/>
      <c r="AR25" s="42" t="n"/>
      <c r="AU25" s="296">
        <f>SUM(INDIRECT("0分!AJ" &amp; (ROW()-2)*7 -1 &amp; ":AJ" &amp; (ROW()-1)*7-2))/7</f>
        <v/>
      </c>
      <c r="BI25" s="537" t="n"/>
      <c r="BY25" s="531" t="n"/>
    </row>
    <row r="26" ht="45.95" customHeight="1" s="37">
      <c r="A26" s="142">
        <f>A25+0.1</f>
        <v/>
      </c>
      <c r="B26" s="142">
        <f>B25+1</f>
        <v/>
      </c>
      <c r="C26" s="94">
        <f>SUM(INDIRECT("0分!D" &amp; (ROW()-2)*7+2 &amp; ":D" &amp; (ROW()-1)*7+1))</f>
        <v/>
      </c>
      <c r="D26" s="343" t="n"/>
      <c r="E26" s="42">
        <f>'1₦+'!AN28/7</f>
        <v/>
      </c>
      <c r="F26" s="42">
        <f>AVERAGE(INDIRECT("0分!Y" &amp; (ROW()-2)*7+3 &amp; ":Y" &amp; (ROW()-1)*7+2))</f>
        <v/>
      </c>
      <c r="G26" s="42">
        <f>AVERAGE(INDIRECT("0分!Z" &amp; (ROW()-2)*7+2 &amp; ":Z" &amp; (ROW()-1)*7+1))</f>
        <v/>
      </c>
      <c r="H26" s="42">
        <f>AVERAGE(INDIRECT("0分!AA" &amp; (ROW()-2)*7+3 &amp; ":AA" &amp; (ROW()-1)*7+2))</f>
        <v/>
      </c>
      <c r="I26" s="42">
        <f>AVERAGE(INDIRECT("0分!Y" &amp; (ROW()-2)*7+3 &amp; ":Y" &amp; (ROW()-1)*7+2))</f>
        <v/>
      </c>
      <c r="J26" s="42">
        <f>SUM(INDIRECT("0分!AE"&amp;(ROW()-2)*7+2&amp;":AE"&amp;(ROW()-1)*7+1))/7</f>
        <v/>
      </c>
      <c r="K26" s="313">
        <f t="array" ref="K26">INDIRECT("hcbi!BL"&amp;(ROW()-1)*7+-3)/7</f>
        <v/>
      </c>
      <c r="L26" s="240">
        <f>AVERAGE(INDIRECT("0分!AD"&amp;(ROW()-2)*7+2&amp;":AD"&amp;(ROW()-1)*7+1))</f>
        <v/>
      </c>
      <c r="M26" s="42">
        <f>AVERAGE(INDIRECT("0₦!BD"&amp;(ROW()-2)*7+6&amp;":BC"&amp;(ROW())*7 - 1))</f>
        <v/>
      </c>
      <c r="N26" s="42">
        <f>AVERAGE(INDIRECT("0分!AF"&amp;(ROW()-2)*7+2&amp;":AF"&amp;(ROW()-1)*7+1))</f>
        <v/>
      </c>
      <c r="O26" s="288">
        <f>AVERAGE(INDIRECT("0分!AH"&amp;(ROW()-2)*7+1&amp;":AH"&amp;(ROW()-1)*7))</f>
        <v/>
      </c>
      <c r="P26" s="42">
        <f>AVERAGE(INDIRECT("0₦!BC"&amp;(ROW()-2)*7+1&amp;":BB"&amp;(ROW()-1)*7))</f>
        <v/>
      </c>
      <c r="S26" s="42">
        <f>SUM(INDIRECT("0分!D" &amp; (ROW()-2)*7+2 &amp; ":D" &amp; (ROW()-1)*7+1))/7</f>
        <v/>
      </c>
      <c r="T26" s="450">
        <f>'i9'!B27</f>
        <v/>
      </c>
      <c r="U26" s="42">
        <f>-((0.97-0.87)*1000000) / 50 / 4</f>
        <v/>
      </c>
      <c r="V26" s="335" t="n"/>
      <c r="W26" s="335" t="n"/>
      <c r="X26" s="335" t="n"/>
      <c r="Y26" s="335" t="n"/>
      <c r="Z26" s="335" t="n"/>
      <c r="AA26" s="578">
        <f>MAX(INDIRECT("0s!P" &amp; (ROW()-2)*7+6 &amp; ":P" &amp; (ROW()-1)*7+5))</f>
        <v/>
      </c>
      <c r="AB26" s="55">
        <f>MIN(INDIRECT("0s!Q" &amp; (ROW()-2)*7+6 &amp; ":Q" &amp; (ROW()-1)*7+5))</f>
        <v/>
      </c>
      <c r="AC26" s="578">
        <f>AVERAGE(INDIRECT("0s!R" &amp; (ROW()-2)*7+6 &amp; ":R" &amp; (ROW()-1)*7+5))</f>
        <v/>
      </c>
      <c r="AD26" s="579" t="n"/>
      <c r="AE26" s="39">
        <f>SUM(INDIRECT("0分!Y" &amp; (ROW()-2)*7-3 &amp; ":Y" &amp; (ROW()-1)*7+-4))/7</f>
        <v/>
      </c>
      <c r="AF26" s="42">
        <f>P26+L26+M26</f>
        <v/>
      </c>
      <c r="AG26" s="445" t="n"/>
      <c r="AI26" s="450">
        <f>COUNTIF(INDIRECT("'0₦'!AR" &amp;((ROW()-2)*7+3) &amp; ":AR" &amp; ((ROW()-1)*7+2)), "&lt;0")</f>
        <v/>
      </c>
      <c r="AJ26" s="450">
        <f>COUNTIF(INDIRECT("'0₦'!M" &amp;((ROW()-2)*7+3) &amp; ":M" &amp; ((ROW()-1)*7+2)), "&lt;&gt;")</f>
        <v/>
      </c>
      <c r="AK26" s="450">
        <f>COUNTIF(INDIRECT("'0₦'!O" &amp;((ROW()-2)*7+3) &amp; ":O" &amp; ((ROW()-1)*7+2)), "&lt;&gt;")</f>
        <v/>
      </c>
      <c r="AL26" s="42">
        <f>SUM(INDIRECT("0₦!AR" &amp; (ROW()-2)*7+3 &amp; ":AR" &amp; (ROW()-1)*7+2))/7</f>
        <v/>
      </c>
      <c r="AM26" s="42">
        <f>SUM(INDIRECT("0₦!AS" &amp; (ROW()-2)*7+3 &amp; ":AS" &amp; (ROW()-1)*7+2))/7</f>
        <v/>
      </c>
      <c r="AN26" s="42">
        <f>SUM(INDIRECT("0₦!AT" &amp; (ROW()-2)*7+3 &amp; ":AT" &amp; (ROW()-1)*7+2))/7</f>
        <v/>
      </c>
      <c r="AO26" s="42">
        <f>SUM(INDIRECT("0₦!AU" &amp; (ROW()-2)*7+3 &amp; ":AU" &amp; (ROW()-1)*7+2))/7</f>
        <v/>
      </c>
      <c r="AP26" s="42">
        <f>SUM(AO26+AN26/2+AM26*0.1-AL26)</f>
        <v/>
      </c>
      <c r="AQ26" s="42" t="n"/>
      <c r="AR26" s="42" t="n"/>
      <c r="AU26" s="296">
        <f>SUM(INDIRECT("0分!AJ" &amp; (ROW()-2)*7 -1 &amp; ":AJ" &amp; (ROW()-1)*7-2))/7</f>
        <v/>
      </c>
      <c r="BI26" s="537" t="n"/>
      <c r="BY26" s="531" t="n"/>
    </row>
    <row r="27" ht="51" customHeight="1" s="37">
      <c r="A27" s="143">
        <f>A26+0.1</f>
        <v/>
      </c>
      <c r="B27" s="142">
        <f>B26+1</f>
        <v/>
      </c>
      <c r="C27" s="94">
        <f>SUM(INDIRECT("0分!D" &amp; (ROW()-2)*7+2 &amp; ":D" &amp; (ROW()-1)*7+1))</f>
        <v/>
      </c>
      <c r="D27" s="343" t="n"/>
      <c r="E27" s="42">
        <f>'1₦+'!AN29/7</f>
        <v/>
      </c>
      <c r="F27" s="42">
        <f>AVERAGE(INDIRECT("0分!Y" &amp; (ROW()-2)*7+3 &amp; ":Y" &amp; (ROW()-1)*7+2))</f>
        <v/>
      </c>
      <c r="G27" s="42">
        <f>AVERAGE(INDIRECT("0分!Z" &amp; (ROW()-2)*7+2 &amp; ":Z" &amp; (ROW()-1)*7+1))</f>
        <v/>
      </c>
      <c r="H27" s="42">
        <f>AVERAGE(INDIRECT("0分!AA" &amp; (ROW()-2)*7+3 &amp; ":AA" &amp; (ROW()-1)*7+2))</f>
        <v/>
      </c>
      <c r="I27" s="42">
        <f>AVERAGE(INDIRECT("0分!Y" &amp; (ROW()-2)*7+3 &amp; ":Y" &amp; (ROW()-1)*7+2))</f>
        <v/>
      </c>
      <c r="J27" s="42">
        <f>SUM(INDIRECT("0分!AE"&amp;(ROW()-2)*7+2&amp;":AE"&amp;(ROW()-1)*7+1))/7</f>
        <v/>
      </c>
      <c r="K27" s="313">
        <f t="array" ref="K27">INDIRECT("hcbi!BL"&amp;(ROW()-1)*7+-3)/7</f>
        <v/>
      </c>
      <c r="L27" s="240">
        <f>AVERAGE(INDIRECT("0分!AD"&amp;(ROW()-2)*7+2&amp;":AD"&amp;(ROW()-1)*7+1))</f>
        <v/>
      </c>
      <c r="M27" s="42">
        <f>AVERAGE(INDIRECT("0₦!BD"&amp;(ROW()-2)*7+6&amp;":BC"&amp;(ROW())*7 - 1))</f>
        <v/>
      </c>
      <c r="N27" s="42">
        <f>AVERAGE(INDIRECT("0分!AF"&amp;(ROW()-2)*7+2&amp;":AF"&amp;(ROW()-1)*7+1))</f>
        <v/>
      </c>
      <c r="O27" s="288">
        <f>AVERAGE(INDIRECT("0分!AH"&amp;(ROW()-2)*7+1&amp;":AH"&amp;(ROW()-1)*7))</f>
        <v/>
      </c>
      <c r="P27" s="42">
        <f>AVERAGE(INDIRECT("0₦!BC"&amp;(ROW()-2)*7+1&amp;":BB"&amp;(ROW()-1)*7))</f>
        <v/>
      </c>
      <c r="S27" s="42">
        <f>SUM(INDIRECT("0分!D" &amp; (ROW()-2)*7+2 &amp; ":D" &amp; (ROW()-1)*7+1))/7</f>
        <v/>
      </c>
      <c r="T27" s="450">
        <f>'i9'!B28</f>
        <v/>
      </c>
      <c r="U27" s="42">
        <f>-((0.97-0.868)*1000000) / 50 / 4</f>
        <v/>
      </c>
      <c r="V27" s="335" t="n"/>
      <c r="W27" s="335" t="n"/>
      <c r="X27" s="335" t="n"/>
      <c r="Y27" s="335" t="n"/>
      <c r="Z27" s="335" t="n"/>
      <c r="AA27" s="578">
        <f>MAX(INDIRECT("0s!P" &amp; (ROW()-2)*7+6 &amp; ":P" &amp; (ROW()-1)*7+5))</f>
        <v/>
      </c>
      <c r="AB27" s="55">
        <f>MIN(INDIRECT("0s!Q" &amp; (ROW()-2)*7+6 &amp; ":Q" &amp; (ROW()-1)*7+5))</f>
        <v/>
      </c>
      <c r="AC27" s="578">
        <f>AVERAGE(INDIRECT("0s!R" &amp; (ROW()-2)*7+6 &amp; ":R" &amp; (ROW()-1)*7+5))</f>
        <v/>
      </c>
      <c r="AD27" s="579" t="n"/>
      <c r="AE27" s="39">
        <f>SUM(INDIRECT("0分!Y" &amp; (ROW()-2)*7-3 &amp; ":Y" &amp; (ROW()-1)*7+-4))/7</f>
        <v/>
      </c>
      <c r="AF27" s="42">
        <f>P27+L27+M27</f>
        <v/>
      </c>
      <c r="AG27" s="445" t="n"/>
      <c r="AI27" s="450">
        <f>COUNTIF(INDIRECT("'0₦'!AR" &amp;((ROW()-2)*7+3) &amp; ":AR" &amp; ((ROW()-1)*7+2)), "&lt;0")</f>
        <v/>
      </c>
      <c r="AJ27" s="450">
        <f>COUNTIF(INDIRECT("'0₦'!M" &amp;((ROW()-2)*7+3) &amp; ":M" &amp; ((ROW()-1)*7+2)), "&lt;&gt;")</f>
        <v/>
      </c>
      <c r="AK27" s="450">
        <f>COUNTIF(INDIRECT("'0₦'!O" &amp;((ROW()-2)*7+3) &amp; ":O" &amp; ((ROW()-1)*7+2)), "&lt;&gt;")</f>
        <v/>
      </c>
      <c r="AL27" s="42">
        <f>SUM(INDIRECT("0₦!AR" &amp; (ROW()-2)*7+3 &amp; ":AR" &amp; (ROW()-1)*7+2))/7</f>
        <v/>
      </c>
      <c r="AM27" s="42">
        <f>SUM(INDIRECT("0₦!AS" &amp; (ROW()-2)*7+3 &amp; ":AS" &amp; (ROW()-1)*7+2))/7</f>
        <v/>
      </c>
      <c r="AN27" s="42">
        <f>SUM(INDIRECT("0₦!AT" &amp; (ROW()-2)*7+3 &amp; ":AT" &amp; (ROW()-1)*7+2))/7</f>
        <v/>
      </c>
      <c r="AO27" s="42">
        <f>SUM(INDIRECT("0₦!AU" &amp; (ROW()-2)*7+3 &amp; ":AU" &amp; (ROW()-1)*7+2))/7</f>
        <v/>
      </c>
      <c r="AP27" s="42">
        <f>SUM(AO27+AN27/2+AM27*0.1-AL27)</f>
        <v/>
      </c>
      <c r="AQ27" s="42" t="n"/>
      <c r="AR27" s="42" t="n"/>
      <c r="AU27" s="296">
        <f>SUM(INDIRECT("0分!AJ" &amp; (ROW()-2)*7 -1 &amp; ":AJ" &amp; (ROW()-1)*7-2))/7</f>
        <v/>
      </c>
      <c r="BI27" s="537" t="n"/>
      <c r="BY27" s="531" t="n"/>
    </row>
    <row r="28" ht="51" customHeight="1" s="37">
      <c r="A28" s="143">
        <f>A15+3</f>
        <v/>
      </c>
      <c r="B28" s="142">
        <f>B27+1</f>
        <v/>
      </c>
      <c r="C28" s="94">
        <f>SUM(INDIRECT("0分!D" &amp; (ROW()-2)*7+2 &amp; ":D" &amp; (ROW()-1)*7+1))</f>
        <v/>
      </c>
      <c r="D28" s="343" t="n"/>
      <c r="E28" s="42">
        <f>'1₦+'!AN30/7</f>
        <v/>
      </c>
      <c r="F28" s="42">
        <f>AVERAGE(INDIRECT("0分!Y" &amp; (ROW()-2)*7+3 &amp; ":Y" &amp; (ROW()-1)*7+2))</f>
        <v/>
      </c>
      <c r="G28" s="42">
        <f>AVERAGE(INDIRECT("0分!Z" &amp; (ROW()-2)*7+2 &amp; ":Z" &amp; (ROW()-1)*7+1))</f>
        <v/>
      </c>
      <c r="H28" s="42">
        <f>AVERAGE(INDIRECT("0分!AA" &amp; (ROW()-2)*7+3 &amp; ":AA" &amp; (ROW()-1)*7+2))</f>
        <v/>
      </c>
      <c r="I28" s="42">
        <f>AVERAGE(INDIRECT("0分!Y" &amp; (ROW()-2)*7+3 &amp; ":Y" &amp; (ROW()-1)*7+2))</f>
        <v/>
      </c>
      <c r="J28" s="42">
        <f>SUM(INDIRECT("0分!AE"&amp;(ROW()-2)*7+2&amp;":AE"&amp;(ROW()-1)*7+1))/7</f>
        <v/>
      </c>
      <c r="K28" s="313">
        <f t="array" ref="K28">INDIRECT("hcbi!BL"&amp;(ROW()-1)*7+-3)/7</f>
        <v/>
      </c>
      <c r="L28" s="240">
        <f>AVERAGE(INDIRECT("0分!AD"&amp;(ROW()-2)*7+2&amp;":AD"&amp;(ROW()-1)*7+1))</f>
        <v/>
      </c>
      <c r="M28" s="42">
        <f>AVERAGE(INDIRECT("0₦!BD"&amp;(ROW()-2)*7+6&amp;":BC"&amp;(ROW())*7 - 1))</f>
        <v/>
      </c>
      <c r="N28" s="42">
        <f>AVERAGE(INDIRECT("0分!AF"&amp;(ROW()-2)*7+2&amp;":AF"&amp;(ROW()-1)*7+1))</f>
        <v/>
      </c>
      <c r="O28" s="288">
        <f>AVERAGE(INDIRECT("0分!AH"&amp;(ROW()-2)*7+1&amp;":AH"&amp;(ROW()-1)*7))</f>
        <v/>
      </c>
      <c r="P28" s="42">
        <f>AVERAGE(INDIRECT("0₦!BC"&amp;(ROW()-2)*7+1&amp;":BB"&amp;(ROW()-1)*7))</f>
        <v/>
      </c>
      <c r="S28" s="42">
        <f>SUM(INDIRECT("0分!D" &amp; (ROW()-2)*7+2 &amp; ":D" &amp; (ROW()-1)*7+1))/7</f>
        <v/>
      </c>
      <c r="T28" s="450">
        <f>'i9'!B29</f>
        <v/>
      </c>
      <c r="U28" s="42">
        <f>AVERAGE(U27,U29)</f>
        <v/>
      </c>
      <c r="V28" s="335" t="n"/>
      <c r="W28" s="335" t="n"/>
      <c r="X28" s="335" t="n"/>
      <c r="Y28" s="335" t="n"/>
      <c r="Z28" s="335" t="n"/>
      <c r="AA28" s="578">
        <f>MAX(INDIRECT("0s!P" &amp; (ROW()-2)*7+6 &amp; ":P" &amp; (ROW()-1)*7+5))</f>
        <v/>
      </c>
      <c r="AB28" s="55">
        <f>MIN(INDIRECT("0s!Q" &amp; (ROW()-2)*7+6 &amp; ":Q" &amp; (ROW()-1)*7+5))</f>
        <v/>
      </c>
      <c r="AC28" s="578">
        <f>AVERAGE(INDIRECT("0s!R" &amp; (ROW()-2)*7+6 &amp; ":R" &amp; (ROW()-1)*7+5))</f>
        <v/>
      </c>
      <c r="AD28" s="579" t="n"/>
      <c r="AE28" s="39">
        <f>SUM(INDIRECT("0分!Y" &amp; (ROW()-2)*7-3 &amp; ":Y" &amp; (ROW()-1)*7+-4))/7</f>
        <v/>
      </c>
      <c r="AF28" s="42">
        <f>P28+L28+M28</f>
        <v/>
      </c>
      <c r="AG28" s="445" t="n"/>
      <c r="AI28" s="450">
        <f>COUNTIF(INDIRECT("'0₦'!AR" &amp;((ROW()-2)*7+3) &amp; ":AR" &amp; ((ROW()-1)*7+2)), "&lt;0")</f>
        <v/>
      </c>
      <c r="AJ28" s="450">
        <f>COUNTIF(INDIRECT("'0₦'!M" &amp;((ROW()-2)*7+3) &amp; ":M" &amp; ((ROW()-1)*7+2)), "&lt;&gt;")</f>
        <v/>
      </c>
      <c r="AK28" s="450">
        <f>COUNTIF(INDIRECT("'0₦'!O" &amp;((ROW()-2)*7+3) &amp; ":O" &amp; ((ROW()-1)*7+2)), "&lt;&gt;")</f>
        <v/>
      </c>
      <c r="AL28" s="42">
        <f>SUM(INDIRECT("0₦!AR" &amp; (ROW()-2)*7+3 &amp; ":AR" &amp; (ROW()-1)*7+2))/7</f>
        <v/>
      </c>
      <c r="AM28" s="42">
        <f>SUM(INDIRECT("0₦!AS" &amp; (ROW()-2)*7+3 &amp; ":AS" &amp; (ROW()-1)*7+2))/7</f>
        <v/>
      </c>
      <c r="AN28" s="42">
        <f>SUM(INDIRECT("0₦!AT" &amp; (ROW()-2)*7+3 &amp; ":AT" &amp; (ROW()-1)*7+2))/7</f>
        <v/>
      </c>
      <c r="AO28" s="42">
        <f>SUM(INDIRECT("0₦!AU" &amp; (ROW()-2)*7+3 &amp; ":AU" &amp; (ROW()-1)*7+2))/7</f>
        <v/>
      </c>
      <c r="AP28" s="42">
        <f>SUM(AO28+AN28/2+AM28*0.1-AL28)</f>
        <v/>
      </c>
      <c r="AQ28" s="42" t="n"/>
      <c r="AR28" s="42" t="n"/>
      <c r="AT28" s="377" t="inlineStr">
        <is>
          <t>s w</t>
        </is>
      </c>
      <c r="AU28" s="296">
        <f>SUM(INDIRECT("0分!AJ" &amp; (ROW()-2)*7 -1 &amp; ":AJ" &amp; (ROW()-1)*7-2))/7</f>
        <v/>
      </c>
      <c r="AV28" s="534">
        <f>COUNTIFS('0分'!E184:E211,"&gt;600",'0分'!E184:E211,"&lt;1000")/28</f>
        <v/>
      </c>
      <c r="AW28" s="534">
        <f>COUNTIF('0分'!F184:F211,"&gt;1")/28</f>
        <v/>
      </c>
      <c r="AX28" s="534">
        <f>COUNTIF('0分'!F184:F211,"&gt;0")/28</f>
        <v/>
      </c>
      <c r="AY28" s="533">
        <f>SUM(L28:L31)/4</f>
        <v/>
      </c>
      <c r="AZ28" s="533">
        <f>AVERAGE(N28:N31)</f>
        <v/>
      </c>
      <c r="BA28" s="533">
        <f>AVERAGE(O28:O31)</f>
        <v/>
      </c>
      <c r="BB28" s="533">
        <f>SUM(E28:E31)/4</f>
        <v/>
      </c>
      <c r="BC28" s="533">
        <f>SUM(G28:G31)/4</f>
        <v/>
      </c>
      <c r="BD28" s="533">
        <f>SUM(H28:H31)/4</f>
        <v/>
      </c>
      <c r="BE28" s="533">
        <f>SUM(I28:I31)/4</f>
        <v/>
      </c>
      <c r="BF28" s="533">
        <f>SUM(J28:J31)/4</f>
        <v/>
      </c>
      <c r="BG28" s="537" t="n"/>
      <c r="BH28" s="532">
        <f>AVERAGE(P28:P31)</f>
        <v/>
      </c>
      <c r="BI28" s="535" t="n"/>
      <c r="BJ28" s="492">
        <f>AVERAGE(C28:C31)/7</f>
        <v/>
      </c>
      <c r="BK28" s="535" t="n"/>
      <c r="BL28" s="535" t="n"/>
      <c r="BM28" s="492">
        <f>AVERAGE(#REF!)</f>
        <v/>
      </c>
      <c r="BN28" s="582" t="n"/>
      <c r="BO28" s="581">
        <f>AVERAGE($AC28:$AC31)</f>
        <v/>
      </c>
      <c r="BP28" s="517">
        <f t="array" ref="BP28">SUMPRODUCT(('0分'!F194:F276&lt;&gt;0)*('0分'!F194:F276&lt;&gt;"n/a"))</f>
        <v/>
      </c>
      <c r="BQ28" s="517">
        <f t="array" ref="BQ28">SUMPRODUCT(('0分'!E194:E276&lt;&gt;0)*('0分'!E194:E276&lt;&gt;"n/a"))</f>
        <v/>
      </c>
      <c r="BR28" s="532">
        <f>SUM('0₦'!AW188:AW279,'0₦'!AX188:AX279,'0₦'!AY188:AY279)</f>
        <v/>
      </c>
      <c r="BS28" s="517">
        <f>SUM('0分'!Y194:Y276)</f>
        <v/>
      </c>
      <c r="BT28" s="517">
        <f>SUM(hcbi!AD189:AD280)</f>
        <v/>
      </c>
      <c r="BU28" s="517">
        <f>COUNTIF('0s'!U188:U279, "&lt;&gt;")</f>
        <v/>
      </c>
      <c r="BV28" s="532">
        <f>AVERAGE(N28:N41)</f>
        <v/>
      </c>
      <c r="BW28" s="532">
        <f>AVERAGE(#REF!)</f>
        <v/>
      </c>
      <c r="BX28" s="517">
        <f>SUM('0s'!L188:L279)</f>
        <v/>
      </c>
      <c r="BY28" s="531" t="n"/>
      <c r="CA28" s="533">
        <f>AVERAGE(F28:F31)</f>
        <v/>
      </c>
      <c r="CB28" s="533">
        <f>AVERAGE(D28:D31)</f>
        <v/>
      </c>
      <c r="CC28" s="533">
        <f>AVERAGE(G28:G31)</f>
        <v/>
      </c>
      <c r="CD28" s="533">
        <f>AVERAGE(H28:H31)</f>
        <v/>
      </c>
      <c r="CE28" s="533">
        <f>AVERAGE(I28:I31)</f>
        <v/>
      </c>
      <c r="CF28" s="533">
        <f>BF28</f>
        <v/>
      </c>
      <c r="CG28" s="532">
        <f>SUM(N28:N31)/COUNT(N28:N31)</f>
        <v/>
      </c>
      <c r="CH28" s="532">
        <f>AVERAGE(M28:M31)</f>
        <v/>
      </c>
      <c r="CI28" s="532">
        <f>AVERAGE(L28:L31)</f>
        <v/>
      </c>
      <c r="CJ28" s="532">
        <f>AVERAGE(O28:O31)</f>
        <v/>
      </c>
      <c r="CK28" s="517">
        <f>SUM('0分'!#REF!)</f>
        <v/>
      </c>
      <c r="CL28" s="532">
        <f>AVERAGE(P28:P31)</f>
        <v/>
      </c>
    </row>
    <row r="29" ht="51" customHeight="1" s="37">
      <c r="A29" s="142">
        <f>A28+0.1</f>
        <v/>
      </c>
      <c r="B29" s="142">
        <f>B28+1</f>
        <v/>
      </c>
      <c r="C29" s="94">
        <f>SUM(INDIRECT("0分!D" &amp; (ROW()-2)*7+2 &amp; ":D" &amp; (ROW()-1)*7+1))</f>
        <v/>
      </c>
      <c r="D29" s="343" t="n"/>
      <c r="E29" s="42">
        <f>'1₦+'!AN31/7</f>
        <v/>
      </c>
      <c r="F29" s="42">
        <f>AVERAGE(INDIRECT("0分!Y" &amp; (ROW()-2)*7+3 &amp; ":Y" &amp; (ROW()-1)*7+2))</f>
        <v/>
      </c>
      <c r="G29" s="42">
        <f>AVERAGE(INDIRECT("0分!Z" &amp; (ROW()-2)*7+2 &amp; ":Z" &amp; (ROW()-1)*7+1))</f>
        <v/>
      </c>
      <c r="H29" s="42">
        <f>AVERAGE(INDIRECT("0分!AA" &amp; (ROW()-2)*7+3 &amp; ":AA" &amp; (ROW()-1)*7+2))</f>
        <v/>
      </c>
      <c r="I29" s="42">
        <f>AVERAGE(INDIRECT("0分!Y" &amp; (ROW()-2)*7+3 &amp; ":Y" &amp; (ROW()-1)*7+2))</f>
        <v/>
      </c>
      <c r="J29" s="42">
        <f>SUM(INDIRECT("0分!AE"&amp;(ROW()-2)*7+2&amp;":AE"&amp;(ROW()-1)*7+1))/7</f>
        <v/>
      </c>
      <c r="K29" s="313">
        <f t="array" ref="K29">INDIRECT("hcbi!BL"&amp;(ROW()-1)*7+-3)/7</f>
        <v/>
      </c>
      <c r="L29" s="240">
        <f>AVERAGE(INDIRECT("0分!AD"&amp;(ROW()-2)*7+2&amp;":AD"&amp;(ROW()-1)*7+1))</f>
        <v/>
      </c>
      <c r="M29" s="42">
        <f>AVERAGE(INDIRECT("0₦!BD"&amp;(ROW()-2)*7+6&amp;":BC"&amp;(ROW())*7 - 1))</f>
        <v/>
      </c>
      <c r="N29" s="42">
        <f>AVERAGE(INDIRECT("0分!AF"&amp;(ROW()-2)*7+2&amp;":AF"&amp;(ROW()-1)*7+1))</f>
        <v/>
      </c>
      <c r="O29" s="288">
        <f>AVERAGE(INDIRECT("0分!AH"&amp;(ROW()-2)*7+1&amp;":AH"&amp;(ROW()-1)*7))</f>
        <v/>
      </c>
      <c r="P29" s="42">
        <f>AVERAGE(INDIRECT("0₦!BC"&amp;(ROW()-2)*7+1&amp;":BB"&amp;(ROW()-1)*7))</f>
        <v/>
      </c>
      <c r="S29" s="42">
        <f>SUM(INDIRECT("0分!D" &amp; (ROW()-2)*7+2 &amp; ":D" &amp; (ROW()-1)*7+1))/7</f>
        <v/>
      </c>
      <c r="T29" s="450">
        <f>'i9'!B30</f>
        <v/>
      </c>
      <c r="U29" s="42">
        <f>-((0.97-0.878)*1000000) / 50 / 4</f>
        <v/>
      </c>
      <c r="V29" s="335" t="n"/>
      <c r="W29" s="335" t="n"/>
      <c r="X29" s="335" t="n"/>
      <c r="Y29" s="335" t="n"/>
      <c r="Z29" s="335" t="n"/>
      <c r="AA29" s="578">
        <f>MAX(INDIRECT("0s!P" &amp; (ROW()-2)*7+6 &amp; ":P" &amp; (ROW()-1)*7+5))</f>
        <v/>
      </c>
      <c r="AB29" s="55">
        <f>MIN(INDIRECT("0s!Q" &amp; (ROW()-2)*7+6 &amp; ":Q" &amp; (ROW()-1)*7+5))</f>
        <v/>
      </c>
      <c r="AC29" s="578">
        <f>AVERAGE(INDIRECT("0s!R" &amp; (ROW()-2)*7+6 &amp; ":R" &amp; (ROW()-1)*7+5))</f>
        <v/>
      </c>
      <c r="AD29" s="579" t="n"/>
      <c r="AE29" s="39">
        <f>SUM(INDIRECT("0分!Y" &amp; (ROW()-2)*7-3 &amp; ":Y" &amp; (ROW()-1)*7+-4))/7</f>
        <v/>
      </c>
      <c r="AF29" s="42">
        <f>P29+L29+M29</f>
        <v/>
      </c>
      <c r="AG29" s="445" t="n"/>
      <c r="AI29" s="450">
        <f>COUNTIF(INDIRECT("'0₦'!AR" &amp;((ROW()-2)*7+3) &amp; ":AR" &amp; ((ROW()-1)*7+2)), "&lt;0")</f>
        <v/>
      </c>
      <c r="AJ29" s="450">
        <f>COUNTIF(INDIRECT("'0₦'!M" &amp;((ROW()-2)*7+3) &amp; ":M" &amp; ((ROW()-1)*7+2)), "&lt;&gt;")</f>
        <v/>
      </c>
      <c r="AK29" s="450">
        <f>COUNTIF(INDIRECT("'0₦'!O" &amp;((ROW()-2)*7+3) &amp; ":O" &amp; ((ROW()-1)*7+2)), "&lt;&gt;")</f>
        <v/>
      </c>
      <c r="AL29" s="42">
        <f>SUM(INDIRECT("0₦!AR" &amp; (ROW()-2)*7+3 &amp; ":AR" &amp; (ROW()-1)*7+2))/7</f>
        <v/>
      </c>
      <c r="AM29" s="42">
        <f>SUM(INDIRECT("0₦!AS" &amp; (ROW()-2)*7+3 &amp; ":AS" &amp; (ROW()-1)*7+2))/7</f>
        <v/>
      </c>
      <c r="AN29" s="42">
        <f>SUM(INDIRECT("0₦!AT" &amp; (ROW()-2)*7+3 &amp; ":AT" &amp; (ROW()-1)*7+2))/7</f>
        <v/>
      </c>
      <c r="AO29" s="42">
        <f>SUM(INDIRECT("0₦!AU" &amp; (ROW()-2)*7+3 &amp; ":AU" &amp; (ROW()-1)*7+2))/7</f>
        <v/>
      </c>
      <c r="AP29" s="42">
        <f>SUM(AO29+AN29/2+AM29*0.1-AL29)</f>
        <v/>
      </c>
      <c r="AQ29" s="42" t="n"/>
      <c r="AR29" s="42" t="n"/>
      <c r="AU29" s="296">
        <f>SUM(INDIRECT("0分!AJ" &amp; (ROW()-2)*7 -1 &amp; ":AJ" &amp; (ROW()-1)*7-2))/7</f>
        <v/>
      </c>
      <c r="BI29" s="531" t="n"/>
      <c r="BN29" s="531" t="n"/>
      <c r="BY29" s="531" t="n"/>
    </row>
    <row r="30" ht="51" customHeight="1" s="37">
      <c r="A30" s="142">
        <f>A29+0.1</f>
        <v/>
      </c>
      <c r="B30" s="142">
        <f>B29+1</f>
        <v/>
      </c>
      <c r="C30" s="94">
        <f>SUM(INDIRECT("0分!D" &amp; (ROW()-2)*7+2 &amp; ":D" &amp; (ROW()-1)*7+1))</f>
        <v/>
      </c>
      <c r="D30" s="343" t="n"/>
      <c r="E30" s="42">
        <f>'1₦+'!AN32/7</f>
        <v/>
      </c>
      <c r="F30" s="42">
        <f>AVERAGE(INDIRECT("0分!Y" &amp; (ROW()-2)*7+3 &amp; ":Y" &amp; (ROW()-1)*7+2))</f>
        <v/>
      </c>
      <c r="G30" s="42">
        <f>AVERAGE(INDIRECT("0分!Z" &amp; (ROW()-2)*7+2 &amp; ":Z" &amp; (ROW()-1)*7+1))</f>
        <v/>
      </c>
      <c r="H30" s="42">
        <f>AVERAGE(INDIRECT("0分!AA" &amp; (ROW()-2)*7+3 &amp; ":AA" &amp; (ROW()-1)*7+2))</f>
        <v/>
      </c>
      <c r="I30" s="42">
        <f>AVERAGE(INDIRECT("0分!Y" &amp; (ROW()-2)*7+3 &amp; ":Y" &amp; (ROW()-1)*7+2))</f>
        <v/>
      </c>
      <c r="J30" s="42">
        <f>SUM(INDIRECT("0分!AE"&amp;(ROW()-2)*7+2&amp;":AE"&amp;(ROW()-1)*7+1))/7</f>
        <v/>
      </c>
      <c r="K30" s="313">
        <f t="array" ref="K30">INDIRECT("hcbi!BL"&amp;(ROW()-1)*7+-3)/7</f>
        <v/>
      </c>
      <c r="L30" s="240">
        <f>AVERAGE(INDIRECT("0分!AD"&amp;(ROW()-2)*7+2&amp;":AD"&amp;(ROW()-1)*7+1))</f>
        <v/>
      </c>
      <c r="M30" s="42">
        <f>AVERAGE(INDIRECT("0₦!BD"&amp;(ROW()-2)*7+6&amp;":BC"&amp;(ROW())*7 - 1))</f>
        <v/>
      </c>
      <c r="N30" s="42">
        <f>AVERAGE(INDIRECT("0分!AF"&amp;(ROW()-2)*7+2&amp;":AF"&amp;(ROW()-1)*7+1))</f>
        <v/>
      </c>
      <c r="O30" s="288">
        <f>AVERAGE(INDIRECT("0分!AH"&amp;(ROW()-2)*7+1&amp;":AH"&amp;(ROW()-1)*7))</f>
        <v/>
      </c>
      <c r="P30" s="42">
        <f>AVERAGE(INDIRECT("0₦!BC"&amp;(ROW()-2)*7+1&amp;":BB"&amp;(ROW()-1)*7))</f>
        <v/>
      </c>
      <c r="S30" s="42">
        <f>SUM(INDIRECT("0分!D" &amp; (ROW()-2)*7+2 &amp; ":D" &amp; (ROW()-1)*7+1))/7</f>
        <v/>
      </c>
      <c r="T30" s="450">
        <f>'i9'!B31</f>
        <v/>
      </c>
      <c r="U30" s="42">
        <f>-((0.97-0.881)*1000000) / 50 / 4</f>
        <v/>
      </c>
      <c r="V30" s="335" t="n"/>
      <c r="W30" s="335" t="n"/>
      <c r="X30" s="335" t="n"/>
      <c r="Y30" s="335" t="n"/>
      <c r="Z30" s="335" t="n"/>
      <c r="AA30" s="578">
        <f>MAX(INDIRECT("0s!P" &amp; (ROW()-2)*7+6 &amp; ":P" &amp; (ROW()-1)*7+5))</f>
        <v/>
      </c>
      <c r="AB30" s="55">
        <f>MIN(INDIRECT("0s!Q" &amp; (ROW()-2)*7+6 &amp; ":Q" &amp; (ROW()-1)*7+5))</f>
        <v/>
      </c>
      <c r="AC30" s="578">
        <f>AVERAGE(INDIRECT("0s!R" &amp; (ROW()-2)*7+6 &amp; ":R" &amp; (ROW()-1)*7+5))</f>
        <v/>
      </c>
      <c r="AD30" s="579" t="n"/>
      <c r="AE30" s="39">
        <f>SUM(INDIRECT("0分!Y" &amp; (ROW()-2)*7-3 &amp; ":Y" &amp; (ROW()-1)*7+-4))/7</f>
        <v/>
      </c>
      <c r="AF30" s="42">
        <f>P30+L30+M30</f>
        <v/>
      </c>
      <c r="AG30" s="445" t="n"/>
      <c r="AI30" s="450">
        <f>COUNTIF(INDIRECT("'0₦'!AR" &amp;((ROW()-2)*7+3) &amp; ":AR" &amp; ((ROW()-1)*7+2)), "&lt;0")</f>
        <v/>
      </c>
      <c r="AJ30" s="450">
        <f>COUNTIF(INDIRECT("'0₦'!M" &amp;((ROW()-2)*7+3) &amp; ":M" &amp; ((ROW()-1)*7+2)), "&lt;&gt;")</f>
        <v/>
      </c>
      <c r="AK30" s="450">
        <f>COUNTIF(INDIRECT("'0₦'!O" &amp;((ROW()-2)*7+3) &amp; ":O" &amp; ((ROW()-1)*7+2)), "&lt;&gt;")</f>
        <v/>
      </c>
      <c r="AL30" s="42">
        <f>SUM(INDIRECT("0₦!AR" &amp; (ROW()-2)*7+3 &amp; ":AR" &amp; (ROW()-1)*7+2))/7</f>
        <v/>
      </c>
      <c r="AM30" s="42">
        <f>SUM(INDIRECT("0₦!AS" &amp; (ROW()-2)*7+3 &amp; ":AS" &amp; (ROW()-1)*7+2))/7</f>
        <v/>
      </c>
      <c r="AN30" s="42">
        <f>SUM(INDIRECT("0₦!AT" &amp; (ROW()-2)*7+3 &amp; ":AT" &amp; (ROW()-1)*7+2))/7</f>
        <v/>
      </c>
      <c r="AO30" s="42">
        <f>SUM(INDIRECT("0₦!AU" &amp; (ROW()-2)*7+3 &amp; ":AU" &amp; (ROW()-1)*7+2))/7</f>
        <v/>
      </c>
      <c r="AP30" s="42">
        <f>SUM(AO30+AN30/2+AM30*0.1-AL30)</f>
        <v/>
      </c>
      <c r="AQ30" s="42" t="n"/>
      <c r="AR30" s="42" t="n"/>
      <c r="AU30" s="296">
        <f>SUM(INDIRECT("0分!AJ" &amp; (ROW()-2)*7 -1 &amp; ":AJ" &amp; (ROW()-1)*7-2))/7</f>
        <v/>
      </c>
      <c r="BI30" s="531" t="n"/>
      <c r="BN30" s="531" t="n"/>
      <c r="BY30" s="531" t="n"/>
    </row>
    <row r="31" ht="51" customHeight="1" s="37">
      <c r="A31" s="142">
        <f>A30+0.1</f>
        <v/>
      </c>
      <c r="B31" s="142">
        <f>B30+1</f>
        <v/>
      </c>
      <c r="C31" s="94">
        <f>SUM(INDIRECT("0分!D" &amp; (ROW()-2)*7+2 &amp; ":D" &amp; (ROW()-1)*7+1))</f>
        <v/>
      </c>
      <c r="D31" s="343" t="n"/>
      <c r="E31" s="42">
        <f>'1₦+'!AN33/7</f>
        <v/>
      </c>
      <c r="F31" s="42">
        <f>AVERAGE(INDIRECT("0分!Y" &amp; (ROW()-2)*7+3 &amp; ":Y" &amp; (ROW()-1)*7+2))</f>
        <v/>
      </c>
      <c r="G31" s="42">
        <f>AVERAGE(INDIRECT("0分!Z" &amp; (ROW()-2)*7+2 &amp; ":Z" &amp; (ROW()-1)*7+1))</f>
        <v/>
      </c>
      <c r="H31" s="42">
        <f>AVERAGE(INDIRECT("0分!AA" &amp; (ROW()-2)*7+3 &amp; ":AA" &amp; (ROW()-1)*7+2))</f>
        <v/>
      </c>
      <c r="I31" s="42">
        <f>AVERAGE(INDIRECT("0分!Y" &amp; (ROW()-2)*7+3 &amp; ":Y" &amp; (ROW()-1)*7+2))</f>
        <v/>
      </c>
      <c r="J31" s="42">
        <f>SUM(INDIRECT("0分!AE"&amp;(ROW()-2)*7+2&amp;":AE"&amp;(ROW()-1)*7+1))/7</f>
        <v/>
      </c>
      <c r="K31" s="313">
        <f t="array" ref="K31">INDIRECT("hcbi!BL"&amp;(ROW()-1)*7+-3)/7</f>
        <v/>
      </c>
      <c r="L31" s="240">
        <f>AVERAGE(INDIRECT("0分!AD"&amp;(ROW()-2)*7+2&amp;":AD"&amp;(ROW()-1)*7+1))</f>
        <v/>
      </c>
      <c r="M31" s="42">
        <f>AVERAGE(INDIRECT("0₦!BD"&amp;(ROW()-2)*7+6&amp;":BC"&amp;(ROW())*7 - 1))</f>
        <v/>
      </c>
      <c r="N31" s="42">
        <f>AVERAGE(INDIRECT("0分!AF"&amp;(ROW()-2)*7+2&amp;":AF"&amp;(ROW()-1)*7+1))</f>
        <v/>
      </c>
      <c r="O31" s="288">
        <f>AVERAGE(INDIRECT("0分!AH"&amp;(ROW()-2)*7+1&amp;":AH"&amp;(ROW()-1)*7))</f>
        <v/>
      </c>
      <c r="P31" s="42">
        <f>AVERAGE(INDIRECT("0₦!BC"&amp;(ROW()-2)*7+1&amp;":BB"&amp;(ROW()-1)*7))</f>
        <v/>
      </c>
      <c r="S31" s="42">
        <f>SUM(INDIRECT("0分!D" &amp; (ROW()-2)*7+2 &amp; ":D" &amp; (ROW()-1)*7+1))/7</f>
        <v/>
      </c>
      <c r="T31" s="450">
        <f>'i9'!B32</f>
        <v/>
      </c>
      <c r="U31" s="42">
        <f>-((0.97-0.867)*1000000) / 50 / 4</f>
        <v/>
      </c>
      <c r="V31" s="335" t="n"/>
      <c r="W31" s="335" t="n"/>
      <c r="X31" s="335" t="n"/>
      <c r="Y31" s="335" t="n"/>
      <c r="Z31" s="335" t="n"/>
      <c r="AA31" s="578">
        <f>MAX(INDIRECT("0s!P" &amp; (ROW()-2)*7+6 &amp; ":P" &amp; (ROW()-1)*7+5))</f>
        <v/>
      </c>
      <c r="AB31" s="55">
        <f>MIN(INDIRECT("0s!Q" &amp; (ROW()-2)*7+6 &amp; ":Q" &amp; (ROW()-1)*7+5))</f>
        <v/>
      </c>
      <c r="AC31" s="578">
        <f>AVERAGE(INDIRECT("0s!R" &amp; (ROW()-2)*7+6 &amp; ":R" &amp; (ROW()-1)*7+5))</f>
        <v/>
      </c>
      <c r="AD31" s="579" t="n"/>
      <c r="AE31" s="39">
        <f>SUM(INDIRECT("0分!Y" &amp; (ROW()-2)*7-3 &amp; ":Y" &amp; (ROW()-1)*7+-4))/7</f>
        <v/>
      </c>
      <c r="AF31" s="42">
        <f>P31+L31+M31</f>
        <v/>
      </c>
      <c r="AG31" s="445" t="n"/>
      <c r="AI31" s="450">
        <f>COUNTIF(INDIRECT("'0₦'!AR" &amp;((ROW()-2)*7+3) &amp; ":AR" &amp; ((ROW()-1)*7+2)), "&lt;0")</f>
        <v/>
      </c>
      <c r="AJ31" s="450">
        <f>COUNTIF(INDIRECT("'0₦'!M" &amp;((ROW()-2)*7+3) &amp; ":M" &amp; ((ROW()-1)*7+2)), "&lt;&gt;")</f>
        <v/>
      </c>
      <c r="AK31" s="450">
        <f>COUNTIF(INDIRECT("'0₦'!O" &amp;((ROW()-2)*7+3) &amp; ":O" &amp; ((ROW()-1)*7+2)), "&lt;&gt;")</f>
        <v/>
      </c>
      <c r="AL31" s="42">
        <f>SUM(INDIRECT("0₦!AR" &amp; (ROW()-2)*7+3 &amp; ":AR" &amp; (ROW()-1)*7+2))/7</f>
        <v/>
      </c>
      <c r="AM31" s="42">
        <f>SUM(INDIRECT("0₦!AS" &amp; (ROW()-2)*7+3 &amp; ":AS" &amp; (ROW()-1)*7+2))/7</f>
        <v/>
      </c>
      <c r="AN31" s="42">
        <f>SUM(INDIRECT("0₦!AT" &amp; (ROW()-2)*7+3 &amp; ":AT" &amp; (ROW()-1)*7+2))/7</f>
        <v/>
      </c>
      <c r="AO31" s="42">
        <f>SUM(INDIRECT("0₦!AU" &amp; (ROW()-2)*7+3 &amp; ":AU" &amp; (ROW()-1)*7+2))/7</f>
        <v/>
      </c>
      <c r="AP31" s="42">
        <f>SUM(AO31+AN31/2+AM31*0.1-AL31)</f>
        <v/>
      </c>
      <c r="AQ31" s="42" t="n"/>
      <c r="AR31" s="42" t="n"/>
      <c r="AU31" s="296">
        <f>SUM(INDIRECT("0分!AJ" &amp; (ROW()-2)*7 -1 &amp; ":AJ" &amp; (ROW()-1)*7-2))/7</f>
        <v/>
      </c>
      <c r="BI31" s="531" t="n"/>
      <c r="BN31" s="531" t="n"/>
      <c r="BY31" s="531" t="n"/>
    </row>
    <row r="32" ht="51" customHeight="1" s="37">
      <c r="A32" s="142">
        <f>A28+1</f>
        <v/>
      </c>
      <c r="B32" s="142">
        <f>B31+1</f>
        <v/>
      </c>
      <c r="C32" s="94">
        <f>SUM(INDIRECT("0分!D" &amp; (ROW()-2)*7+2 &amp; ":D" &amp; (ROW()-1)*7+1))</f>
        <v/>
      </c>
      <c r="D32" s="343" t="n"/>
      <c r="E32" s="42">
        <f>'1₦+'!AN34/7</f>
        <v/>
      </c>
      <c r="F32" s="42">
        <f>AVERAGE(INDIRECT("0分!Y" &amp; (ROW()-2)*7+3 &amp; ":Y" &amp; (ROW()-1)*7+2))</f>
        <v/>
      </c>
      <c r="G32" s="42">
        <f>AVERAGE(INDIRECT("0分!Z" &amp; (ROW()-2)*7+2 &amp; ":Z" &amp; (ROW()-1)*7+1))</f>
        <v/>
      </c>
      <c r="H32" s="42">
        <f>AVERAGE(INDIRECT("0分!AA" &amp; (ROW()-2)*7+3 &amp; ":AA" &amp; (ROW()-1)*7+2))</f>
        <v/>
      </c>
      <c r="I32" s="42">
        <f>AVERAGE(INDIRECT("0分!Y" &amp; (ROW()-2)*7+3 &amp; ":Y" &amp; (ROW()-1)*7+2))</f>
        <v/>
      </c>
      <c r="J32" s="42">
        <f>SUM(INDIRECT("0分!AE"&amp;(ROW()-2)*7+2&amp;":AE"&amp;(ROW()-1)*7+1))/7</f>
        <v/>
      </c>
      <c r="K32" s="313">
        <f t="array" ref="K32">INDIRECT("hcbi!BL"&amp;(ROW()-1)*7+-3)/7</f>
        <v/>
      </c>
      <c r="L32" s="240">
        <f>AVERAGE(INDIRECT("0分!AD"&amp;(ROW()-2)*7+2&amp;":AD"&amp;(ROW()-1)*7+1))</f>
        <v/>
      </c>
      <c r="M32" s="42">
        <f>AVERAGE(INDIRECT("0₦!BD"&amp;(ROW()-2)*7+6&amp;":BC"&amp;(ROW())*7 - 1))</f>
        <v/>
      </c>
      <c r="N32" s="42">
        <f>AVERAGE(INDIRECT("0分!AF"&amp;(ROW()-2)*7+2&amp;":AF"&amp;(ROW()-1)*7+1))</f>
        <v/>
      </c>
      <c r="O32" s="288">
        <f>AVERAGE(INDIRECT("0分!AH"&amp;(ROW()-2)*7+1&amp;":AH"&amp;(ROW()-1)*7))</f>
        <v/>
      </c>
      <c r="P32" s="42">
        <f>AVERAGE(INDIRECT("0₦!BC"&amp;(ROW()-2)*7+1&amp;":BB"&amp;(ROW()-1)*7))</f>
        <v/>
      </c>
      <c r="S32" s="42">
        <f>SUM(INDIRECT("0分!D" &amp; (ROW()-2)*7+2 &amp; ":D" &amp; (ROW()-1)*7+1))/7</f>
        <v/>
      </c>
      <c r="T32" s="450">
        <f>'i9'!B33</f>
        <v/>
      </c>
      <c r="U32" s="42">
        <f>-((0.97-0.866)*1000000) / 50 / 4</f>
        <v/>
      </c>
      <c r="V32" s="335" t="n"/>
      <c r="W32" s="335" t="n"/>
      <c r="X32" s="335" t="n"/>
      <c r="Y32" s="335" t="n"/>
      <c r="Z32" s="335" t="n"/>
      <c r="AA32" s="578">
        <f>MAX(INDIRECT("0s!P" &amp; (ROW()-2)*7+6 &amp; ":P" &amp; (ROW()-1)*7+5))</f>
        <v/>
      </c>
      <c r="AB32" s="55">
        <f>MIN(INDIRECT("0s!Q" &amp; (ROW()-2)*7+6 &amp; ":Q" &amp; (ROW()-1)*7+5))</f>
        <v/>
      </c>
      <c r="AC32" s="578">
        <f>AVERAGE(INDIRECT("0s!R" &amp; (ROW()-2)*7+6 &amp; ":R" &amp; (ROW()-1)*7+5))</f>
        <v/>
      </c>
      <c r="AD32" s="579" t="n"/>
      <c r="AE32" s="39">
        <f>SUM(INDIRECT("0分!Y" &amp; (ROW()-2)*7-3 &amp; ":Y" &amp; (ROW()-1)*7+-4))/7</f>
        <v/>
      </c>
      <c r="AF32" s="42">
        <f>P32+L32+M32</f>
        <v/>
      </c>
      <c r="AG32" s="445" t="n"/>
      <c r="AI32" s="450">
        <f>COUNTIF(INDIRECT("'0₦'!AR" &amp;((ROW()-2)*7+3) &amp; ":AR" &amp; ((ROW()-1)*7+2)), "&lt;0")</f>
        <v/>
      </c>
      <c r="AJ32" s="450">
        <f>COUNTIF(INDIRECT("'0₦'!M" &amp;((ROW()-2)*7+3) &amp; ":M" &amp; ((ROW()-1)*7+2)), "&lt;&gt;")</f>
        <v/>
      </c>
      <c r="AK32" s="450">
        <f>COUNTIF(INDIRECT("'0₦'!O" &amp;((ROW()-2)*7+3) &amp; ":O" &amp; ((ROW()-1)*7+2)), "&lt;&gt;")</f>
        <v/>
      </c>
      <c r="AL32" s="42">
        <f>SUM(INDIRECT("0₦!AR" &amp; (ROW()-2)*7+3 &amp; ":AR" &amp; (ROW()-1)*7+2))/7</f>
        <v/>
      </c>
      <c r="AM32" s="42">
        <f>SUM(INDIRECT("0₦!AS" &amp; (ROW()-2)*7+3 &amp; ":AS" &amp; (ROW()-1)*7+2))/7</f>
        <v/>
      </c>
      <c r="AN32" s="42">
        <f>SUM(INDIRECT("0₦!AT" &amp; (ROW()-2)*7+3 &amp; ":AT" &amp; (ROW()-1)*7+2))/7</f>
        <v/>
      </c>
      <c r="AO32" s="42">
        <f>SUM(INDIRECT("0₦!AU" &amp; (ROW()-2)*7+3 &amp; ":AU" &amp; (ROW()-1)*7+2))/7</f>
        <v/>
      </c>
      <c r="AP32" s="42">
        <f>SUM(AO32+AN32/2+AM32*0.1-AL32)</f>
        <v/>
      </c>
      <c r="AQ32" s="42" t="n"/>
      <c r="AR32" s="42" t="n"/>
      <c r="AU32" s="296">
        <f>SUM(INDIRECT("0分!AJ" &amp; (ROW()-2)*7 -1 &amp; ":AJ" &amp; (ROW()-1)*7-2))/7</f>
        <v/>
      </c>
      <c r="AV32" s="534">
        <f>COUNTIFS('0分'!E212:E239,"&gt;600",'0分'!E212:E239,"&lt;1000")/28</f>
        <v/>
      </c>
      <c r="AW32" s="534">
        <f>COUNTIF('0分'!F212:F239,"&gt;1")/28</f>
        <v/>
      </c>
      <c r="AX32" s="534">
        <f>COUNTIF('0分'!F212:F239,"&gt;0")/28</f>
        <v/>
      </c>
      <c r="AY32" s="533">
        <f>SUM(L32:L35)/4</f>
        <v/>
      </c>
      <c r="AZ32" s="533">
        <f>AVERAGE(N32:N35)</f>
        <v/>
      </c>
      <c r="BA32" s="533">
        <f>AVERAGE(O32:O35)</f>
        <v/>
      </c>
      <c r="BB32" s="533">
        <f>SUM(E32:E35)/4</f>
        <v/>
      </c>
      <c r="BC32" s="533">
        <f>SUM(G32:G35)/4</f>
        <v/>
      </c>
      <c r="BD32" s="533">
        <f>SUM(H32:H35)/4</f>
        <v/>
      </c>
      <c r="BE32" s="533">
        <f>SUM(I32:I35)/4</f>
        <v/>
      </c>
      <c r="BF32" s="533">
        <f>SUM(J32:J35)/4</f>
        <v/>
      </c>
      <c r="BG32" s="532">
        <f>AVERAGE(#REF!)</f>
        <v/>
      </c>
      <c r="BH32" s="532">
        <f>AVERAGE(P32:P35)</f>
        <v/>
      </c>
      <c r="BJ32" s="492">
        <f>AVERAGE(C32:C35)/7</f>
        <v/>
      </c>
      <c r="BK32" s="535" t="n"/>
      <c r="BL32" s="535" t="n"/>
      <c r="BM32" s="492">
        <f>AVERAGE(#REF!)</f>
        <v/>
      </c>
      <c r="BO32" s="581">
        <f>AVERAGE($AC32:$AC35)</f>
        <v/>
      </c>
      <c r="BY32" s="531" t="n"/>
      <c r="CA32" s="533">
        <f>AVERAGE(F32:F35)</f>
        <v/>
      </c>
      <c r="CB32" s="533">
        <f>AVERAGE(D32:D35)</f>
        <v/>
      </c>
      <c r="CC32" s="533">
        <f>AVERAGE(G32:G35)</f>
        <v/>
      </c>
      <c r="CD32" s="533">
        <f>AVERAGE(H32:H35)</f>
        <v/>
      </c>
      <c r="CE32" s="533">
        <f>AVERAGE(I32:I35)</f>
        <v/>
      </c>
      <c r="CF32" s="533">
        <f>BF32</f>
        <v/>
      </c>
      <c r="CG32" s="532">
        <f>SUM(N32:N35)/COUNT(N32:N35)</f>
        <v/>
      </c>
      <c r="CH32" s="532">
        <f>AVERAGE(M32:M35)</f>
        <v/>
      </c>
      <c r="CI32" s="532">
        <f>AVERAGE(L32:L35)</f>
        <v/>
      </c>
      <c r="CJ32" s="532">
        <f>AVERAGE(O32:O35)</f>
        <v/>
      </c>
      <c r="CK32" s="517">
        <f>SUM('0分'!#REF!)</f>
        <v/>
      </c>
      <c r="CL32" s="532">
        <f>AVERAGE(P32:P35)</f>
        <v/>
      </c>
    </row>
    <row r="33" ht="51" customHeight="1" s="37">
      <c r="A33" s="142">
        <f>A32+0.1</f>
        <v/>
      </c>
      <c r="B33" s="142">
        <f>B32+1</f>
        <v/>
      </c>
      <c r="C33" s="94">
        <f>SUM(INDIRECT("0分!D" &amp; (ROW()-2)*7+2 &amp; ":D" &amp; (ROW()-1)*7+1))</f>
        <v/>
      </c>
      <c r="D33" s="343" t="n"/>
      <c r="E33" s="42">
        <f>'1₦+'!AN35/7</f>
        <v/>
      </c>
      <c r="F33" s="42">
        <f>AVERAGE(INDIRECT("0分!Y" &amp; (ROW()-2)*7+3 &amp; ":Y" &amp; (ROW()-1)*7+2))</f>
        <v/>
      </c>
      <c r="G33" s="42">
        <f>AVERAGE(INDIRECT("0分!Z" &amp; (ROW()-2)*7+2 &amp; ":Z" &amp; (ROW()-1)*7+1))</f>
        <v/>
      </c>
      <c r="H33" s="42">
        <f>AVERAGE(INDIRECT("0分!AA" &amp; (ROW()-2)*7+3 &amp; ":AA" &amp; (ROW()-1)*7+2))</f>
        <v/>
      </c>
      <c r="I33" s="42">
        <f>AVERAGE(INDIRECT("0分!Y" &amp; (ROW()-2)*7+3 &amp; ":Y" &amp; (ROW()-1)*7+2))</f>
        <v/>
      </c>
      <c r="J33" s="42">
        <f>SUM(INDIRECT("0分!AE"&amp;(ROW()-2)*7+2&amp;":AE"&amp;(ROW()-1)*7+1))/7</f>
        <v/>
      </c>
      <c r="K33" s="313">
        <f t="array" ref="K33">INDIRECT("hcbi!BL"&amp;(ROW()-1)*7+-3)/7</f>
        <v/>
      </c>
      <c r="L33" s="240">
        <f>AVERAGE(INDIRECT("0分!AD"&amp;(ROW()-2)*7+2&amp;":AD"&amp;(ROW()-1)*7+1))</f>
        <v/>
      </c>
      <c r="M33" s="42">
        <f>AVERAGE(INDIRECT("0₦!BD"&amp;(ROW()-2)*7+6&amp;":BC"&amp;(ROW())*7 - 1))</f>
        <v/>
      </c>
      <c r="N33" s="42">
        <f>AVERAGE(INDIRECT("0分!AF"&amp;(ROW()-2)*7+2&amp;":AF"&amp;(ROW()-1)*7+1))</f>
        <v/>
      </c>
      <c r="O33" s="288">
        <f>AVERAGE(INDIRECT("0分!AH"&amp;(ROW()-2)*7+1&amp;":AH"&amp;(ROW()-1)*7))</f>
        <v/>
      </c>
      <c r="P33" s="42">
        <f>AVERAGE(INDIRECT("0₦!BC"&amp;(ROW()-2)*7+1&amp;":BB"&amp;(ROW()-1)*7))</f>
        <v/>
      </c>
      <c r="S33" s="42">
        <f>SUM(INDIRECT("0分!D" &amp; (ROW()-2)*7+2 &amp; ":D" &amp; (ROW()-1)*7+1))/7</f>
        <v/>
      </c>
      <c r="T33" s="450">
        <f>'i9'!B34</f>
        <v/>
      </c>
      <c r="U33" s="39">
        <f>AVERAGE(U32,U34)</f>
        <v/>
      </c>
      <c r="V33" s="335" t="n"/>
      <c r="W33" s="335" t="n"/>
      <c r="X33" s="335" t="n"/>
      <c r="Y33" s="335" t="n"/>
      <c r="Z33" s="335" t="n"/>
      <c r="AA33" s="578">
        <f>MAX(INDIRECT("0s!P" &amp; (ROW()-2)*7+6 &amp; ":P" &amp; (ROW()-1)*7+5))</f>
        <v/>
      </c>
      <c r="AB33" s="55">
        <f>MIN(INDIRECT("0s!Q" &amp; (ROW()-2)*7+6 &amp; ":Q" &amp; (ROW()-1)*7+5))</f>
        <v/>
      </c>
      <c r="AC33" s="578">
        <f>AVERAGE(INDIRECT("0s!R" &amp; (ROW()-2)*7+6 &amp; ":R" &amp; (ROW()-1)*7+5))</f>
        <v/>
      </c>
      <c r="AD33" s="579" t="n"/>
      <c r="AE33" s="39">
        <f>SUM(INDIRECT("0分!Y" &amp; (ROW()-2)*7-3 &amp; ":Y" &amp; (ROW()-1)*7+-4))/7</f>
        <v/>
      </c>
      <c r="AF33" s="42">
        <f>P33+L33+M33</f>
        <v/>
      </c>
      <c r="AG33" s="445" t="n"/>
      <c r="AI33" s="450">
        <f>COUNTIF(INDIRECT("'0₦'!AR" &amp;((ROW()-2)*7+3) &amp; ":AR" &amp; ((ROW()-1)*7+2)), "&lt;0")</f>
        <v/>
      </c>
      <c r="AJ33" s="450">
        <f>COUNTIF(INDIRECT("'0₦'!M" &amp;((ROW()-2)*7+3) &amp; ":M" &amp; ((ROW()-1)*7+2)), "&lt;&gt;")</f>
        <v/>
      </c>
      <c r="AK33" s="450">
        <f>COUNTIF(INDIRECT("'0₦'!O" &amp;((ROW()-2)*7+3) &amp; ":O" &amp; ((ROW()-1)*7+2)), "&lt;&gt;")</f>
        <v/>
      </c>
      <c r="AL33" s="42">
        <f>SUM(INDIRECT("0₦!AR" &amp; (ROW()-2)*7+3 &amp; ":AR" &amp; (ROW()-1)*7+2))/7</f>
        <v/>
      </c>
      <c r="AM33" s="42">
        <f>SUM(INDIRECT("0₦!AS" &amp; (ROW()-2)*7+3 &amp; ":AS" &amp; (ROW()-1)*7+2))/7</f>
        <v/>
      </c>
      <c r="AN33" s="42">
        <f>SUM(INDIRECT("0₦!AT" &amp; (ROW()-2)*7+3 &amp; ":AT" &amp; (ROW()-1)*7+2))/7</f>
        <v/>
      </c>
      <c r="AO33" s="42">
        <f>SUM(INDIRECT("0₦!AU" &amp; (ROW()-2)*7+3 &amp; ":AU" &amp; (ROW()-1)*7+2))/7</f>
        <v/>
      </c>
      <c r="AP33" s="42">
        <f>SUM(AO33+AN33/2+AM33*0.1-AL33)</f>
        <v/>
      </c>
      <c r="AQ33" s="42" t="n"/>
      <c r="AR33" s="42" t="n"/>
      <c r="AU33" s="296">
        <f>SUM(INDIRECT("0分!AJ" &amp; (ROW()-2)*7 -1 &amp; ":AJ" &amp; (ROW()-1)*7-2))/7</f>
        <v/>
      </c>
      <c r="BY33" s="531" t="n"/>
    </row>
    <row r="34" ht="51" customHeight="1" s="37">
      <c r="A34" s="142">
        <f>A33+0.1</f>
        <v/>
      </c>
      <c r="B34" s="142">
        <f>B33+1</f>
        <v/>
      </c>
      <c r="C34" s="94">
        <f>SUM(INDIRECT("0分!D" &amp; (ROW()-2)*7+2 &amp; ":D" &amp; (ROW()-1)*7+1))</f>
        <v/>
      </c>
      <c r="D34" s="343" t="n"/>
      <c r="E34" s="42">
        <f>'1₦+'!AN36/7</f>
        <v/>
      </c>
      <c r="F34" s="42">
        <f>AVERAGE(INDIRECT("0分!Y" &amp; (ROW()-2)*7+3 &amp; ":Y" &amp; (ROW()-1)*7+2))</f>
        <v/>
      </c>
      <c r="G34" s="42">
        <f>AVERAGE(INDIRECT("0分!Z" &amp; (ROW()-2)*7+2 &amp; ":Z" &amp; (ROW()-1)*7+1))</f>
        <v/>
      </c>
      <c r="H34" s="42">
        <f>AVERAGE(INDIRECT("0分!AA" &amp; (ROW()-2)*7+3 &amp; ":AA" &amp; (ROW()-1)*7+2))</f>
        <v/>
      </c>
      <c r="I34" s="42">
        <f>AVERAGE(INDIRECT("0分!Y" &amp; (ROW()-2)*7+3 &amp; ":Y" &amp; (ROW()-1)*7+2))</f>
        <v/>
      </c>
      <c r="J34" s="42">
        <f>SUM(INDIRECT("0分!AE"&amp;(ROW()-2)*7+2&amp;":AE"&amp;(ROW()-1)*7+1))/7</f>
        <v/>
      </c>
      <c r="K34" s="313">
        <f t="array" ref="K34">INDIRECT("hcbi!BL"&amp;(ROW()-1)*7+-3)/7</f>
        <v/>
      </c>
      <c r="L34" s="240">
        <f>AVERAGE(INDIRECT("0分!AD"&amp;(ROW()-2)*7+2&amp;":AD"&amp;(ROW()-1)*7+1))</f>
        <v/>
      </c>
      <c r="M34" s="42">
        <f>AVERAGE(INDIRECT("0₦!BD"&amp;(ROW()-2)*7+6&amp;":BC"&amp;(ROW())*7 - 1))</f>
        <v/>
      </c>
      <c r="N34" s="42">
        <f>AVERAGE(INDIRECT("0分!AF"&amp;(ROW()-2)*7+2&amp;":AF"&amp;(ROW()-1)*7+1))</f>
        <v/>
      </c>
      <c r="O34" s="288">
        <f>AVERAGE(INDIRECT("0分!AH"&amp;(ROW()-2)*7+1&amp;":AH"&amp;(ROW()-1)*7))</f>
        <v/>
      </c>
      <c r="P34" s="42">
        <f>AVERAGE(INDIRECT("0₦!BC"&amp;(ROW()-2)*7+1&amp;":BB"&amp;(ROW()-1)*7))</f>
        <v/>
      </c>
      <c r="S34" s="42">
        <f>SUM(INDIRECT("0分!D" &amp; (ROW()-2)*7+2 &amp; ":D" &amp; (ROW()-1)*7+1))/7</f>
        <v/>
      </c>
      <c r="T34" s="450">
        <f>'i9'!B35</f>
        <v/>
      </c>
      <c r="U34" s="42">
        <f>-((0.97-0.873)*1000000) / 50 / 4</f>
        <v/>
      </c>
      <c r="V34" s="335" t="n"/>
      <c r="W34" s="335" t="n"/>
      <c r="X34" s="335" t="n"/>
      <c r="Y34" s="335" t="n"/>
      <c r="Z34" s="335" t="n"/>
      <c r="AA34" s="578">
        <f>MAX(INDIRECT("0s!P" &amp; (ROW()-2)*7+6 &amp; ":P" &amp; (ROW()-1)*7+5))</f>
        <v/>
      </c>
      <c r="AB34" s="55">
        <f>MIN(INDIRECT("0s!Q" &amp; (ROW()-2)*7+6 &amp; ":Q" &amp; (ROW()-1)*7+5))</f>
        <v/>
      </c>
      <c r="AC34" s="578">
        <f>AVERAGE(INDIRECT("0s!R" &amp; (ROW()-2)*7+6 &amp; ":R" &amp; (ROW()-1)*7+5))</f>
        <v/>
      </c>
      <c r="AD34" s="579" t="n"/>
      <c r="AE34" s="39">
        <f>SUM(INDIRECT("0分!Y" &amp; (ROW()-2)*7-3 &amp; ":Y" &amp; (ROW()-1)*7+-4))/7</f>
        <v/>
      </c>
      <c r="AF34" s="42">
        <f>P34+L34+M34</f>
        <v/>
      </c>
      <c r="AG34" s="445" t="n"/>
      <c r="AI34" s="450">
        <f>COUNTIF(INDIRECT("'0₦'!AR" &amp;((ROW()-2)*7+3) &amp; ":AR" &amp; ((ROW()-1)*7+2)), "&lt;0")</f>
        <v/>
      </c>
      <c r="AJ34" s="450">
        <f>COUNTIF(INDIRECT("'0₦'!M" &amp;((ROW()-2)*7+3) &amp; ":M" &amp; ((ROW()-1)*7+2)), "&lt;&gt;")</f>
        <v/>
      </c>
      <c r="AK34" s="450">
        <f>COUNTIF(INDIRECT("'0₦'!O" &amp;((ROW()-2)*7+3) &amp; ":O" &amp; ((ROW()-1)*7+2)), "&lt;&gt;")</f>
        <v/>
      </c>
      <c r="AL34" s="42">
        <f>SUM(INDIRECT("0₦!AR" &amp; (ROW()-2)*7+3 &amp; ":AR" &amp; (ROW()-1)*7+2))/7</f>
        <v/>
      </c>
      <c r="AM34" s="42">
        <f>SUM(INDIRECT("0₦!AS" &amp; (ROW()-2)*7+3 &amp; ":AS" &amp; (ROW()-1)*7+2))/7</f>
        <v/>
      </c>
      <c r="AN34" s="42">
        <f>SUM(INDIRECT("0₦!AT" &amp; (ROW()-2)*7+3 &amp; ":AT" &amp; (ROW()-1)*7+2))/7</f>
        <v/>
      </c>
      <c r="AO34" s="42">
        <f>SUM(INDIRECT("0₦!AU" &amp; (ROW()-2)*7+3 &amp; ":AU" &amp; (ROW()-1)*7+2))/7</f>
        <v/>
      </c>
      <c r="AP34" s="42">
        <f>SUM(AO34+AN34/2+AM34*0.1-AL34)</f>
        <v/>
      </c>
      <c r="AQ34" s="42" t="n"/>
      <c r="AR34" s="42" t="n"/>
      <c r="AU34" s="296">
        <f>SUM(INDIRECT("0分!AJ" &amp; (ROW()-2)*7 -1 &amp; ":AJ" &amp; (ROW()-1)*7-2))/7</f>
        <v/>
      </c>
      <c r="BY34" s="531" t="n"/>
    </row>
    <row r="35" ht="51" customHeight="1" s="37">
      <c r="A35" s="142">
        <f>A34+0.1</f>
        <v/>
      </c>
      <c r="B35" s="142">
        <f>B34+1</f>
        <v/>
      </c>
      <c r="C35" s="94">
        <f>SUM(INDIRECT("0分!D" &amp; (ROW()-2)*7+2 &amp; ":D" &amp; (ROW()-1)*7+1))</f>
        <v/>
      </c>
      <c r="D35" s="343" t="n"/>
      <c r="E35" s="42">
        <f>'1₦+'!AN37/7</f>
        <v/>
      </c>
      <c r="F35" s="42">
        <f>AVERAGE(INDIRECT("0分!Y" &amp; (ROW()-2)*7+3 &amp; ":Y" &amp; (ROW()-1)*7+2))</f>
        <v/>
      </c>
      <c r="G35" s="42">
        <f>AVERAGE(INDIRECT("0分!Z" &amp; (ROW()-2)*7+2 &amp; ":Z" &amp; (ROW()-1)*7+1))</f>
        <v/>
      </c>
      <c r="H35" s="42">
        <f>AVERAGE(INDIRECT("0分!AA" &amp; (ROW()-2)*7+3 &amp; ":AA" &amp; (ROW()-1)*7+2))</f>
        <v/>
      </c>
      <c r="I35" s="42">
        <f>AVERAGE(INDIRECT("0分!Y" &amp; (ROW()-2)*7+3 &amp; ":Y" &amp; (ROW()-1)*7+2))</f>
        <v/>
      </c>
      <c r="J35" s="42">
        <f>SUM(INDIRECT("0分!AE"&amp;(ROW()-2)*7+2&amp;":AE"&amp;(ROW()-1)*7+1))/7</f>
        <v/>
      </c>
      <c r="K35" s="313">
        <f t="array" ref="K35">INDIRECT("hcbi!BL"&amp;(ROW()-1)*7+-3)/7</f>
        <v/>
      </c>
      <c r="L35" s="240">
        <f>AVERAGE(INDIRECT("0分!AD"&amp;(ROW()-2)*7+2&amp;":AD"&amp;(ROW()-1)*7+1))</f>
        <v/>
      </c>
      <c r="M35" s="42">
        <f>AVERAGE(INDIRECT("0₦!BD"&amp;(ROW()-2)*7+6&amp;":BC"&amp;(ROW())*7 - 1))</f>
        <v/>
      </c>
      <c r="N35" s="42">
        <f>AVERAGE(INDIRECT("0分!AF"&amp;(ROW()-2)*7+2&amp;":AF"&amp;(ROW()-1)*7+1))</f>
        <v/>
      </c>
      <c r="O35" s="288">
        <f>AVERAGE(INDIRECT("0分!AH"&amp;(ROW()-2)*7+1&amp;":AH"&amp;(ROW()-1)*7))</f>
        <v/>
      </c>
      <c r="P35" s="42">
        <f>AVERAGE(INDIRECT("0₦!BC"&amp;(ROW()-2)*7+1&amp;":BB"&amp;(ROW()-1)*7))</f>
        <v/>
      </c>
      <c r="S35" s="42">
        <f>SUM(INDIRECT("0分!D" &amp; (ROW()-2)*7+2 &amp; ":D" &amp; (ROW()-1)*7+1))/7</f>
        <v/>
      </c>
      <c r="T35" s="450">
        <f>'i9'!B36</f>
        <v/>
      </c>
      <c r="U35" s="42">
        <f>-((0.97-0.873)*1000000) / 50 / 4</f>
        <v/>
      </c>
      <c r="V35" s="335" t="n"/>
      <c r="W35" s="335" t="n"/>
      <c r="X35" s="335" t="n"/>
      <c r="Y35" s="335" t="n"/>
      <c r="Z35" s="335" t="n"/>
      <c r="AA35" s="578">
        <f>MAX(INDIRECT("0s!P" &amp; (ROW()-2)*7+6 &amp; ":P" &amp; (ROW()-1)*7+5))</f>
        <v/>
      </c>
      <c r="AB35" s="55">
        <f>MIN(INDIRECT("0s!Q" &amp; (ROW()-2)*7+6 &amp; ":Q" &amp; (ROW()-1)*7+5))</f>
        <v/>
      </c>
      <c r="AC35" s="578">
        <f>AVERAGE(INDIRECT("0s!R" &amp; (ROW()-2)*7+6 &amp; ":R" &amp; (ROW()-1)*7+5))</f>
        <v/>
      </c>
      <c r="AD35" s="579" t="n"/>
      <c r="AE35" s="39">
        <f>SUM(INDIRECT("0分!Y" &amp; (ROW()-2)*7-3 &amp; ":Y" &amp; (ROW()-1)*7+-4))/7</f>
        <v/>
      </c>
      <c r="AF35" s="42">
        <f>P35+L35+M35</f>
        <v/>
      </c>
      <c r="AG35" s="445" t="n"/>
      <c r="AI35" s="450">
        <f>COUNTIF(INDIRECT("'0₦'!AR" &amp;((ROW()-2)*7+3) &amp; ":AR" &amp; ((ROW()-1)*7+2)), "&lt;0")</f>
        <v/>
      </c>
      <c r="AJ35" s="450">
        <f>COUNTIF(INDIRECT("'0₦'!M" &amp;((ROW()-2)*7+3) &amp; ":M" &amp; ((ROW()-1)*7+2)), "&lt;&gt;")</f>
        <v/>
      </c>
      <c r="AK35" s="450">
        <f>COUNTIF(INDIRECT("'0₦'!O" &amp;((ROW()-2)*7+3) &amp; ":O" &amp; ((ROW()-1)*7+2)), "&lt;&gt;")</f>
        <v/>
      </c>
      <c r="AL35" s="42">
        <f>SUM(INDIRECT("0₦!AR" &amp; (ROW()-2)*7+3 &amp; ":AR" &amp; (ROW()-1)*7+2))/7</f>
        <v/>
      </c>
      <c r="AM35" s="42">
        <f>SUM(INDIRECT("0₦!AS" &amp; (ROW()-2)*7+3 &amp; ":AS" &amp; (ROW()-1)*7+2))/7</f>
        <v/>
      </c>
      <c r="AN35" s="42">
        <f>SUM(INDIRECT("0₦!AT" &amp; (ROW()-2)*7+3 &amp; ":AT" &amp; (ROW()-1)*7+2))/7</f>
        <v/>
      </c>
      <c r="AO35" s="42">
        <f>SUM(INDIRECT("0₦!AU" &amp; (ROW()-2)*7+3 &amp; ":AU" &amp; (ROW()-1)*7+2))/7</f>
        <v/>
      </c>
      <c r="AP35" s="42">
        <f>SUM(AO35+AN35/2+AM35*0.1-AL35)</f>
        <v/>
      </c>
      <c r="AQ35" s="42" t="n"/>
      <c r="AR35" s="42" t="n"/>
      <c r="AU35" s="296">
        <f>SUM(INDIRECT("0分!AJ" &amp; (ROW()-2)*7 -1 &amp; ":AJ" &amp; (ROW()-1)*7-2))/7</f>
        <v/>
      </c>
      <c r="BY35" s="531" t="n"/>
    </row>
    <row r="36" ht="51" customHeight="1" s="37">
      <c r="A36" s="142">
        <f>A32+1</f>
        <v/>
      </c>
      <c r="B36" s="142">
        <f>B35+1</f>
        <v/>
      </c>
      <c r="C36" s="94">
        <f>SUM(INDIRECT("0分!D" &amp; (ROW()-2)*7+2 &amp; ":D" &amp; (ROW()-1)*7+1))</f>
        <v/>
      </c>
      <c r="D36" s="343" t="n"/>
      <c r="E36" s="42">
        <f>'1₦+'!AN38/7</f>
        <v/>
      </c>
      <c r="F36" s="42">
        <f>AVERAGE(INDIRECT("0分!Y" &amp; (ROW()-2)*7+3 &amp; ":Y" &amp; (ROW()-1)*7+2))</f>
        <v/>
      </c>
      <c r="G36" s="42">
        <f>AVERAGE(INDIRECT("0分!Z" &amp; (ROW()-2)*7+2 &amp; ":Z" &amp; (ROW()-1)*7+1))</f>
        <v/>
      </c>
      <c r="H36" s="42">
        <f>AVERAGE(INDIRECT("0分!AA" &amp; (ROW()-2)*7+3 &amp; ":AA" &amp; (ROW()-1)*7+2))</f>
        <v/>
      </c>
      <c r="I36" s="42">
        <f>AVERAGE(INDIRECT("0分!Y" &amp; (ROW()-2)*7+3 &amp; ":Y" &amp; (ROW()-1)*7+2))</f>
        <v/>
      </c>
      <c r="J36" s="42">
        <f>SUM(INDIRECT("0分!AE"&amp;(ROW()-2)*7+2&amp;":AE"&amp;(ROW()-1)*7+1))/7</f>
        <v/>
      </c>
      <c r="K36" s="313">
        <f t="array" ref="K36">INDIRECT("hcbi!BL"&amp;(ROW()-1)*7+-3)/7</f>
        <v/>
      </c>
      <c r="L36" s="240">
        <f>AVERAGE(INDIRECT("0分!AD"&amp;(ROW()-2)*7+2&amp;":AD"&amp;(ROW()-1)*7+1))</f>
        <v/>
      </c>
      <c r="M36" s="42">
        <f>AVERAGE(INDIRECT("0₦!BD"&amp;(ROW()-2)*7+6&amp;":BC"&amp;(ROW())*7 - 1))</f>
        <v/>
      </c>
      <c r="N36" s="42">
        <f>AVERAGE(INDIRECT("0分!AF"&amp;(ROW()-2)*7+2&amp;":AF"&amp;(ROW()-1)*7+1))</f>
        <v/>
      </c>
      <c r="O36" s="288">
        <f>AVERAGE(INDIRECT("0分!AH"&amp;(ROW()-2)*7+1&amp;":AH"&amp;(ROW()-1)*7))</f>
        <v/>
      </c>
      <c r="P36" s="42">
        <f>AVERAGE(INDIRECT("0₦!BC"&amp;(ROW()-2)*7+1&amp;":BB"&amp;(ROW()-1)*7))</f>
        <v/>
      </c>
      <c r="S36" s="42">
        <f>SUM(INDIRECT("0分!D" &amp; (ROW()-2)*7+2 &amp; ":D" &amp; (ROW()-1)*7+1))/7</f>
        <v/>
      </c>
      <c r="T36" s="450">
        <f>'i9'!B37</f>
        <v/>
      </c>
      <c r="U36" s="42">
        <f>-((0.97-0.853)*1000000) / 50 / 4</f>
        <v/>
      </c>
      <c r="V36" s="335" t="n"/>
      <c r="W36" s="335" t="n"/>
      <c r="X36" s="335" t="n"/>
      <c r="Y36" s="335" t="n"/>
      <c r="Z36" s="335" t="n"/>
      <c r="AA36" s="578">
        <f>MAX(INDIRECT("0s!P" &amp; (ROW()-2)*7+6 &amp; ":P" &amp; (ROW()-1)*7+5))</f>
        <v/>
      </c>
      <c r="AB36" s="55">
        <f>MIN(INDIRECT("0s!Q" &amp; (ROW()-2)*7+6 &amp; ":Q" &amp; (ROW()-1)*7+5))</f>
        <v/>
      </c>
      <c r="AC36" s="578">
        <f>AVERAGE(INDIRECT("0s!R" &amp; (ROW()-2)*7+6 &amp; ":R" &amp; (ROW()-1)*7+5))</f>
        <v/>
      </c>
      <c r="AD36" s="579" t="n"/>
      <c r="AE36" s="39">
        <f>SUM(INDIRECT("0分!Y" &amp; (ROW()-2)*7-3 &amp; ":Y" &amp; (ROW()-1)*7+-4))/7</f>
        <v/>
      </c>
      <c r="AF36" s="42">
        <f>P36+L36+M36</f>
        <v/>
      </c>
      <c r="AG36" s="445" t="n"/>
      <c r="AI36" s="450">
        <f>COUNTIF(INDIRECT("'0₦'!AR" &amp;((ROW()-2)*7+3) &amp; ":AR" &amp; ((ROW()-1)*7+2)), "&lt;0")</f>
        <v/>
      </c>
      <c r="AJ36" s="450">
        <f>COUNTIF(INDIRECT("'0₦'!M" &amp;((ROW()-2)*7+3) &amp; ":M" &amp; ((ROW()-1)*7+2)), "&lt;&gt;")</f>
        <v/>
      </c>
      <c r="AK36" s="450">
        <f>COUNTIF(INDIRECT("'0₦'!O" &amp;((ROW()-2)*7+3) &amp; ":O" &amp; ((ROW()-1)*7+2)), "&lt;&gt;")</f>
        <v/>
      </c>
      <c r="AL36" s="42">
        <f>SUM(INDIRECT("0₦!AR" &amp; (ROW()-2)*7+3 &amp; ":AR" &amp; (ROW()-1)*7+2))/7</f>
        <v/>
      </c>
      <c r="AM36" s="42">
        <f>SUM(INDIRECT("0₦!AS" &amp; (ROW()-2)*7+3 &amp; ":AS" &amp; (ROW()-1)*7+2))/7</f>
        <v/>
      </c>
      <c r="AN36" s="42">
        <f>SUM(INDIRECT("0₦!AT" &amp; (ROW()-2)*7+3 &amp; ":AT" &amp; (ROW()-1)*7+2))/7</f>
        <v/>
      </c>
      <c r="AO36" s="42">
        <f>SUM(INDIRECT("0₦!AU" &amp; (ROW()-2)*7+3 &amp; ":AU" &amp; (ROW()-1)*7+2))/7</f>
        <v/>
      </c>
      <c r="AP36" s="42">
        <f>SUM(AO36+AN36/2+AM36*0.1-AL36)</f>
        <v/>
      </c>
      <c r="AQ36" s="42" t="n"/>
      <c r="AR36" s="42" t="n"/>
      <c r="AU36" s="296">
        <f>SUM(INDIRECT("0分!AJ" &amp; (ROW()-2)*7 -1 &amp; ":AJ" &amp; (ROW()-1)*7-2))/7</f>
        <v/>
      </c>
      <c r="AV36" s="534">
        <f>COUNTIFS('0分'!E84:E118,"&gt;600",'0分'!E84:E118,"&lt;1000")/35</f>
        <v/>
      </c>
      <c r="AW36" s="534">
        <f>COUNTIF('0分'!E162:E196,"&gt;1")/35</f>
        <v/>
      </c>
      <c r="AX36" s="534">
        <f>COUNTIF('0分'!F84:F118,"&gt;0")/35</f>
        <v/>
      </c>
      <c r="AY36" s="533">
        <f>AVERAGE(L36:L40)</f>
        <v/>
      </c>
      <c r="AZ36" s="533">
        <f>AVERAGE(N36:N40)</f>
        <v/>
      </c>
      <c r="BA36" s="533">
        <f>AVERAGE(O36:O40)</f>
        <v/>
      </c>
      <c r="BB36" s="533">
        <f>AVERAGE(E36:E40)</f>
        <v/>
      </c>
      <c r="BC36" s="533">
        <f>SUM(G36:G40)/4</f>
        <v/>
      </c>
      <c r="BD36" s="533">
        <f>SUM(H36:H40)/5</f>
        <v/>
      </c>
      <c r="BE36" s="533">
        <f>AVERAGE(I36:I40)</f>
        <v/>
      </c>
      <c r="BF36" s="533">
        <f>AVERAGE(J36:J40)</f>
        <v/>
      </c>
      <c r="BG36" s="532">
        <f>AVERAGE(#REF!)</f>
        <v/>
      </c>
      <c r="BH36" s="532">
        <f>AVERAGE(P36:P40)</f>
        <v/>
      </c>
      <c r="BI36" s="537" t="n"/>
      <c r="BJ36" s="533">
        <f>AVERAGE(C36:C40)/7</f>
        <v/>
      </c>
      <c r="BK36" s="537" t="n"/>
      <c r="BL36" s="537" t="n"/>
      <c r="BM36" s="532">
        <f>AVERAGE(#REF!)</f>
        <v/>
      </c>
      <c r="BO36" s="581">
        <f>AVERAGE($AC36:$AC40)</f>
        <v/>
      </c>
      <c r="BY36" s="531" t="n"/>
      <c r="CA36" s="296">
        <f>AVERAGE(F36:F39)</f>
        <v/>
      </c>
      <c r="CB36" s="296" t="n"/>
      <c r="CC36" s="296">
        <f>AVERAGE(G36:G39)</f>
        <v/>
      </c>
      <c r="CD36" s="296">
        <f>AVERAGE(H36:H39)</f>
        <v/>
      </c>
      <c r="CE36" s="296">
        <f>AVERAGE(I36:I39)</f>
        <v/>
      </c>
      <c r="CF36" s="296">
        <f>BF36</f>
        <v/>
      </c>
      <c r="CG36" s="2">
        <f>SUM(N36:N39)/COUNT(N36:N39)</f>
        <v/>
      </c>
      <c r="CH36" s="2">
        <f>AVERAGE(M36:M39)</f>
        <v/>
      </c>
      <c r="CI36" s="2">
        <f>AVERAGE(L36:L39)</f>
        <v/>
      </c>
      <c r="CJ36" s="2">
        <f>AVERAGE(O36:O39)</f>
        <v/>
      </c>
      <c r="CK36" s="335">
        <f>SUM('0分'!#REF!)</f>
        <v/>
      </c>
      <c r="CL36" s="2">
        <f>AVERAGE(P36:P39)</f>
        <v/>
      </c>
    </row>
    <row r="37" ht="51" customHeight="1" s="37">
      <c r="A37" s="142">
        <f>A36+0.1</f>
        <v/>
      </c>
      <c r="B37" s="142">
        <f>B36+1</f>
        <v/>
      </c>
      <c r="C37" s="94">
        <f>SUM(INDIRECT("0分!D" &amp; (ROW()-2)*7+2 &amp; ":D" &amp; (ROW()-1)*7+1))</f>
        <v/>
      </c>
      <c r="D37" s="343" t="n"/>
      <c r="E37" s="42">
        <f>'1₦+'!AN39/7</f>
        <v/>
      </c>
      <c r="F37" s="42">
        <f>AVERAGE(INDIRECT("0分!Y" &amp; (ROW()-2)*7+3 &amp; ":Y" &amp; (ROW()-1)*7+2))</f>
        <v/>
      </c>
      <c r="G37" s="42">
        <f>AVERAGE(INDIRECT("0分!Z" &amp; (ROW()-2)*7+2 &amp; ":Z" &amp; (ROW()-1)*7+1))</f>
        <v/>
      </c>
      <c r="H37" s="42">
        <f>AVERAGE(INDIRECT("0分!AA" &amp; (ROW()-2)*7+3 &amp; ":AA" &amp; (ROW()-1)*7+2))</f>
        <v/>
      </c>
      <c r="I37" s="42">
        <f>AVERAGE(INDIRECT("0分!Y" &amp; (ROW()-2)*7+3 &amp; ":Y" &amp; (ROW()-1)*7+2))</f>
        <v/>
      </c>
      <c r="J37" s="42">
        <f>SUM(INDIRECT("0分!AE"&amp;(ROW()-2)*7+2&amp;":AE"&amp;(ROW()-1)*7+1))/7</f>
        <v/>
      </c>
      <c r="K37" s="313">
        <f t="array" ref="K37">INDIRECT("hcbi!BL"&amp;(ROW()-1)*7+-3)/7</f>
        <v/>
      </c>
      <c r="L37" s="240">
        <f>AVERAGE(INDIRECT("0分!AD"&amp;(ROW()-2)*7+2&amp;":AD"&amp;(ROW()-1)*7+1))</f>
        <v/>
      </c>
      <c r="M37" s="42">
        <f>AVERAGE(INDIRECT("0₦!BD"&amp;(ROW()-2)*7+6&amp;":BC"&amp;(ROW())*7 - 1))</f>
        <v/>
      </c>
      <c r="N37" s="42">
        <f>AVERAGE(INDIRECT("0分!AF"&amp;(ROW()-2)*7+2&amp;":AF"&amp;(ROW()-1)*7+1))</f>
        <v/>
      </c>
      <c r="O37" s="288">
        <f>AVERAGE(INDIRECT("0分!AH"&amp;(ROW()-2)*7+1&amp;":AH"&amp;(ROW()-1)*7))</f>
        <v/>
      </c>
      <c r="P37" s="42">
        <f>AVERAGE(INDIRECT("0₦!BC"&amp;(ROW()-2)*7+1&amp;":BB"&amp;(ROW()-1)*7))</f>
        <v/>
      </c>
      <c r="Q37" s="42" t="n"/>
      <c r="S37" s="42">
        <f>SUM(INDIRECT("0分!D" &amp; (ROW()-2)*7+2 &amp; ":D" &amp; (ROW()-1)*7+1))/7</f>
        <v/>
      </c>
      <c r="T37" s="450">
        <f>'i9'!B38</f>
        <v/>
      </c>
      <c r="U37" s="42">
        <f>-((0.97-0.853)*1000000) / 50 / 4</f>
        <v/>
      </c>
      <c r="V37" s="335" t="n"/>
      <c r="W37" s="335" t="n"/>
      <c r="X37" s="335" t="n"/>
      <c r="Y37" s="335" t="n"/>
      <c r="Z37" s="335" t="n"/>
      <c r="AA37" s="578">
        <f>MAX(INDIRECT("0s!P" &amp; (ROW()-2)*7+6 &amp; ":P" &amp; (ROW()-1)*7+5))</f>
        <v/>
      </c>
      <c r="AB37" s="55">
        <f>MIN(INDIRECT("0s!Q" &amp; (ROW()-2)*7+6 &amp; ":Q" &amp; (ROW()-1)*7+5))</f>
        <v/>
      </c>
      <c r="AC37" s="578">
        <f>AVERAGE(INDIRECT("0s!R" &amp; (ROW()-2)*7+6 &amp; ":R" &amp; (ROW()-1)*7+5))</f>
        <v/>
      </c>
      <c r="AD37" s="579" t="n"/>
      <c r="AE37" s="39">
        <f>SUM(INDIRECT("0分!Y" &amp; (ROW()-2)*7-3 &amp; ":Y" &amp; (ROW()-1)*7+-4))/7</f>
        <v/>
      </c>
      <c r="AF37" s="42">
        <f>P37+L37+M37</f>
        <v/>
      </c>
      <c r="AG37" s="445" t="n"/>
      <c r="AI37" s="450">
        <f>COUNTIF(INDIRECT("'0₦'!AR" &amp;((ROW()-2)*7+3) &amp; ":AR" &amp; ((ROW()-1)*7+2)), "&lt;0")</f>
        <v/>
      </c>
      <c r="AJ37" s="450">
        <f>COUNTIF(INDIRECT("'0₦'!M" &amp;((ROW()-2)*7+3) &amp; ":M" &amp; ((ROW()-1)*7+2)), "&lt;&gt;")</f>
        <v/>
      </c>
      <c r="AK37" s="450">
        <f>COUNTIF(INDIRECT("'0₦'!O" &amp;((ROW()-2)*7+3) &amp; ":O" &amp; ((ROW()-1)*7+2)), "&lt;&gt;")</f>
        <v/>
      </c>
      <c r="AL37" s="42">
        <f>SUM(INDIRECT("0₦!AR" &amp; (ROW()-2)*7+3 &amp; ":AR" &amp; (ROW()-1)*7+2))/7</f>
        <v/>
      </c>
      <c r="AM37" s="42">
        <f>SUM(INDIRECT("0₦!AS" &amp; (ROW()-2)*7+3 &amp; ":AS" &amp; (ROW()-1)*7+2))/7</f>
        <v/>
      </c>
      <c r="AN37" s="42">
        <f>SUM(INDIRECT("0₦!AT" &amp; (ROW()-2)*7+3 &amp; ":AT" &amp; (ROW()-1)*7+2))/7</f>
        <v/>
      </c>
      <c r="AO37" s="42">
        <f>SUM(INDIRECT("0₦!AU" &amp; (ROW()-2)*7+3 &amp; ":AU" &amp; (ROW()-1)*7+2))/7</f>
        <v/>
      </c>
      <c r="AP37" s="42">
        <f>SUM(AO37+AN37/2+AM37*0.1-AL37)</f>
        <v/>
      </c>
      <c r="AQ37" s="42" t="n"/>
      <c r="AR37" s="42" t="n"/>
      <c r="AU37" s="296">
        <f>SUM(INDIRECT("0分!AJ" &amp; (ROW()-2)*7 -1 &amp; ":AJ" &amp; (ROW()-1)*7-2))/7</f>
        <v/>
      </c>
      <c r="BI37" s="537" t="n"/>
      <c r="BY37" s="531" t="n"/>
    </row>
    <row r="38" ht="51" customHeight="1" s="37">
      <c r="A38" s="142">
        <f>A37+0.1</f>
        <v/>
      </c>
      <c r="B38" s="142">
        <f>B37+1</f>
        <v/>
      </c>
      <c r="C38" s="94">
        <f>SUM(INDIRECT("0分!D" &amp; (ROW()-2)*7+2 &amp; ":D" &amp; (ROW()-1)*7+1))</f>
        <v/>
      </c>
      <c r="D38" s="343" t="n"/>
      <c r="E38" s="42">
        <f>'1₦+'!AN40/7</f>
        <v/>
      </c>
      <c r="F38" s="42">
        <f>AVERAGE(INDIRECT("0分!Y" &amp; (ROW()-2)*7+3 &amp; ":Y" &amp; (ROW()-1)*7+2))</f>
        <v/>
      </c>
      <c r="G38" s="42">
        <f>AVERAGE(INDIRECT("0分!Z" &amp; (ROW()-2)*7+2 &amp; ":Z" &amp; (ROW()-1)*7+1))</f>
        <v/>
      </c>
      <c r="H38" s="42">
        <f>AVERAGE(INDIRECT("0分!AA" &amp; (ROW()-2)*7+3 &amp; ":AA" &amp; (ROW()-1)*7+2))</f>
        <v/>
      </c>
      <c r="I38" s="42">
        <f>AVERAGE(INDIRECT("0分!Y" &amp; (ROW()-2)*7+3 &amp; ":Y" &amp; (ROW()-1)*7+2))</f>
        <v/>
      </c>
      <c r="J38" s="42">
        <f>SUM(INDIRECT("0分!AE"&amp;(ROW()-2)*7+2&amp;":AE"&amp;(ROW()-1)*7+1))/7</f>
        <v/>
      </c>
      <c r="K38" s="313">
        <f t="array" ref="K38">INDIRECT("hcbi!BL"&amp;(ROW()-1)*7+-3)/7</f>
        <v/>
      </c>
      <c r="L38" s="240">
        <f>AVERAGE(INDIRECT("0分!AD"&amp;(ROW()-2)*7+2&amp;":AD"&amp;(ROW()-1)*7+1))</f>
        <v/>
      </c>
      <c r="M38" s="42">
        <f>AVERAGE(INDIRECT("0₦!BD"&amp;(ROW()-2)*7+6&amp;":BC"&amp;(ROW())*7 - 1))</f>
        <v/>
      </c>
      <c r="N38" s="42">
        <f>AVERAGE(INDIRECT("0分!AF"&amp;(ROW()-2)*7+2&amp;":AF"&amp;(ROW()-1)*7+1))</f>
        <v/>
      </c>
      <c r="O38" s="288">
        <f>AVERAGE(INDIRECT("0分!AH"&amp;(ROW()-2)*7+1&amp;":AH"&amp;(ROW()-1)*7))</f>
        <v/>
      </c>
      <c r="P38" s="42">
        <f>AVERAGE(INDIRECT("0₦!BC"&amp;(ROW()-2)*7+1&amp;":BB"&amp;(ROW()-1)*7))</f>
        <v/>
      </c>
      <c r="S38" s="42">
        <f>SUM(INDIRECT("0分!D" &amp; (ROW()-2)*7+2 &amp; ":D" &amp; (ROW()-1)*7+1))/7</f>
        <v/>
      </c>
      <c r="T38" s="450">
        <f>'i9'!B39</f>
        <v/>
      </c>
      <c r="U38" s="42">
        <f>-((0.97-0.853)*1000000) / 50 / 4</f>
        <v/>
      </c>
      <c r="V38" s="335" t="n"/>
      <c r="W38" s="335" t="n"/>
      <c r="X38" s="335" t="n"/>
      <c r="Y38" s="335" t="n"/>
      <c r="Z38" s="335" t="n"/>
      <c r="AA38" s="578">
        <f>MAX(INDIRECT("0s!P" &amp; (ROW()-2)*7+6 &amp; ":P" &amp; (ROW()-1)*7+5))</f>
        <v/>
      </c>
      <c r="AB38" s="55">
        <f>MIN(INDIRECT("0s!Q" &amp; (ROW()-2)*7+6 &amp; ":Q" &amp; (ROW()-1)*7+5))</f>
        <v/>
      </c>
      <c r="AC38" s="578">
        <f>AVERAGE(INDIRECT("0s!R" &amp; (ROW()-2)*7+6 &amp; ":R" &amp; (ROW()-1)*7+5))</f>
        <v/>
      </c>
      <c r="AD38" s="579" t="n"/>
      <c r="AE38" s="39">
        <f>SUM(INDIRECT("0分!Y" &amp; (ROW()-2)*7-3 &amp; ":Y" &amp; (ROW()-1)*7+-4))/7</f>
        <v/>
      </c>
      <c r="AF38" s="42">
        <f>P38+L38+M38</f>
        <v/>
      </c>
      <c r="AG38" s="445" t="n"/>
      <c r="AI38" s="450">
        <f>COUNTIF(INDIRECT("'0₦'!AR" &amp;((ROW()-2)*7+3) &amp; ":AR" &amp; ((ROW()-1)*7+2)), "&lt;0")</f>
        <v/>
      </c>
      <c r="AJ38" s="450">
        <f>COUNTIF(INDIRECT("'0₦'!M" &amp;((ROW()-2)*7+3) &amp; ":M" &amp; ((ROW()-1)*7+2)), "&lt;&gt;")</f>
        <v/>
      </c>
      <c r="AK38" s="450">
        <f>COUNTIF(INDIRECT("'0₦'!O" &amp;((ROW()-2)*7+3) &amp; ":O" &amp; ((ROW()-1)*7+2)), "&lt;&gt;")</f>
        <v/>
      </c>
      <c r="AL38" s="42">
        <f>SUM(INDIRECT("0₦!AR" &amp; (ROW()-2)*7+3 &amp; ":AR" &amp; (ROW()-1)*7+2))/7</f>
        <v/>
      </c>
      <c r="AM38" s="42">
        <f>SUM(INDIRECT("0₦!AS" &amp; (ROW()-2)*7+3 &amp; ":AS" &amp; (ROW()-1)*7+2))/7</f>
        <v/>
      </c>
      <c r="AN38" s="42">
        <f>SUM(INDIRECT("0₦!AT" &amp; (ROW()-2)*7+3 &amp; ":AT" &amp; (ROW()-1)*7+2))/7</f>
        <v/>
      </c>
      <c r="AO38" s="42">
        <f>SUM(INDIRECT("0₦!AU" &amp; (ROW()-2)*7+3 &amp; ":AU" &amp; (ROW()-1)*7+2))/7</f>
        <v/>
      </c>
      <c r="AP38" s="42">
        <f>SUM(AO38+AN38/2+AM38*0.1-AL38)</f>
        <v/>
      </c>
      <c r="AQ38" s="42" t="n"/>
      <c r="AR38" s="42" t="n"/>
      <c r="AU38" s="296">
        <f>SUM(INDIRECT("0分!AJ" &amp; (ROW()-2)*7 -1 &amp; ":AJ" &amp; (ROW()-1)*7-2))/7</f>
        <v/>
      </c>
      <c r="BI38" s="537" t="n"/>
      <c r="BY38" s="531" t="n"/>
    </row>
    <row r="39" ht="51" customHeight="1" s="37">
      <c r="A39" s="142">
        <f>A38+0.1</f>
        <v/>
      </c>
      <c r="B39" s="142">
        <f>B38+1</f>
        <v/>
      </c>
      <c r="C39" s="94">
        <f>SUM(INDIRECT("0分!D" &amp; (ROW()-2)*7+2 &amp; ":D" &amp; (ROW()-1)*7+1))</f>
        <v/>
      </c>
      <c r="D39" s="343" t="n"/>
      <c r="E39" s="42">
        <f>'1₦+'!AN41/7</f>
        <v/>
      </c>
      <c r="F39" s="42">
        <f>AVERAGE(INDIRECT("0分!Y" &amp; (ROW()-2)*7+3 &amp; ":Y" &amp; (ROW()-1)*7+2))</f>
        <v/>
      </c>
      <c r="G39" s="42">
        <f>AVERAGE(INDIRECT("0分!Z" &amp; (ROW()-2)*7+2 &amp; ":Z" &amp; (ROW()-1)*7+1))</f>
        <v/>
      </c>
      <c r="H39" s="42">
        <f>AVERAGE(INDIRECT("0分!AA" &amp; (ROW()-2)*7+3 &amp; ":AA" &amp; (ROW()-1)*7+2))</f>
        <v/>
      </c>
      <c r="I39" s="42">
        <f>AVERAGE(INDIRECT("0分!Y" &amp; (ROW()-2)*7+3 &amp; ":Y" &amp; (ROW()-1)*7+2))</f>
        <v/>
      </c>
      <c r="J39" s="42">
        <f>SUM(INDIRECT("0分!AE"&amp;(ROW()-2)*7+2&amp;":AE"&amp;(ROW()-1)*7+1))/7</f>
        <v/>
      </c>
      <c r="K39" s="313">
        <f t="array" ref="K39">INDIRECT("hcbi!BL"&amp;(ROW()-1)*7+-3)/7</f>
        <v/>
      </c>
      <c r="L39" s="240">
        <f>AVERAGE(INDIRECT("0分!AD"&amp;(ROW()-2)*7+2&amp;":AD"&amp;(ROW()-1)*7+1))</f>
        <v/>
      </c>
      <c r="M39" s="42">
        <f>AVERAGE(INDIRECT("0₦!BD"&amp;(ROW()-2)*7+6&amp;":BC"&amp;(ROW())*7 - 1))</f>
        <v/>
      </c>
      <c r="N39" s="42">
        <f>AVERAGE(INDIRECT("0分!AF"&amp;(ROW()-2)*7+2&amp;":AF"&amp;(ROW()-1)*7+1))</f>
        <v/>
      </c>
      <c r="O39" s="288">
        <f>AVERAGE(INDIRECT("0分!AH"&amp;(ROW()-2)*7+1&amp;":AH"&amp;(ROW()-1)*7))</f>
        <v/>
      </c>
      <c r="P39" s="42">
        <f>AVERAGE(INDIRECT("0₦!BC"&amp;(ROW()-2)*7+1&amp;":BB"&amp;(ROW()-1)*7))</f>
        <v/>
      </c>
      <c r="S39" s="42">
        <f>SUM(INDIRECT("0分!D" &amp; (ROW()-2)*7+2 &amp; ":D" &amp; (ROW()-1)*7+1))/7</f>
        <v/>
      </c>
      <c r="T39" s="450">
        <f>'i9'!B40</f>
        <v/>
      </c>
      <c r="U39" s="42">
        <f>-((0.97-0.853)*1000000) / 50 / 4</f>
        <v/>
      </c>
      <c r="V39" s="335" t="n"/>
      <c r="W39" s="335" t="n"/>
      <c r="X39" s="335" t="n"/>
      <c r="Y39" s="335" t="n"/>
      <c r="Z39" s="335" t="n"/>
      <c r="AA39" s="578">
        <f>MAX(INDIRECT("0s!P" &amp; (ROW()-2)*7+6 &amp; ":P" &amp; (ROW()-1)*7+5))</f>
        <v/>
      </c>
      <c r="AB39" s="55">
        <f>MIN(INDIRECT("0s!Q" &amp; (ROW()-2)*7+6 &amp; ":Q" &amp; (ROW()-1)*7+5))</f>
        <v/>
      </c>
      <c r="AC39" s="578">
        <f>AVERAGE(INDIRECT("0s!R" &amp; (ROW()-2)*7+6 &amp; ":R" &amp; (ROW()-1)*7+5))</f>
        <v/>
      </c>
      <c r="AD39" s="579" t="n"/>
      <c r="AE39" s="39">
        <f>SUM(INDIRECT("0分!Y" &amp; (ROW()-2)*7-3 &amp; ":Y" &amp; (ROW()-1)*7+-4))/7</f>
        <v/>
      </c>
      <c r="AF39" s="42">
        <f>P39+L39+M39</f>
        <v/>
      </c>
      <c r="AG39" s="473" t="n"/>
      <c r="AI39" s="450">
        <f>COUNTIF(INDIRECT("'0₦'!AR" &amp;((ROW()-2)*7+3) &amp; ":AR" &amp; ((ROW()-1)*7+2)), "&lt;0")</f>
        <v/>
      </c>
      <c r="AJ39" s="450">
        <f>COUNTIF(INDIRECT("'0₦'!M" &amp;((ROW()-2)*7+3) &amp; ":M" &amp; ((ROW()-1)*7+2)), "&lt;&gt;")</f>
        <v/>
      </c>
      <c r="AK39" s="450">
        <f>COUNTIF(INDIRECT("'0₦'!O" &amp;((ROW()-2)*7+3) &amp; ":O" &amp; ((ROW()-1)*7+2)), "&lt;&gt;")</f>
        <v/>
      </c>
      <c r="AL39" s="42">
        <f>SUM(INDIRECT("0₦!AR" &amp; (ROW()-2)*7+3 &amp; ":AR" &amp; (ROW()-1)*7+2))/7</f>
        <v/>
      </c>
      <c r="AM39" s="42">
        <f>SUM(INDIRECT("0₦!AS" &amp; (ROW()-2)*7+3 &amp; ":AS" &amp; (ROW()-1)*7+2))/7</f>
        <v/>
      </c>
      <c r="AN39" s="42">
        <f>SUM(INDIRECT("0₦!AT" &amp; (ROW()-2)*7+3 &amp; ":AT" &amp; (ROW()-1)*7+2))/7</f>
        <v/>
      </c>
      <c r="AO39" s="42">
        <f>SUM(INDIRECT("0₦!AU" &amp; (ROW()-2)*7+3 &amp; ":AU" &amp; (ROW()-1)*7+2))/7</f>
        <v/>
      </c>
      <c r="AP39" s="42">
        <f>SUM(AO39+AN39/2+AM39*0.1-AL39)</f>
        <v/>
      </c>
      <c r="AQ39" s="42" t="n"/>
      <c r="AR39" s="42" t="n"/>
      <c r="AU39" s="296">
        <f>SUM(INDIRECT("0分!AJ" &amp; (ROW()-2)*7 -1 &amp; ":AJ" &amp; (ROW()-1)*7-2))/7</f>
        <v/>
      </c>
      <c r="BI39" s="537" t="n"/>
      <c r="BY39" s="531" t="n"/>
    </row>
    <row r="40" ht="51" customHeight="1" s="37">
      <c r="A40" s="143">
        <f>A39+0.1</f>
        <v/>
      </c>
      <c r="B40" s="142">
        <f>B39+1</f>
        <v/>
      </c>
      <c r="C40" s="94">
        <f>SUM(INDIRECT("0分!D" &amp; (ROW()-2)*7+2 &amp; ":D" &amp; (ROW()-1)*7+1))</f>
        <v/>
      </c>
      <c r="D40" s="343" t="n"/>
      <c r="E40" s="42">
        <f>'1₦+'!AN42/7</f>
        <v/>
      </c>
      <c r="F40" s="42">
        <f>AVERAGE(INDIRECT("0分!Y" &amp; (ROW()-2)*7+3 &amp; ":Y" &amp; (ROW()-1)*7+2))</f>
        <v/>
      </c>
      <c r="G40" s="42">
        <f>AVERAGE(INDIRECT("0分!Z" &amp; (ROW()-2)*7+2 &amp; ":Z" &amp; (ROW()-1)*7+1))</f>
        <v/>
      </c>
      <c r="H40" s="42">
        <f>AVERAGE(INDIRECT("0分!AA" &amp; (ROW()-2)*7+3 &amp; ":AA" &amp; (ROW()-1)*7+2))</f>
        <v/>
      </c>
      <c r="I40" s="42">
        <f>AVERAGE(INDIRECT("0分!Y" &amp; (ROW()-2)*7+3 &amp; ":Y" &amp; (ROW()-1)*7+2))</f>
        <v/>
      </c>
      <c r="J40" s="42">
        <f>SUM(INDIRECT("0分!AE"&amp;(ROW()-2)*7+2&amp;":AE"&amp;(ROW()-1)*7+1))/7</f>
        <v/>
      </c>
      <c r="K40" s="313">
        <f t="array" ref="K40">INDIRECT("hcbi!BL"&amp;(ROW()-1)*7+-3)/7</f>
        <v/>
      </c>
      <c r="L40" s="240">
        <f>AVERAGE(INDIRECT("0分!AD"&amp;(ROW()-2)*7+2&amp;":AD"&amp;(ROW()-1)*7+1))</f>
        <v/>
      </c>
      <c r="M40" s="42">
        <f>AVERAGE(INDIRECT("0₦!BD"&amp;(ROW()-2)*7+6&amp;":BC"&amp;(ROW())*7 - 1))</f>
        <v/>
      </c>
      <c r="N40" s="42">
        <f>AVERAGE(INDIRECT("0分!AF"&amp;(ROW()-2)*7+2&amp;":AF"&amp;(ROW()-1)*7+1))</f>
        <v/>
      </c>
      <c r="O40" s="288">
        <f>AVERAGE(INDIRECT("0分!AH"&amp;(ROW()-2)*7+1&amp;":AH"&amp;(ROW()-1)*7))</f>
        <v/>
      </c>
      <c r="P40" s="42">
        <f>AVERAGE(INDIRECT("0₦!BC"&amp;(ROW()-2)*7+1&amp;":BB"&amp;(ROW()-1)*7))</f>
        <v/>
      </c>
      <c r="S40" s="42">
        <f>SUM(INDIRECT("0分!D" &amp; (ROW()-2)*7+2 &amp; ":D" &amp; (ROW()-1)*7+1))/7</f>
        <v/>
      </c>
      <c r="T40" s="450">
        <f>'i9'!B41</f>
        <v/>
      </c>
      <c r="U40" s="42">
        <f>-((0.97-0.853)*1000000) / 50 / 4</f>
        <v/>
      </c>
      <c r="V40" s="335" t="n"/>
      <c r="W40" s="335" t="n"/>
      <c r="X40" s="335" t="n"/>
      <c r="Y40" s="335" t="n"/>
      <c r="Z40" s="335" t="n"/>
      <c r="AA40" s="578">
        <f>MAX(INDIRECT("0s!P" &amp; (ROW()-2)*7+6 &amp; ":P" &amp; (ROW()-1)*7+5))</f>
        <v/>
      </c>
      <c r="AB40" s="55">
        <f>MIN(INDIRECT("0s!Q" &amp; (ROW()-2)*7+6 &amp; ":Q" &amp; (ROW()-1)*7+5))</f>
        <v/>
      </c>
      <c r="AC40" s="578">
        <f>AVERAGE(INDIRECT("0s!R" &amp; (ROW()-2)*7+6 &amp; ":R" &amp; (ROW()-1)*7+5))</f>
        <v/>
      </c>
      <c r="AD40" s="579" t="n"/>
      <c r="AE40" s="39">
        <f>SUM(INDIRECT("0分!Y" &amp; (ROW()-2)*7-3 &amp; ":Y" &amp; (ROW()-1)*7+-4))/7</f>
        <v/>
      </c>
      <c r="AF40" s="42">
        <f>P40+L40+M40</f>
        <v/>
      </c>
      <c r="AG40" s="445" t="n"/>
      <c r="AI40" s="450">
        <f>COUNTIF(INDIRECT("'0₦'!AR" &amp;((ROW()-2)*7+3) &amp; ":AR" &amp; ((ROW()-1)*7+2)), "&lt;0")</f>
        <v/>
      </c>
      <c r="AJ40" s="450">
        <f>COUNTIF(INDIRECT("'0₦'!M" &amp;((ROW()-2)*7+3) &amp; ":M" &amp; ((ROW()-1)*7+2)), "&lt;&gt;")</f>
        <v/>
      </c>
      <c r="AK40" s="450">
        <f>COUNTIF(INDIRECT("'0₦'!O" &amp;((ROW()-2)*7+3) &amp; ":O" &amp; ((ROW()-1)*7+2)), "&lt;&gt;")</f>
        <v/>
      </c>
      <c r="AL40" s="42">
        <f>SUM(INDIRECT("0₦!AR" &amp; (ROW()-2)*7+3 &amp; ":AR" &amp; (ROW()-1)*7+2))/7</f>
        <v/>
      </c>
      <c r="AM40" s="42">
        <f>SUM(INDIRECT("0₦!AS" &amp; (ROW()-2)*7+3 &amp; ":AS" &amp; (ROW()-1)*7+2))/7</f>
        <v/>
      </c>
      <c r="AN40" s="42">
        <f>SUM(INDIRECT("0₦!AT" &amp; (ROW()-2)*7+3 &amp; ":AT" &amp; (ROW()-1)*7+2))/7</f>
        <v/>
      </c>
      <c r="AO40" s="42">
        <f>SUM(INDIRECT("0₦!AU" &amp; (ROW()-2)*7+3 &amp; ":AU" &amp; (ROW()-1)*7+2))/7</f>
        <v/>
      </c>
      <c r="AP40" s="42">
        <f>SUM(AO40+AN40/2+AM40*0.1-AL40)</f>
        <v/>
      </c>
      <c r="AQ40" s="42" t="n"/>
      <c r="AR40" s="42" t="n"/>
      <c r="AU40" s="296">
        <f>SUM(INDIRECT("0分!AJ" &amp; (ROW()-2)*7 -1 &amp; ":AJ" &amp; (ROW()-1)*7-2))/7</f>
        <v/>
      </c>
      <c r="BI40" s="537" t="n"/>
      <c r="BY40" s="531" t="n"/>
    </row>
    <row r="41" ht="51" customHeight="1" s="37">
      <c r="A41" s="143">
        <f>A28+3</f>
        <v/>
      </c>
      <c r="B41" s="142">
        <f>B40+1</f>
        <v/>
      </c>
      <c r="C41" s="94">
        <f>SUM(INDIRECT("0分!D" &amp; (ROW()-2)*7+2 &amp; ":D" &amp; (ROW()-1)*7+1))</f>
        <v/>
      </c>
      <c r="D41" s="343" t="n"/>
      <c r="E41" s="42">
        <f>'1₦+'!AN43/7</f>
        <v/>
      </c>
      <c r="F41" s="42">
        <f>AVERAGE(INDIRECT("0分!Y" &amp; (ROW()-2)*7+3 &amp; ":Y" &amp; (ROW()-1)*7+2))</f>
        <v/>
      </c>
      <c r="G41" s="42">
        <f>AVERAGE(INDIRECT("0分!Z" &amp; (ROW()-2)*7+2 &amp; ":Z" &amp; (ROW()-1)*7+1))</f>
        <v/>
      </c>
      <c r="H41" s="42">
        <f>AVERAGE(INDIRECT("0分!AA" &amp; (ROW()-2)*7+3 &amp; ":AA" &amp; (ROW()-1)*7+2))</f>
        <v/>
      </c>
      <c r="I41" s="42">
        <f>AVERAGE(INDIRECT("0分!Y" &amp; (ROW()-2)*7+3 &amp; ":Y" &amp; (ROW()-1)*7+2))</f>
        <v/>
      </c>
      <c r="J41" s="42">
        <f>SUM(INDIRECT("0分!AE"&amp;(ROW()-2)*7+2&amp;":AE"&amp;(ROW()-1)*7+1))/7</f>
        <v/>
      </c>
      <c r="K41" s="313">
        <f t="array" ref="K41">INDIRECT("hcbi!BL"&amp;(ROW()-1)*7+-3)/7</f>
        <v/>
      </c>
      <c r="L41" s="240">
        <f>AVERAGE(INDIRECT("0分!AD"&amp;(ROW()-2)*7+2&amp;":AD"&amp;(ROW()-1)*7+1))</f>
        <v/>
      </c>
      <c r="M41" s="42">
        <f>AVERAGE(INDIRECT("0₦!BD"&amp;(ROW()-2)*7+6&amp;":BC"&amp;(ROW())*7 - 1))</f>
        <v/>
      </c>
      <c r="N41" s="42">
        <f>AVERAGE(INDIRECT("0分!AF"&amp;(ROW()-2)*7+2&amp;":AF"&amp;(ROW()-1)*7+1))</f>
        <v/>
      </c>
      <c r="O41" s="288">
        <f>AVERAGE(INDIRECT("0分!AH"&amp;(ROW()-2)*7+1&amp;":AH"&amp;(ROW()-1)*7))</f>
        <v/>
      </c>
      <c r="P41" s="42">
        <f>AVERAGE(INDIRECT("0₦!BC"&amp;(ROW()-2)*7+1&amp;":BB"&amp;(ROW()-1)*7))</f>
        <v/>
      </c>
      <c r="S41" s="42">
        <f>SUM(INDIRECT("0分!D" &amp; (ROW()-2)*7+2 &amp; ":D" &amp; (ROW()-1)*7+1))/7</f>
        <v/>
      </c>
      <c r="T41" s="450">
        <f>'i9'!B42</f>
        <v/>
      </c>
      <c r="U41" s="42">
        <f>-((0.97-0.853)*1000000) / 50 / 4</f>
        <v/>
      </c>
      <c r="V41" s="335" t="n"/>
      <c r="W41" s="335" t="n"/>
      <c r="X41" s="335" t="n"/>
      <c r="Y41" s="335" t="n"/>
      <c r="Z41" s="335" t="n"/>
      <c r="AA41" s="578">
        <f>MAX(INDIRECT("0s!P" &amp; (ROW()-2)*7+6 &amp; ":P" &amp; (ROW()-1)*7+5))</f>
        <v/>
      </c>
      <c r="AB41" s="55">
        <f>MIN(INDIRECT("0s!Q" &amp; (ROW()-2)*7+6 &amp; ":Q" &amp; (ROW()-1)*7+5))</f>
        <v/>
      </c>
      <c r="AC41" s="578">
        <f>AVERAGE(INDIRECT("0s!R" &amp; (ROW()-2)*7+6 &amp; ":R" &amp; (ROW()-1)*7+5))</f>
        <v/>
      </c>
      <c r="AD41" s="579" t="n"/>
      <c r="AE41" s="39">
        <f>SUM(INDIRECT("0分!Y" &amp; (ROW()-2)*7-3 &amp; ":Y" &amp; (ROW()-1)*7+-4))/7</f>
        <v/>
      </c>
      <c r="AF41" s="42">
        <f>P41+L41+M41</f>
        <v/>
      </c>
      <c r="AI41" s="450">
        <f>COUNTIF(INDIRECT("'0₦'!AR" &amp;((ROW()-2)*7+3) &amp; ":AR" &amp; ((ROW()-1)*7+2)), "&lt;0")</f>
        <v/>
      </c>
      <c r="AJ41" s="450">
        <f>COUNTIF(INDIRECT("'0₦'!M" &amp;((ROW()-2)*7+3) &amp; ":M" &amp; ((ROW()-1)*7+2)), "&lt;&gt;")</f>
        <v/>
      </c>
      <c r="AK41" s="450">
        <f>COUNTIF(INDIRECT("'0₦'!O" &amp;((ROW()-2)*7+3) &amp; ":O" &amp; ((ROW()-1)*7+2)), "&lt;&gt;")</f>
        <v/>
      </c>
      <c r="AL41" s="42">
        <f>SUM(INDIRECT("0₦!AR" &amp; (ROW()-2)*7+3 &amp; ":AR" &amp; (ROW()-1)*7+2))/7</f>
        <v/>
      </c>
      <c r="AM41" s="42">
        <f>SUM(INDIRECT("0₦!AS" &amp; (ROW()-2)*7+3 &amp; ":AS" &amp; (ROW()-1)*7+2))/7</f>
        <v/>
      </c>
      <c r="AN41" s="42">
        <f>SUM(INDIRECT("0₦!AT" &amp; (ROW()-2)*7+3 &amp; ":AT" &amp; (ROW()-1)*7+2))/7</f>
        <v/>
      </c>
      <c r="AO41" s="42">
        <f>SUM(INDIRECT("0₦!AU" &amp; (ROW()-2)*7+3 &amp; ":AU" &amp; (ROW()-1)*7+2))/7</f>
        <v/>
      </c>
      <c r="AP41" s="42">
        <f>SUM(AO41+AN41/2+AM41*0.1-AL41)</f>
        <v/>
      </c>
      <c r="AQ41" s="42" t="n"/>
      <c r="AR41" s="42" t="n"/>
      <c r="AU41" s="296">
        <f>SUM(INDIRECT("0分!AJ" &amp; (ROW()-2)*7 -1 &amp; ":AJ" &amp; (ROW()-1)*7-2))/7</f>
        <v/>
      </c>
      <c r="AV41" s="534">
        <f>COUNTIFS('0分'!E275:E302,"&gt;600",'0分'!E275:E302,"&lt;1000")/28</f>
        <v/>
      </c>
      <c r="AW41" s="534">
        <f>COUNTIF('0分'!F197:F224,"&gt;1")/28</f>
        <v/>
      </c>
      <c r="AX41" s="534">
        <f>COUNTIF('0分'!F275:F302,"&gt;0")/28</f>
        <v/>
      </c>
      <c r="AY41" s="533">
        <f>SUM(L41:L44)/28</f>
        <v/>
      </c>
      <c r="AZ41" s="533">
        <f>AVERAGE(N41:N44)</f>
        <v/>
      </c>
      <c r="BA41" s="533">
        <f>AVERAGE(O41:O44)/7</f>
        <v/>
      </c>
      <c r="BB41" s="533">
        <f>SUM(E41:E44)/4</f>
        <v/>
      </c>
      <c r="BC41" s="533">
        <f>SUM(G41:G44)/4</f>
        <v/>
      </c>
      <c r="BD41" s="533">
        <f>SUM(H41:H44)/4</f>
        <v/>
      </c>
      <c r="BE41" s="533">
        <f>SUM(I41:I44)/4</f>
        <v/>
      </c>
      <c r="BF41" s="533">
        <f>SUM(J41:J44)/4</f>
        <v/>
      </c>
      <c r="BG41" s="532">
        <f>AVERAGE(#REF!)/7</f>
        <v/>
      </c>
      <c r="BH41" s="532">
        <f>AVERAGE(P41:P44)</f>
        <v/>
      </c>
      <c r="BJ41" s="492">
        <f>AVERAGE(C41:C44)/7</f>
        <v/>
      </c>
      <c r="BK41" s="535" t="n"/>
      <c r="BL41" s="535" t="n"/>
      <c r="BM41" s="492">
        <f>AVERAGE(#REF!)</f>
        <v/>
      </c>
      <c r="BO41" s="581">
        <f>AVERAGE($AC41:$AC44)</f>
        <v/>
      </c>
      <c r="BP41" s="517">
        <f t="array" ref="BP41">SUMPRODUCT(('0分'!F120:F210&lt;&gt;0)*('0分'!F120:F210&lt;&gt;"n/a"))</f>
        <v/>
      </c>
      <c r="BQ41" s="517">
        <f t="array" ref="BQ41">SUMPRODUCT(('0分'!E120:E210&lt;&gt;0)*('0分'!E120:E210&lt;&gt;"n/a"))</f>
        <v/>
      </c>
      <c r="BR41" s="532">
        <f>SUM('0₦'!AW123:AW214,'0₦'!AX123:AX214,'0₦'!AY123:AY214)</f>
        <v/>
      </c>
      <c r="BS41" s="517">
        <f>SUM('0分'!Y120:Y210)</f>
        <v/>
      </c>
      <c r="BT41" s="517">
        <f>SUM(hcbi!AD124:AD214)</f>
        <v/>
      </c>
      <c r="BU41" s="517">
        <f>COUNTIF('0s'!U123:U213, "&lt;&gt;")</f>
        <v/>
      </c>
      <c r="BV41" s="532">
        <f>AVERAGE(N41:N54)</f>
        <v/>
      </c>
      <c r="BW41" s="532">
        <f>AVERAGE(#REF!)</f>
        <v/>
      </c>
      <c r="BX41" s="517">
        <f>SUM('0s'!L123:L213)</f>
        <v/>
      </c>
      <c r="CA41" s="533">
        <f>AVERAGE(F41:F44)</f>
        <v/>
      </c>
      <c r="CB41" s="533" t="n"/>
      <c r="CC41" s="533">
        <f>AVERAGE(G41:G44)</f>
        <v/>
      </c>
      <c r="CD41" s="533">
        <f>AVERAGE(H41:H44)</f>
        <v/>
      </c>
      <c r="CE41" s="533">
        <f>AVERAGE(I41:I44)</f>
        <v/>
      </c>
      <c r="CF41" s="533">
        <f>BF41</f>
        <v/>
      </c>
      <c r="CG41" s="532">
        <f>SUM(N41:N44)/COUNT(N41:N44)</f>
        <v/>
      </c>
      <c r="CH41" s="532">
        <f>AVERAGE(M41:M44)</f>
        <v/>
      </c>
      <c r="CI41" s="532">
        <f>AVERAGE(L41:L44)</f>
        <v/>
      </c>
      <c r="CJ41" s="532">
        <f>AVERAGE(O41:O44)</f>
        <v/>
      </c>
      <c r="CK41" s="517">
        <f>SUM('0分'!#REF!)</f>
        <v/>
      </c>
      <c r="CL41" s="532">
        <f>AVERAGE(P41:P44)</f>
        <v/>
      </c>
    </row>
    <row r="42" ht="51" customHeight="1" s="37">
      <c r="A42" s="142">
        <f>A41+0.1</f>
        <v/>
      </c>
      <c r="B42" s="142">
        <f>B41+1</f>
        <v/>
      </c>
      <c r="C42" s="94">
        <f>SUM(INDIRECT("0分!D" &amp; (ROW()-2)*7+2 &amp; ":D" &amp; (ROW()-1)*7+1))</f>
        <v/>
      </c>
      <c r="D42" s="343" t="n"/>
      <c r="E42" s="42">
        <f>'1₦+'!AN44/7</f>
        <v/>
      </c>
      <c r="F42" s="42">
        <f>AVERAGE(INDIRECT("0分!Y" &amp; (ROW()-2)*7+3 &amp; ":Y" &amp; (ROW()-1)*7+2))</f>
        <v/>
      </c>
      <c r="G42" s="42">
        <f>AVERAGE(INDIRECT("0分!Z" &amp; (ROW()-2)*7+2 &amp; ":Z" &amp; (ROW()-1)*7+1))</f>
        <v/>
      </c>
      <c r="H42" s="42">
        <f>AVERAGE(INDIRECT("0分!AA" &amp; (ROW()-2)*7+3 &amp; ":AA" &amp; (ROW()-1)*7+2))</f>
        <v/>
      </c>
      <c r="I42" s="42">
        <f>AVERAGE(INDIRECT("0分!Y" &amp; (ROW()-2)*7+3 &amp; ":Y" &amp; (ROW()-1)*7+2))</f>
        <v/>
      </c>
      <c r="J42" s="42">
        <f>SUM(INDIRECT("0分!AE"&amp;(ROW()-2)*7+2&amp;":AE"&amp;(ROW()-1)*7+1))/7</f>
        <v/>
      </c>
      <c r="K42" s="313">
        <f t="array" ref="K42">INDIRECT("hcbi!BL"&amp;(ROW()-1)*7+-3)/7</f>
        <v/>
      </c>
      <c r="L42" s="240">
        <f>AVERAGE(INDIRECT("0分!AD"&amp;(ROW()-2)*7+2&amp;":AD"&amp;(ROW()-1)*7+1))</f>
        <v/>
      </c>
      <c r="M42" s="42">
        <f>AVERAGE(INDIRECT("0₦!BD"&amp;(ROW()-2)*7+6&amp;":BC"&amp;(ROW())*7 - 1))</f>
        <v/>
      </c>
      <c r="N42" s="42">
        <f>AVERAGE(INDIRECT("0分!AF"&amp;(ROW()-2)*7+2&amp;":AF"&amp;(ROW()-1)*7+1))</f>
        <v/>
      </c>
      <c r="O42" s="288">
        <f>AVERAGE(INDIRECT("0分!AH"&amp;(ROW()-2)*7+1&amp;":AH"&amp;(ROW()-1)*7))</f>
        <v/>
      </c>
      <c r="P42" s="42">
        <f>AVERAGE(INDIRECT("0₦!BC"&amp;(ROW()-2)*7+1&amp;":BB"&amp;(ROW()-1)*7))</f>
        <v/>
      </c>
      <c r="S42" s="42">
        <f>SUM(INDIRECT("0分!D" &amp; (ROW()-2)*7+2 &amp; ":D" &amp; (ROW()-1)*7+1))/7</f>
        <v/>
      </c>
      <c r="T42" s="450">
        <f>'i9'!B43</f>
        <v/>
      </c>
      <c r="U42" s="42">
        <f>-((0.97-0.856)*1000000) / 50 / 4</f>
        <v/>
      </c>
      <c r="V42" s="335" t="n"/>
      <c r="W42" s="335" t="n"/>
      <c r="X42" s="335" t="n"/>
      <c r="Y42" s="335" t="n"/>
      <c r="Z42" s="335" t="n"/>
      <c r="AA42" s="578">
        <f>MAX(INDIRECT("0s!P" &amp; (ROW()-2)*7+6 &amp; ":P" &amp; (ROW()-1)*7+5))</f>
        <v/>
      </c>
      <c r="AB42" s="55">
        <f>MIN(INDIRECT("0s!Q" &amp; (ROW()-2)*7+6 &amp; ":Q" &amp; (ROW()-1)*7+5))</f>
        <v/>
      </c>
      <c r="AC42" s="578">
        <f>AVERAGE(INDIRECT("0s!R" &amp; (ROW()-2)*7+6 &amp; ":R" &amp; (ROW()-1)*7+5))</f>
        <v/>
      </c>
      <c r="AD42" s="579" t="n"/>
      <c r="AE42" s="39">
        <f>SUM(INDIRECT("0分!Y" &amp; (ROW()-2)*7-3 &amp; ":Y" &amp; (ROW()-1)*7+-4))/7</f>
        <v/>
      </c>
      <c r="AF42" s="42">
        <f>P42+L42+M42</f>
        <v/>
      </c>
      <c r="AI42" s="450">
        <f>COUNTIF(INDIRECT("'0₦'!AR" &amp;((ROW()-2)*7+3) &amp; ":AR" &amp; ((ROW()-1)*7+2)), "&lt;0")</f>
        <v/>
      </c>
      <c r="AJ42" s="450">
        <f>COUNTIF(INDIRECT("'0₦'!M" &amp;((ROW()-2)*7+3) &amp; ":M" &amp; ((ROW()-1)*7+2)), "&lt;&gt;")</f>
        <v/>
      </c>
      <c r="AK42" s="450">
        <f>COUNTIF(INDIRECT("'0₦'!O" &amp;((ROW()-2)*7+3) &amp; ":O" &amp; ((ROW()-1)*7+2)), "&lt;&gt;")</f>
        <v/>
      </c>
      <c r="AL42" s="42">
        <f>SUM(INDIRECT("0₦!AR" &amp; (ROW()-2)*7+3 &amp; ":AR" &amp; (ROW()-1)*7+2))/7</f>
        <v/>
      </c>
      <c r="AM42" s="42">
        <f>SUM(INDIRECT("0₦!AS" &amp; (ROW()-2)*7+3 &amp; ":AS" &amp; (ROW()-1)*7+2))/7</f>
        <v/>
      </c>
      <c r="AN42" s="42">
        <f>SUM(INDIRECT("0₦!AT" &amp; (ROW()-2)*7+3 &amp; ":AT" &amp; (ROW()-1)*7+2))/7</f>
        <v/>
      </c>
      <c r="AO42" s="42">
        <f>SUM(INDIRECT("0₦!AU" &amp; (ROW()-2)*7+3 &amp; ":AU" &amp; (ROW()-1)*7+2))/7</f>
        <v/>
      </c>
      <c r="AP42" s="42">
        <f>SUM(AO42+AN42/2+AM42*0.1-AL42)</f>
        <v/>
      </c>
      <c r="AQ42" s="42" t="n"/>
      <c r="AR42" s="42" t="n"/>
      <c r="AU42" s="296">
        <f>SUM(INDIRECT("0分!AJ" &amp; (ROW()-2)*7 -1 &amp; ":AJ" &amp; (ROW()-1)*7-2))/7</f>
        <v/>
      </c>
    </row>
    <row r="43" ht="51" customHeight="1" s="37">
      <c r="A43" s="142">
        <f>A42+0.1</f>
        <v/>
      </c>
      <c r="B43" s="142">
        <f>B42+1</f>
        <v/>
      </c>
      <c r="C43" s="94">
        <f>SUM(INDIRECT("0分!D" &amp; (ROW()-2)*7+2 &amp; ":D" &amp; (ROW()-1)*7+1))+K43 - (161)</f>
        <v/>
      </c>
      <c r="D43" s="343" t="n"/>
      <c r="E43" s="42">
        <f>'1₦+'!AN45/7</f>
        <v/>
      </c>
      <c r="F43" s="42">
        <f>AVERAGE(INDIRECT("0分!Y" &amp; (ROW()-2)*7+3 &amp; ":Y" &amp; (ROW()-1)*7+2))</f>
        <v/>
      </c>
      <c r="G43" s="42">
        <f>AVERAGE(INDIRECT("0分!Z" &amp; (ROW()-2)*7+2 &amp; ":Z" &amp; (ROW()-1)*7+1))</f>
        <v/>
      </c>
      <c r="H43" s="42">
        <f>AVERAGE(INDIRECT("0分!AA" &amp; (ROW()-2)*7+3 &amp; ":AA" &amp; (ROW()-1)*7+2))</f>
        <v/>
      </c>
      <c r="I43" s="42">
        <f>AVERAGE(INDIRECT("0分!Y" &amp; (ROW()-2)*7+3 &amp; ":Y" &amp; (ROW()-1)*7+2))</f>
        <v/>
      </c>
      <c r="J43" s="42">
        <f>SUM(INDIRECT("0分!AE"&amp;(ROW()-2)*7+2&amp;":AE"&amp;(ROW()-1)*7+1))/7</f>
        <v/>
      </c>
      <c r="K43" s="313">
        <f t="array" ref="K43">INDIRECT("hcbi!BL"&amp;(ROW()-1)*7+-3)/7</f>
        <v/>
      </c>
      <c r="L43" s="240">
        <f>AVERAGE(INDIRECT("0分!AD"&amp;(ROW()-2)*7+2&amp;":AD"&amp;(ROW()-1)*7+1))</f>
        <v/>
      </c>
      <c r="M43" s="42">
        <f>AVERAGE(INDIRECT("0₦!BD"&amp;(ROW()-2)*7+6&amp;":BC"&amp;(ROW())*7 - 1))</f>
        <v/>
      </c>
      <c r="N43" s="42">
        <f>AVERAGE(INDIRECT("0分!AF"&amp;(ROW()-2)*7+2&amp;":AF"&amp;(ROW()-1)*7+1))</f>
        <v/>
      </c>
      <c r="O43" s="288">
        <f>AVERAGE(INDIRECT("0分!AH"&amp;(ROW()-2)*7+1&amp;":AH"&amp;(ROW()-1)*7))</f>
        <v/>
      </c>
      <c r="P43" s="42">
        <f>AVERAGE(INDIRECT("0₦!BC"&amp;(ROW()-2)*7+1&amp;":BB"&amp;(ROW()-1)*7))</f>
        <v/>
      </c>
      <c r="S43" s="42">
        <f>SUM(INDIRECT("0分!D" &amp; (ROW()-2)*7+2 &amp; ":D" &amp; (ROW()-1)*7+1))/7</f>
        <v/>
      </c>
      <c r="T43" s="450">
        <f>'i9'!B44</f>
        <v/>
      </c>
      <c r="U43" s="42">
        <f>-((0.97-0.86)*1000000) / 50 / 4</f>
        <v/>
      </c>
      <c r="V43" s="335" t="n"/>
      <c r="W43" s="335" t="n"/>
      <c r="X43" s="335" t="n"/>
      <c r="Y43" s="335" t="n"/>
      <c r="Z43" s="335" t="n"/>
      <c r="AA43" s="578">
        <f>MAX(INDIRECT("0s!P" &amp; (ROW()-2)*7+6 &amp; ":P" &amp; (ROW()-1)*7+5))</f>
        <v/>
      </c>
      <c r="AB43" s="55">
        <f>MIN(INDIRECT("0s!Q" &amp; (ROW()-2)*7+6 &amp; ":Q" &amp; (ROW()-1)*7+5))</f>
        <v/>
      </c>
      <c r="AC43" s="578">
        <f>AVERAGE(INDIRECT("0s!R" &amp; (ROW()-2)*7+6 &amp; ":R" &amp; (ROW()-1)*7+5))</f>
        <v/>
      </c>
      <c r="AD43" s="579" t="n"/>
      <c r="AE43" s="39">
        <f>SUM(INDIRECT("0分!Y" &amp; (ROW()-2)*7-3 &amp; ":Y" &amp; (ROW()-1)*7+-4))/7</f>
        <v/>
      </c>
      <c r="AF43" s="42">
        <f>P43+L43+M43</f>
        <v/>
      </c>
      <c r="AI43" s="450">
        <f>COUNTIF(INDIRECT("'0₦'!AR" &amp;((ROW()-2)*7+3) &amp; ":AR" &amp; ((ROW()-1)*7+2)), "&lt;0")</f>
        <v/>
      </c>
      <c r="AJ43" s="450">
        <f>COUNTIF(INDIRECT("'0₦'!M" &amp;((ROW()-2)*7+3) &amp; ":M" &amp; ((ROW()-1)*7+2)), "&lt;&gt;")</f>
        <v/>
      </c>
      <c r="AK43" s="450">
        <f>COUNTIF(INDIRECT("'0₦'!O" &amp;((ROW()-2)*7+3) &amp; ":O" &amp; ((ROW()-1)*7+2)), "&lt;&gt;")</f>
        <v/>
      </c>
      <c r="AL43" s="42">
        <f>SUM(INDIRECT("0₦!AR" &amp; (ROW()-2)*7+3 &amp; ":AR" &amp; (ROW()-1)*7+2))/7</f>
        <v/>
      </c>
      <c r="AM43" s="42">
        <f>SUM(INDIRECT("0₦!AS" &amp; (ROW()-2)*7+3 &amp; ":AS" &amp; (ROW()-1)*7+2))/7</f>
        <v/>
      </c>
      <c r="AN43" s="42">
        <f>SUM(INDIRECT("0₦!AT" &amp; (ROW()-2)*7+3 &amp; ":AT" &amp; (ROW()-1)*7+2))/7</f>
        <v/>
      </c>
      <c r="AO43" s="42">
        <f>SUM(INDIRECT("0₦!AU" &amp; (ROW()-2)*7+3 &amp; ":AU" &amp; (ROW()-1)*7+2))/7</f>
        <v/>
      </c>
      <c r="AP43" s="42">
        <f>SUM(AO43+AN43/2+AM43*0.1-AL43)</f>
        <v/>
      </c>
      <c r="AQ43" s="42" t="n"/>
      <c r="AR43" s="42" t="n"/>
      <c r="AU43" s="296">
        <f>SUM(INDIRECT("0分!AJ" &amp; (ROW()-2)*7 -1 &amp; ":AJ" &amp; (ROW()-1)*7-2))/7</f>
        <v/>
      </c>
    </row>
    <row r="44" ht="51" customHeight="1" s="37">
      <c r="A44" s="142">
        <f>A43+0.1</f>
        <v/>
      </c>
      <c r="B44" s="142">
        <f>B43+1</f>
        <v/>
      </c>
      <c r="C44" s="94">
        <f>SUM(INDIRECT("0分!D" &amp; (ROW()-2)*7+2 &amp; ":D" &amp; (ROW()-1)*7+1))</f>
        <v/>
      </c>
      <c r="D44" s="343" t="n"/>
      <c r="E44" s="42">
        <f>'1₦+'!AN46/7</f>
        <v/>
      </c>
      <c r="F44" s="42">
        <f>AVERAGE(INDIRECT("0分!Y" &amp; (ROW()-2)*7+3 &amp; ":Y" &amp; (ROW()-1)*7+2))</f>
        <v/>
      </c>
      <c r="G44" s="42">
        <f>AVERAGE(INDIRECT("0分!Z" &amp; (ROW()-2)*7+2 &amp; ":Z" &amp; (ROW()-1)*7+1))</f>
        <v/>
      </c>
      <c r="H44" s="42">
        <f>AVERAGE(INDIRECT("0分!AA" &amp; (ROW()-2)*7+3 &amp; ":AA" &amp; (ROW()-1)*7+2))</f>
        <v/>
      </c>
      <c r="I44" s="42">
        <f>AVERAGE(INDIRECT("0分!Y" &amp; (ROW()-2)*7+3 &amp; ":Y" &amp; (ROW()-1)*7+2))</f>
        <v/>
      </c>
      <c r="J44" s="42">
        <f>SUM(INDIRECT("0分!AE"&amp;(ROW()-2)*7+2&amp;":AE"&amp;(ROW()-1)*7+1))/7</f>
        <v/>
      </c>
      <c r="K44" s="313">
        <f t="array" ref="K44">INDIRECT("hcbi!BL"&amp;(ROW()-1)*7+-3)/7</f>
        <v/>
      </c>
      <c r="L44" s="240">
        <f>AVERAGE(INDIRECT("0分!AD"&amp;(ROW()-2)*7+2&amp;":AD"&amp;(ROW()-1)*7+1))</f>
        <v/>
      </c>
      <c r="M44" s="42">
        <f>AVERAGE(INDIRECT("0₦!BD"&amp;(ROW()-2)*7+6&amp;":BC"&amp;(ROW())*7 - 1))</f>
        <v/>
      </c>
      <c r="N44" s="42">
        <f>AVERAGE(INDIRECT("0分!AF"&amp;(ROW()-2)*7+2&amp;":AF"&amp;(ROW()-1)*7+1))</f>
        <v/>
      </c>
      <c r="O44" s="288">
        <f>AVERAGE(INDIRECT("0分!AH"&amp;(ROW()-2)*7+1&amp;":AH"&amp;(ROW()-1)*7))</f>
        <v/>
      </c>
      <c r="P44" s="42">
        <f>AVERAGE(INDIRECT("0₦!BC"&amp;(ROW()-2)*7+1&amp;":BB"&amp;(ROW()-1)*7))</f>
        <v/>
      </c>
      <c r="S44" s="42">
        <f>SUM(INDIRECT("0分!D" &amp; (ROW()-2)*7+2 &amp; ":D" &amp; (ROW()-1)*7+1))/7</f>
        <v/>
      </c>
      <c r="T44" s="450">
        <f>'i9'!B45</f>
        <v/>
      </c>
      <c r="U44" s="42">
        <f>-((0.97-0.864)*1000000) / 50 / 4</f>
        <v/>
      </c>
      <c r="V44" s="335" t="n"/>
      <c r="W44" s="335" t="n"/>
      <c r="X44" s="335" t="n"/>
      <c r="Y44" s="335" t="n"/>
      <c r="Z44" s="335" t="n"/>
      <c r="AA44" s="578">
        <f>MAX(INDIRECT("0s!P" &amp; (ROW()-2)*7+6 &amp; ":P" &amp; (ROW()-1)*7+5))</f>
        <v/>
      </c>
      <c r="AB44" s="55">
        <f>MIN(INDIRECT("0s!Q" &amp; (ROW()-2)*7+6 &amp; ":Q" &amp; (ROW()-1)*7+5))</f>
        <v/>
      </c>
      <c r="AC44" s="578">
        <f>AVERAGE(INDIRECT("0s!R" &amp; (ROW()-2)*7+6 &amp; ":R" &amp; (ROW()-1)*7+5))</f>
        <v/>
      </c>
      <c r="AD44" s="579" t="n"/>
      <c r="AE44" s="39">
        <f>SUM(INDIRECT("0分!Y" &amp; (ROW()-2)*7-3 &amp; ":Y" &amp; (ROW()-1)*7+-4))/7</f>
        <v/>
      </c>
      <c r="AF44" s="42">
        <f>P44+L44+M44</f>
        <v/>
      </c>
      <c r="AI44" s="450">
        <f>COUNTIF(INDIRECT("'0₦'!AR" &amp;((ROW()-2)*7+3) &amp; ":AR" &amp; ((ROW()-1)*7+2)), "&lt;0")</f>
        <v/>
      </c>
      <c r="AJ44" s="450">
        <f>COUNTIF(INDIRECT("'0₦'!M" &amp;((ROW()-2)*7+3) &amp; ":M" &amp; ((ROW()-1)*7+2)), "&lt;&gt;")</f>
        <v/>
      </c>
      <c r="AK44" s="450">
        <f>COUNTIF(INDIRECT("'0₦'!O" &amp;((ROW()-2)*7+3) &amp; ":O" &amp; ((ROW()-1)*7+2)), "&lt;&gt;")</f>
        <v/>
      </c>
      <c r="AL44" s="42">
        <f>SUM(INDIRECT("0₦!AR" &amp; (ROW()-2)*7+3 &amp; ":AR" &amp; (ROW()-1)*7+2))/7</f>
        <v/>
      </c>
      <c r="AM44" s="42">
        <f>SUM(INDIRECT("0₦!AS" &amp; (ROW()-2)*7+3 &amp; ":AS" &amp; (ROW()-1)*7+2))/7</f>
        <v/>
      </c>
      <c r="AN44" s="42">
        <f>SUM(INDIRECT("0₦!AT" &amp; (ROW()-2)*7+3 &amp; ":AT" &amp; (ROW()-1)*7+2))/7</f>
        <v/>
      </c>
      <c r="AO44" s="42">
        <f>SUM(INDIRECT("0₦!AU" &amp; (ROW()-2)*7+3 &amp; ":AU" &amp; (ROW()-1)*7+2))/7</f>
        <v/>
      </c>
      <c r="AP44" s="42">
        <f>SUM(AO44+AN44/2+AM44*0.1-AL44)</f>
        <v/>
      </c>
      <c r="AQ44" s="42" t="n"/>
      <c r="AR44" s="42" t="n"/>
      <c r="AU44" s="296">
        <f>SUM(INDIRECT("0分!AJ" &amp; (ROW()-2)*7 -1 &amp; ":AJ" &amp; (ROW()-1)*7-2))/7</f>
        <v/>
      </c>
    </row>
    <row r="45" ht="51" customHeight="1" s="37">
      <c r="A45" s="142">
        <f>A41+1</f>
        <v/>
      </c>
      <c r="B45" s="142">
        <f>B44+1</f>
        <v/>
      </c>
      <c r="C45" s="94">
        <f>SUM(INDIRECT("0分!D" &amp; (ROW()-2)*7+2 &amp; ":D" &amp; (ROW()-1)*7+1))+K45 - (161)</f>
        <v/>
      </c>
      <c r="D45" s="343" t="n"/>
      <c r="E45" s="42">
        <f>'1₦+'!AN47/7</f>
        <v/>
      </c>
      <c r="F45" s="42">
        <f>AVERAGE(INDIRECT("0分!Y" &amp; (ROW()-2)*7+3 &amp; ":Y" &amp; (ROW()-1)*7+2))</f>
        <v/>
      </c>
      <c r="G45" s="42">
        <f>AVERAGE(INDIRECT("0分!Z" &amp; (ROW()-2)*7+2 &amp; ":Z" &amp; (ROW()-1)*7+1))</f>
        <v/>
      </c>
      <c r="H45" s="42">
        <f>AVERAGE(INDIRECT("0分!AA" &amp; (ROW()-2)*7+3 &amp; ":AA" &amp; (ROW()-1)*7+2))</f>
        <v/>
      </c>
      <c r="I45" s="42">
        <f>AVERAGE(INDIRECT("0分!Y" &amp; (ROW()-2)*7+3 &amp; ":Y" &amp; (ROW()-1)*7+2))</f>
        <v/>
      </c>
      <c r="J45" s="42">
        <f>SUM(INDIRECT("0分!AE"&amp;(ROW()-2)*7+2&amp;":AE"&amp;(ROW()-1)*7+1))/7</f>
        <v/>
      </c>
      <c r="K45" s="313">
        <f t="array" ref="K45">INDIRECT("hcbi!BL"&amp;(ROW()-1)*7+-3)/7</f>
        <v/>
      </c>
      <c r="L45" s="240">
        <f>AVERAGE(INDIRECT("0分!AD"&amp;(ROW()-2)*7+2&amp;":AD"&amp;(ROW()-1)*7+1))</f>
        <v/>
      </c>
      <c r="M45" s="42">
        <f>AVERAGE(INDIRECT("0₦!BD"&amp;(ROW()-2)*7+6&amp;":BC"&amp;(ROW())*7 - 1))</f>
        <v/>
      </c>
      <c r="N45" s="42">
        <f>AVERAGE(INDIRECT("0分!AF"&amp;(ROW()-2)*7+2&amp;":AF"&amp;(ROW()-1)*7+1))</f>
        <v/>
      </c>
      <c r="O45" s="288">
        <f>AVERAGE(INDIRECT("0分!AH"&amp;(ROW()-2)*7+1&amp;":AH"&amp;(ROW()-1)*7))</f>
        <v/>
      </c>
      <c r="P45" s="42">
        <f>AVERAGE(INDIRECT("0₦!BC"&amp;(ROW()-2)*7+1&amp;":BB"&amp;(ROW()-1)*7))</f>
        <v/>
      </c>
      <c r="S45" s="42">
        <f>SUM(INDIRECT("0分!D" &amp; (ROW()-2)*7+2 &amp; ":D" &amp; (ROW()-1)*7+1))/7</f>
        <v/>
      </c>
      <c r="T45" s="450">
        <f>'i9'!B46</f>
        <v/>
      </c>
      <c r="U45" s="42">
        <f>-((0.97-0.87)*1000000) / 50 / 4</f>
        <v/>
      </c>
      <c r="V45" s="335" t="n"/>
      <c r="W45" s="335" t="n"/>
      <c r="X45" s="335" t="n"/>
      <c r="Y45" s="335" t="n"/>
      <c r="Z45" s="335" t="n"/>
      <c r="AA45" s="578">
        <f>MAX(INDIRECT("0s!P" &amp; (ROW()-2)*7+6 &amp; ":P" &amp; (ROW()-1)*7+5))</f>
        <v/>
      </c>
      <c r="AB45" s="55">
        <f>MIN(INDIRECT("0s!Q" &amp; (ROW()-2)*7+6 &amp; ":Q" &amp; (ROW()-1)*7+5))</f>
        <v/>
      </c>
      <c r="AC45" s="578">
        <f>AVERAGE(INDIRECT("0s!R" &amp; (ROW()-2)*7+6 &amp; ":R" &amp; (ROW()-1)*7+5))</f>
        <v/>
      </c>
      <c r="AD45" s="579" t="n"/>
      <c r="AE45" s="39">
        <f>SUM(INDIRECT("0分!Y" &amp; (ROW()-2)*7-3 &amp; ":Y" &amp; (ROW()-1)*7+-4))/7</f>
        <v/>
      </c>
      <c r="AF45" s="42">
        <f>P45+L45+M45</f>
        <v/>
      </c>
      <c r="AI45" s="450">
        <f>COUNTIF(INDIRECT("'0₦'!AR" &amp;((ROW()-2)*7+3) &amp; ":AR" &amp; ((ROW()-1)*7+2)), "&lt;0")</f>
        <v/>
      </c>
      <c r="AJ45" s="450">
        <f>COUNTIF(INDIRECT("'0₦'!M" &amp;((ROW()-2)*7+3) &amp; ":M" &amp; ((ROW()-1)*7+2)), "&lt;&gt;")</f>
        <v/>
      </c>
      <c r="AK45" s="450">
        <f>COUNTIF(INDIRECT("'0₦'!O" &amp;((ROW()-2)*7+3) &amp; ":O" &amp; ((ROW()-1)*7+2)), "&lt;&gt;")</f>
        <v/>
      </c>
      <c r="AL45" s="42">
        <f>SUM(INDIRECT("0₦!AR" &amp; (ROW()-2)*7+3 &amp; ":AR" &amp; (ROW()-1)*7+2))/7</f>
        <v/>
      </c>
      <c r="AM45" s="42">
        <f>SUM(INDIRECT("0₦!AS" &amp; (ROW()-2)*7+3 &amp; ":AS" &amp; (ROW()-1)*7+2))/7</f>
        <v/>
      </c>
      <c r="AN45" s="42">
        <f>SUM(INDIRECT("0₦!AT" &amp; (ROW()-2)*7+3 &amp; ":AT" &amp; (ROW()-1)*7+2))/7</f>
        <v/>
      </c>
      <c r="AO45" s="42">
        <f>SUM(INDIRECT("0₦!AU" &amp; (ROW()-2)*7+3 &amp; ":AU" &amp; (ROW()-1)*7+2))/7</f>
        <v/>
      </c>
      <c r="AP45" s="42">
        <f>SUM(AO45+AN45/2+AM45*0.1-AL45)</f>
        <v/>
      </c>
      <c r="AQ45" s="42" t="n"/>
      <c r="AR45" s="42" t="n"/>
      <c r="AU45" s="296">
        <f>SUM(INDIRECT("0分!AJ" &amp; (ROW()-2)*7 -1 &amp; ":AJ" &amp; (ROW()-1)*7-2))/7</f>
        <v/>
      </c>
      <c r="AV45" s="534">
        <f>COUNTIFS('0分'!E303:E330,"&gt;600",'0分'!E303:E330,"&lt;1000")/28</f>
        <v/>
      </c>
      <c r="AW45" s="534">
        <f>COUNTIF('0分'!F201:F228,"&gt;1")/28</f>
        <v/>
      </c>
      <c r="AX45" s="534">
        <f>COUNTIF('0分'!F303:F330,"&gt;0")/28</f>
        <v/>
      </c>
      <c r="AY45" s="533">
        <f>SUM(L45:L48)/28</f>
        <v/>
      </c>
      <c r="AZ45" s="533">
        <f>AVERAGE(N45:N48)</f>
        <v/>
      </c>
      <c r="BA45" s="533">
        <f>AVERAGE(O45:O48)/7</f>
        <v/>
      </c>
      <c r="BB45" s="533">
        <f>SUM(E45:E48)/4</f>
        <v/>
      </c>
      <c r="BC45" s="533">
        <f>SUM(G45:G48)/4</f>
        <v/>
      </c>
      <c r="BD45" s="533">
        <f>SUM(H45:H48)/4</f>
        <v/>
      </c>
      <c r="BE45" s="533">
        <f>SUM(I45:I48)/4</f>
        <v/>
      </c>
      <c r="BF45" s="533">
        <f>SUM(J45:J48)/4</f>
        <v/>
      </c>
      <c r="BG45" s="532">
        <f>AVERAGE(#REF!)/7</f>
        <v/>
      </c>
      <c r="BH45" s="532">
        <f>AVERAGE(P45:P48)</f>
        <v/>
      </c>
      <c r="BJ45" s="492">
        <f>AVERAGE(C45:C48)/7</f>
        <v/>
      </c>
      <c r="BK45" s="535" t="n"/>
      <c r="BL45" s="535" t="n"/>
      <c r="BM45" s="492">
        <f>AVERAGE(#REF!)</f>
        <v/>
      </c>
      <c r="BO45" s="581">
        <f>AVERAGE($AC45:$AC48)</f>
        <v/>
      </c>
      <c r="CA45" s="296">
        <f>AVERAGE(F45:F48)</f>
        <v/>
      </c>
      <c r="CB45" s="296" t="n"/>
      <c r="CC45" s="296">
        <f>AVERAGE(G45:G48)</f>
        <v/>
      </c>
      <c r="CD45" s="296">
        <f>AVERAGE(H45:H48)</f>
        <v/>
      </c>
      <c r="CE45" s="296">
        <f>AVERAGE(I45:I48)</f>
        <v/>
      </c>
      <c r="CF45" s="296">
        <f>BF45</f>
        <v/>
      </c>
      <c r="CG45" s="2">
        <f>SUM(N45:N48)/COUNT(N45:N48)</f>
        <v/>
      </c>
      <c r="CH45" s="2">
        <f>AVERAGE(M45:M48)</f>
        <v/>
      </c>
      <c r="CI45" s="2">
        <f>AVERAGE(L45:L48)</f>
        <v/>
      </c>
      <c r="CJ45" s="2">
        <f>AVERAGE(O45:O48)</f>
        <v/>
      </c>
      <c r="CK45" s="335">
        <f>SUM('0分'!#REF!)</f>
        <v/>
      </c>
      <c r="CL45" s="2">
        <f>AVERAGE(P45:P48)</f>
        <v/>
      </c>
      <c r="CM45" s="445" t="n"/>
      <c r="CO45" s="445" t="n"/>
    </row>
    <row r="46" ht="51" customHeight="1" s="37">
      <c r="A46" s="142">
        <f>A45+0.1</f>
        <v/>
      </c>
      <c r="B46" s="142">
        <f>B45+1</f>
        <v/>
      </c>
      <c r="C46" s="94">
        <f>SUM(INDIRECT("0分!D" &amp; (ROW()-2)*7+2 &amp; ":D" &amp; (ROW()-1)*7+1))+K46 - (161)</f>
        <v/>
      </c>
      <c r="D46" s="343" t="n"/>
      <c r="E46" s="42">
        <f>'1₦+'!AN48/7</f>
        <v/>
      </c>
      <c r="F46" s="42">
        <f>AVERAGE(INDIRECT("0分!Y" &amp; (ROW()-2)*7+3 &amp; ":Y" &amp; (ROW()-1)*7+2))</f>
        <v/>
      </c>
      <c r="G46" s="42">
        <f>AVERAGE(INDIRECT("0分!Z" &amp; (ROW()-2)*7+2 &amp; ":Z" &amp; (ROW()-1)*7+1))</f>
        <v/>
      </c>
      <c r="H46" s="42">
        <f>AVERAGE(INDIRECT("0分!AA" &amp; (ROW()-2)*7+3 &amp; ":AA" &amp; (ROW()-1)*7+2))</f>
        <v/>
      </c>
      <c r="I46" s="42">
        <f>AVERAGE(INDIRECT("0分!Y" &amp; (ROW()-2)*7+3 &amp; ":Y" &amp; (ROW()-1)*7+2))</f>
        <v/>
      </c>
      <c r="J46" s="42">
        <f>SUM(INDIRECT("0分!AE"&amp;(ROW()-2)*7+2&amp;":AE"&amp;(ROW()-1)*7+1))/7</f>
        <v/>
      </c>
      <c r="K46" s="313">
        <f t="array" ref="K46">INDIRECT("hcbi!BL"&amp;(ROW()-1)*7+-3)/7</f>
        <v/>
      </c>
      <c r="L46" s="240">
        <f>AVERAGE(INDIRECT("0分!AD"&amp;(ROW()-2)*7+2&amp;":AD"&amp;(ROW()-1)*7+1))</f>
        <v/>
      </c>
      <c r="M46" s="42">
        <f>AVERAGE(INDIRECT("0₦!BD"&amp;(ROW()-2)*7+6&amp;":BC"&amp;(ROW())*7 - 1))</f>
        <v/>
      </c>
      <c r="N46" s="42">
        <f>AVERAGE(INDIRECT("0分!AF"&amp;(ROW()-2)*7+2&amp;":AF"&amp;(ROW()-1)*7+1))</f>
        <v/>
      </c>
      <c r="O46" s="288">
        <f>AVERAGE(INDIRECT("0分!AH"&amp;(ROW()-2)*7+1&amp;":AH"&amp;(ROW()-1)*7))</f>
        <v/>
      </c>
      <c r="P46" s="42">
        <f>AVERAGE(INDIRECT("0₦!BC"&amp;(ROW()-2)*7+1&amp;":BB"&amp;(ROW()-1)*7))</f>
        <v/>
      </c>
      <c r="S46" s="42">
        <f>SUM(INDIRECT("0分!D" &amp; (ROW()-2)*7+2 &amp; ":D" &amp; (ROW()-1)*7+1))/7</f>
        <v/>
      </c>
      <c r="T46" s="450">
        <f>'i9'!B47</f>
        <v/>
      </c>
      <c r="U46" s="42">
        <f>-((0.97-0.87)*1000000) / 50 / 4</f>
        <v/>
      </c>
      <c r="V46" s="335" t="n"/>
      <c r="W46" s="335" t="n"/>
      <c r="X46" s="335" t="n"/>
      <c r="Y46" s="335" t="n"/>
      <c r="Z46" s="335" t="n"/>
      <c r="AA46" s="578">
        <f>MAX(INDIRECT("0s!P" &amp; (ROW()-2)*7+6 &amp; ":P" &amp; (ROW()-1)*7+5))</f>
        <v/>
      </c>
      <c r="AB46" s="55">
        <f>MIN(INDIRECT("0s!Q" &amp; (ROW()-2)*7+6 &amp; ":Q" &amp; (ROW()-1)*7+5))</f>
        <v/>
      </c>
      <c r="AC46" s="578">
        <f>AVERAGE(INDIRECT("0s!R" &amp; (ROW()-2)*7+6 &amp; ":R" &amp; (ROW()-1)*7+5))</f>
        <v/>
      </c>
      <c r="AD46" s="579" t="n"/>
      <c r="AE46" s="39">
        <f>SUM(INDIRECT("0分!Y" &amp; (ROW()-2)*7-3 &amp; ":Y" &amp; (ROW()-1)*7+-4))/7</f>
        <v/>
      </c>
      <c r="AF46" s="42">
        <f>P46+L46+M46</f>
        <v/>
      </c>
      <c r="AH46" s="216" t="n">
        <v>2</v>
      </c>
      <c r="AI46" s="450">
        <f>COUNTIF(INDIRECT("'0₦'!AR" &amp;((ROW()-2)*7+3) &amp; ":AR" &amp; ((ROW()-1)*7+2)), "&lt;0")</f>
        <v/>
      </c>
      <c r="AJ46" s="450">
        <f>COUNTIF(INDIRECT("'0₦'!M" &amp;((ROW()-2)*7+3) &amp; ":M" &amp; ((ROW()-1)*7+2)), "&lt;&gt;")</f>
        <v/>
      </c>
      <c r="AK46" s="450">
        <f>COUNTIF(INDIRECT("'0₦'!O" &amp;((ROW()-2)*7+3) &amp; ":O" &amp; ((ROW()-1)*7+2)), "&lt;&gt;")</f>
        <v/>
      </c>
      <c r="AL46" s="42">
        <f>SUM(INDIRECT("0₦!AR" &amp; (ROW()-2)*7+3 &amp; ":AR" &amp; (ROW()-1)*7+2))/7</f>
        <v/>
      </c>
      <c r="AM46" s="42">
        <f>SUM(INDIRECT("0₦!AS" &amp; (ROW()-2)*7+3 &amp; ":AS" &amp; (ROW()-1)*7+2))/7</f>
        <v/>
      </c>
      <c r="AN46" s="42">
        <f>SUM(INDIRECT("0₦!AT" &amp; (ROW()-2)*7+3 &amp; ":AT" &amp; (ROW()-1)*7+2))/7</f>
        <v/>
      </c>
      <c r="AO46" s="42">
        <f>SUM(INDIRECT("0₦!AU" &amp; (ROW()-2)*7+3 &amp; ":AU" &amp; (ROW()-1)*7+2))/7</f>
        <v/>
      </c>
      <c r="AP46" s="42">
        <f>SUM(AO46+AN46/2+AM46*0.1-AL46)</f>
        <v/>
      </c>
      <c r="AQ46" s="42" t="n"/>
      <c r="AR46" s="42" t="n"/>
      <c r="AU46" s="296">
        <f>SUM(INDIRECT("0分!AJ" &amp; (ROW()-2)*7 -1 &amp; ":AJ" &amp; (ROW()-1)*7-2))/7</f>
        <v/>
      </c>
      <c r="CA46" s="335" t="n"/>
      <c r="CB46" s="335" t="n"/>
      <c r="CC46" s="335" t="n"/>
      <c r="CD46" s="335" t="n"/>
      <c r="CE46" s="335" t="n"/>
      <c r="CF46" s="335" t="n"/>
      <c r="CG46" s="335" t="n"/>
      <c r="CH46" s="335" t="n"/>
      <c r="CI46" s="335" t="n"/>
      <c r="CJ46" s="335" t="n"/>
      <c r="CK46" s="335" t="n"/>
      <c r="CL46" s="335" t="n"/>
      <c r="CM46" s="445" t="n"/>
    </row>
    <row r="47" ht="51" customHeight="1" s="37">
      <c r="A47" s="142">
        <f>A46+0.1</f>
        <v/>
      </c>
      <c r="B47" s="142">
        <f>B46+1</f>
        <v/>
      </c>
      <c r="C47" s="94">
        <f>SUM(INDIRECT("0分!D" &amp; (ROW()-2)*7+2 &amp; ":D" &amp; (ROW()-1)*7+1))</f>
        <v/>
      </c>
      <c r="D47" s="343" t="n"/>
      <c r="E47" s="42">
        <f>'1₦+'!AN49/7</f>
        <v/>
      </c>
      <c r="F47" s="42">
        <f>AVERAGE(INDIRECT("0分!Y" &amp; (ROW()-2)*7+3 &amp; ":Y" &amp; (ROW()-1)*7+2))</f>
        <v/>
      </c>
      <c r="G47" s="42">
        <f>AVERAGE(INDIRECT("0分!Z" &amp; (ROW()-2)*7+2 &amp; ":Z" &amp; (ROW()-1)*7+1))</f>
        <v/>
      </c>
      <c r="H47" s="42">
        <f>AVERAGE(INDIRECT("0分!AA" &amp; (ROW()-2)*7+3 &amp; ":AA" &amp; (ROW()-1)*7+2))</f>
        <v/>
      </c>
      <c r="I47" s="42">
        <f>AVERAGE(INDIRECT("0分!Y" &amp; (ROW()-2)*7+3 &amp; ":Y" &amp; (ROW()-1)*7+2))</f>
        <v/>
      </c>
      <c r="J47" s="42">
        <f>SUM(INDIRECT("0分!AE"&amp;(ROW()-2)*7+2&amp;":AE"&amp;(ROW()-1)*7+1))/7</f>
        <v/>
      </c>
      <c r="K47" s="313">
        <f t="array" ref="K47">INDIRECT("hcbi!BL"&amp;(ROW()-1)*7+-3)/7</f>
        <v/>
      </c>
      <c r="L47" s="240">
        <f>AVERAGE(INDIRECT("0分!AD"&amp;(ROW()-2)*7+2&amp;":AD"&amp;(ROW()-1)*7+1))</f>
        <v/>
      </c>
      <c r="M47" s="42">
        <f>AVERAGE(INDIRECT("0₦!BD"&amp;(ROW()-2)*7+6&amp;":BC"&amp;(ROW())*7 - 1))</f>
        <v/>
      </c>
      <c r="N47" s="42">
        <f>AVERAGE(INDIRECT("0分!AF"&amp;(ROW()-2)*7+2&amp;":AF"&amp;(ROW()-1)*7+1))</f>
        <v/>
      </c>
      <c r="O47" s="288">
        <f>AVERAGE(INDIRECT("0分!AH"&amp;(ROW()-2)*7+1&amp;":AH"&amp;(ROW()-1)*7))</f>
        <v/>
      </c>
      <c r="P47" s="42">
        <f>AVERAGE(INDIRECT("0₦!BC"&amp;(ROW()-2)*7+1&amp;":BB"&amp;(ROW()-1)*7))</f>
        <v/>
      </c>
      <c r="S47" s="42">
        <f>SUM(INDIRECT("0分!D" &amp; (ROW()-2)*7+2 &amp; ":D" &amp; (ROW()-1)*7+1))/7</f>
        <v/>
      </c>
      <c r="T47" s="450">
        <f>'i9'!B48</f>
        <v/>
      </c>
      <c r="U47" s="42">
        <f>-((0.97-0.87)*1000000) / 50 / 4</f>
        <v/>
      </c>
      <c r="V47" s="335" t="n"/>
      <c r="W47" s="335" t="n"/>
      <c r="X47" s="335" t="n"/>
      <c r="Y47" s="335" t="n"/>
      <c r="Z47" s="335" t="n"/>
      <c r="AA47" s="578">
        <f>MAX(INDIRECT("0s!P" &amp; (ROW()-2)*7+6 &amp; ":P" &amp; (ROW()-1)*7+5))</f>
        <v/>
      </c>
      <c r="AB47" s="55">
        <f>MIN(INDIRECT("0s!Q" &amp; (ROW()-2)*7+6 &amp; ":Q" &amp; (ROW()-1)*7+5))</f>
        <v/>
      </c>
      <c r="AC47" s="578">
        <f>AVERAGE(INDIRECT("0s!R" &amp; (ROW()-2)*7+6 &amp; ":R" &amp; (ROW()-1)*7+5))</f>
        <v/>
      </c>
      <c r="AD47" s="579" t="n"/>
      <c r="AE47" s="39">
        <f>SUM(INDIRECT("0分!Y" &amp; (ROW()-2)*7-3 &amp; ":Y" &amp; (ROW()-1)*7+-4))/7</f>
        <v/>
      </c>
      <c r="AF47" s="42">
        <f>P47+L47+M47</f>
        <v/>
      </c>
      <c r="AI47" s="450">
        <f>COUNTIF(INDIRECT("'0₦'!AR" &amp;((ROW()-2)*7+3) &amp; ":AR" &amp; ((ROW()-1)*7+2)), "&lt;0")</f>
        <v/>
      </c>
      <c r="AJ47" s="450">
        <f>COUNTIF(INDIRECT("'0₦'!M" &amp;((ROW()-2)*7+3) &amp; ":M" &amp; ((ROW()-1)*7+2)), "&lt;&gt;")</f>
        <v/>
      </c>
      <c r="AK47" s="450">
        <f>COUNTIF(INDIRECT("'0₦'!O" &amp;((ROW()-2)*7+3) &amp; ":O" &amp; ((ROW()-1)*7+2)), "&lt;&gt;")</f>
        <v/>
      </c>
      <c r="AL47" s="42">
        <f>SUM(INDIRECT("0₦!AR" &amp; (ROW()-2)*7+3 &amp; ":AR" &amp; (ROW()-1)*7+2))/7</f>
        <v/>
      </c>
      <c r="AM47" s="42">
        <f>SUM(INDIRECT("0₦!AS" &amp; (ROW()-2)*7+3 &amp; ":AS" &amp; (ROW()-1)*7+2))/7</f>
        <v/>
      </c>
      <c r="AN47" s="42">
        <f>SUM(INDIRECT("0₦!AT" &amp; (ROW()-2)*7+3 &amp; ":AT" &amp; (ROW()-1)*7+2))/7</f>
        <v/>
      </c>
      <c r="AO47" s="42">
        <f>SUM(INDIRECT("0₦!AU" &amp; (ROW()-2)*7+3 &amp; ":AU" &amp; (ROW()-1)*7+2))/7</f>
        <v/>
      </c>
      <c r="AP47" s="42">
        <f>SUM(AO47+AN47/2+AM47*0.1-AL47)</f>
        <v/>
      </c>
      <c r="AQ47" s="42" t="n"/>
      <c r="AR47" s="42" t="n"/>
      <c r="AU47" s="296">
        <f>SUM(INDIRECT("0分!AJ" &amp; (ROW()-2)*7 -1 &amp; ":AJ" &amp; (ROW()-1)*7-2))/7</f>
        <v/>
      </c>
      <c r="CA47" s="335" t="n"/>
      <c r="CB47" s="335" t="n"/>
      <c r="CC47" s="335" t="n"/>
      <c r="CD47" s="335" t="n"/>
      <c r="CE47" s="335" t="n"/>
      <c r="CF47" s="335" t="n"/>
      <c r="CG47" s="335" t="n"/>
      <c r="CH47" s="335" t="n"/>
      <c r="CI47" s="335" t="n"/>
      <c r="CJ47" s="335" t="n"/>
      <c r="CK47" s="335" t="n"/>
      <c r="CL47" s="335" t="n"/>
      <c r="CM47" s="445" t="n"/>
    </row>
    <row r="48" ht="51" customHeight="1" s="37">
      <c r="A48" s="142">
        <f>A47+0.1</f>
        <v/>
      </c>
      <c r="B48" s="142">
        <f>B47+1</f>
        <v/>
      </c>
      <c r="C48" s="94">
        <f>SUM(INDIRECT("0分!D" &amp; (ROW()-2)*7+2 &amp; ":D" &amp; (ROW()-1)*7+1)) + 46</f>
        <v/>
      </c>
      <c r="D48" s="343" t="n"/>
      <c r="E48" s="42">
        <f>'1₦+'!AN50/7</f>
        <v/>
      </c>
      <c r="F48" s="42">
        <f>AVERAGE(INDIRECT("0分!Y" &amp; (ROW()-2)*7+3 &amp; ":Y" &amp; (ROW()-1)*7+2))</f>
        <v/>
      </c>
      <c r="G48" s="42">
        <f>AVERAGE(INDIRECT("0分!Z" &amp; (ROW()-2)*7+2 &amp; ":Z" &amp; (ROW()-1)*7+1))</f>
        <v/>
      </c>
      <c r="H48" s="42">
        <f>AVERAGE(INDIRECT("0分!AA" &amp; (ROW()-2)*7+3 &amp; ":AA" &amp; (ROW()-1)*7+2))</f>
        <v/>
      </c>
      <c r="I48" s="42">
        <f>AVERAGE(INDIRECT("0分!Y" &amp; (ROW()-2)*7+3 &amp; ":Y" &amp; (ROW()-1)*7+2))</f>
        <v/>
      </c>
      <c r="J48" s="42">
        <f>SUM(INDIRECT("0分!AE"&amp;(ROW()-2)*7+2&amp;":AE"&amp;(ROW()-1)*7+1))/7</f>
        <v/>
      </c>
      <c r="K48" s="313">
        <f t="array" ref="K48">INDIRECT("hcbi!BL"&amp;(ROW()-1)*7+-3)/7</f>
        <v/>
      </c>
      <c r="L48" s="240">
        <f>AVERAGE(INDIRECT("0分!AD"&amp;(ROW()-2)*7+2&amp;":AD"&amp;(ROW()-1)*7+1))</f>
        <v/>
      </c>
      <c r="M48" s="42">
        <f>AVERAGE(INDIRECT("0₦!BD"&amp;(ROW()-2)*7+6&amp;":BC"&amp;(ROW())*7 - 1))</f>
        <v/>
      </c>
      <c r="N48" s="42">
        <f>AVERAGE(INDIRECT("0分!AF"&amp;(ROW()-2)*7+2&amp;":AF"&amp;(ROW()-1)*7+1))</f>
        <v/>
      </c>
      <c r="O48" s="288">
        <f>AVERAGE(INDIRECT("0分!AH"&amp;(ROW()-2)*7+1&amp;":AH"&amp;(ROW()-1)*7))</f>
        <v/>
      </c>
      <c r="P48" s="42">
        <f>AVERAGE(INDIRECT("0₦!BC"&amp;(ROW()-2)*7+1&amp;":BB"&amp;(ROW()-1)*7))</f>
        <v/>
      </c>
      <c r="S48" s="42">
        <f>SUM(INDIRECT("0分!D" &amp; (ROW()-2)*7+2 &amp; ":D" &amp; (ROW()-1)*7+1))/7</f>
        <v/>
      </c>
      <c r="T48" s="450">
        <f>'i9'!B49</f>
        <v/>
      </c>
      <c r="U48" s="42">
        <f>-((0.97-0.885)*1000000) / 50 / 4</f>
        <v/>
      </c>
      <c r="V48" s="335" t="n"/>
      <c r="W48" s="335" t="n"/>
      <c r="X48" s="335" t="n"/>
      <c r="Y48" s="335" t="n"/>
      <c r="Z48" s="335" t="n"/>
      <c r="AA48" s="578">
        <f>MAX(INDIRECT("0s!P" &amp; (ROW()-2)*7+6 &amp; ":P" &amp; (ROW()-1)*7+5))</f>
        <v/>
      </c>
      <c r="AB48" s="55">
        <f>MIN(INDIRECT("0s!Q" &amp; (ROW()-2)*7+6 &amp; ":Q" &amp; (ROW()-1)*7+5))</f>
        <v/>
      </c>
      <c r="AC48" s="578">
        <f>AVERAGE(INDIRECT("0s!R" &amp; (ROW()-2)*7+6 &amp; ":R" &amp; (ROW()-1)*7+5))</f>
        <v/>
      </c>
      <c r="AD48" s="579" t="n"/>
      <c r="AE48" s="39">
        <f>SUM(INDIRECT("0分!Y" &amp; (ROW()-2)*7-3 &amp; ":Y" &amp; (ROW()-1)*7+-4))/7</f>
        <v/>
      </c>
      <c r="AF48" s="42">
        <f>P48+L48+M48</f>
        <v/>
      </c>
      <c r="AI48" s="450">
        <f>COUNTIF(INDIRECT("'0₦'!AR" &amp;((ROW()-2)*7+3) &amp; ":AR" &amp; ((ROW()-1)*7+2)), "&lt;0")</f>
        <v/>
      </c>
      <c r="AJ48" s="450">
        <f>COUNTIF(INDIRECT("'0₦'!M" &amp;((ROW()-2)*7+3) &amp; ":M" &amp; ((ROW()-1)*7+2)), "&lt;&gt;")</f>
        <v/>
      </c>
      <c r="AK48" s="450">
        <f>COUNTIF(INDIRECT("'0₦'!O" &amp;((ROW()-2)*7+3) &amp; ":O" &amp; ((ROW()-1)*7+2)), "&lt;&gt;")</f>
        <v/>
      </c>
      <c r="AL48" s="42">
        <f>SUM(INDIRECT("0₦!AR" &amp; (ROW()-2)*7+3 &amp; ":AR" &amp; (ROW()-1)*7+2))/7</f>
        <v/>
      </c>
      <c r="AM48" s="42">
        <f>SUM(INDIRECT("0₦!AS" &amp; (ROW()-2)*7+3 &amp; ":AS" &amp; (ROW()-1)*7+2))/7</f>
        <v/>
      </c>
      <c r="AN48" s="42">
        <f>SUM(INDIRECT("0₦!AT" &amp; (ROW()-2)*7+3 &amp; ":AT" &amp; (ROW()-1)*7+2))/7</f>
        <v/>
      </c>
      <c r="AO48" s="42">
        <f>SUM(INDIRECT("0₦!AU" &amp; (ROW()-2)*7+3 &amp; ":AU" &amp; (ROW()-1)*7+2))/7</f>
        <v/>
      </c>
      <c r="AP48" s="42">
        <f>SUM(AO48+AN48/2+AM48*0.1-AL48)</f>
        <v/>
      </c>
      <c r="AQ48" s="42" t="n"/>
      <c r="AR48" s="42" t="n"/>
      <c r="AU48" s="296">
        <f>SUM(INDIRECT("0分!AJ" &amp; (ROW()-2)*7 -1 &amp; ":AJ" &amp; (ROW()-1)*7-2))/7</f>
        <v/>
      </c>
      <c r="CA48" s="335" t="n"/>
      <c r="CB48" s="335" t="n"/>
      <c r="CC48" s="335" t="n"/>
      <c r="CD48" s="335" t="n"/>
      <c r="CE48" s="335" t="n"/>
      <c r="CF48" s="335" t="n"/>
      <c r="CG48" s="335" t="n"/>
      <c r="CH48" s="335" t="n"/>
      <c r="CI48" s="335" t="n"/>
      <c r="CJ48" s="335" t="n"/>
      <c r="CK48" s="335" t="n"/>
      <c r="CL48" s="335" t="n"/>
      <c r="CM48" s="445" t="n"/>
    </row>
    <row r="49" ht="51" customHeight="1" s="37">
      <c r="A49" s="142">
        <f>A45+1</f>
        <v/>
      </c>
      <c r="B49" s="142">
        <f>B48+1</f>
        <v/>
      </c>
      <c r="C49" s="94">
        <f>SUM(INDIRECT("0分!D" &amp; (ROW()-2)*7+2 &amp; ":D" &amp; (ROW()-1)*7+1))</f>
        <v/>
      </c>
      <c r="D49" s="343" t="n"/>
      <c r="E49" s="42">
        <f>'1₦+'!AN51/7</f>
        <v/>
      </c>
      <c r="F49" s="42">
        <f>AVERAGE(INDIRECT("0分!Y" &amp; (ROW()-2)*7+3 &amp; ":Y" &amp; (ROW()-1)*7+2))</f>
        <v/>
      </c>
      <c r="G49" s="42">
        <f>AVERAGE(INDIRECT("0分!Z" &amp; (ROW()-2)*7+2 &amp; ":Z" &amp; (ROW()-1)*7+1))</f>
        <v/>
      </c>
      <c r="H49" s="42">
        <f>AVERAGE(INDIRECT("0分!AA" &amp; (ROW()-2)*7+3 &amp; ":AA" &amp; (ROW()-1)*7+2))</f>
        <v/>
      </c>
      <c r="I49" s="42">
        <f>AVERAGE(INDIRECT("0分!Y" &amp; (ROW()-2)*7+3 &amp; ":Y" &amp; (ROW()-1)*7+2))</f>
        <v/>
      </c>
      <c r="J49" s="42">
        <f>SUM(INDIRECT("0分!AE"&amp;(ROW()-2)*7+2&amp;":AE"&amp;(ROW()-1)*7+1))/7</f>
        <v/>
      </c>
      <c r="K49" s="313">
        <f t="array" ref="K49">INDIRECT("hcbi!BL"&amp;(ROW()-1)*7+-3)/7</f>
        <v/>
      </c>
      <c r="L49" s="240">
        <f>AVERAGE(INDIRECT("0分!AD"&amp;(ROW()-2)*7+2&amp;":AD"&amp;(ROW()-1)*7+1))</f>
        <v/>
      </c>
      <c r="M49" s="42">
        <f>AVERAGE(INDIRECT("0₦!BD"&amp;(ROW()-2)*7+6&amp;":BC"&amp;(ROW())*7 - 1))</f>
        <v/>
      </c>
      <c r="N49" s="42">
        <f>AVERAGE(INDIRECT("0分!AF"&amp;(ROW()-2)*7+2&amp;":AF"&amp;(ROW()-1)*7+1))</f>
        <v/>
      </c>
      <c r="O49" s="288">
        <f>AVERAGE(INDIRECT("0分!AH"&amp;(ROW()-2)*7+1&amp;":AH"&amp;(ROW()-1)*7))</f>
        <v/>
      </c>
      <c r="P49" s="42">
        <f>AVERAGE(INDIRECT("0₦!BC"&amp;(ROW()-2)*7+1&amp;":BB"&amp;(ROW()-1)*7))</f>
        <v/>
      </c>
      <c r="S49" s="42">
        <f>SUM(INDIRECT("0分!D" &amp; (ROW()-2)*7+2 &amp; ":D" &amp; (ROW()-1)*7+1))/7</f>
        <v/>
      </c>
      <c r="T49" s="450">
        <f>'i9'!B50</f>
        <v/>
      </c>
      <c r="U49" s="42">
        <f>-((0.97-0.878)*1000000) / 50 / 4</f>
        <v/>
      </c>
      <c r="V49" s="335" t="n"/>
      <c r="W49" s="335" t="n"/>
      <c r="X49" s="335" t="n"/>
      <c r="Y49" s="335" t="n"/>
      <c r="Z49" s="335" t="n"/>
      <c r="AA49" s="578">
        <f>MAX(INDIRECT("0s!P" &amp; (ROW()-2)*7+6 &amp; ":P" &amp; (ROW()-1)*7+5))</f>
        <v/>
      </c>
      <c r="AB49" s="55">
        <f>MIN(INDIRECT("0s!Q" &amp; (ROW()-2)*7+6 &amp; ":Q" &amp; (ROW()-1)*7+5))</f>
        <v/>
      </c>
      <c r="AC49" s="578">
        <f>AVERAGE(INDIRECT("0s!R" &amp; (ROW()-2)*7+6 &amp; ":R" &amp; (ROW()-1)*7+5))</f>
        <v/>
      </c>
      <c r="AD49" s="579" t="n"/>
      <c r="AE49" s="39">
        <f>SUM(INDIRECT("0分!Y" &amp; (ROW()-2)*7-3 &amp; ":Y" &amp; (ROW()-1)*7+-4))/7</f>
        <v/>
      </c>
      <c r="AF49" s="42">
        <f>P49+L49+M49</f>
        <v/>
      </c>
      <c r="AI49" s="450">
        <f>COUNTIF(INDIRECT("'0₦'!AR" &amp;((ROW()-2)*7+3) &amp; ":AR" &amp; ((ROW()-1)*7+2)), "&lt;0")</f>
        <v/>
      </c>
      <c r="AJ49" s="450">
        <f>COUNTIF(INDIRECT("'0₦'!M" &amp;((ROW()-2)*7+3) &amp; ":M" &amp; ((ROW()-1)*7+2)), "&lt;&gt;")</f>
        <v/>
      </c>
      <c r="AK49" s="450">
        <f>COUNTIF(INDIRECT("'0₦'!O" &amp;((ROW()-2)*7+3) &amp; ":O" &amp; ((ROW()-1)*7+2)), "&lt;&gt;")</f>
        <v/>
      </c>
      <c r="AL49" s="42">
        <f>SUM(INDIRECT("0₦!AR" &amp; (ROW()-2)*7+3 &amp; ":AR" &amp; (ROW()-1)*7+2))/7</f>
        <v/>
      </c>
      <c r="AM49" s="42">
        <f>SUM(INDIRECT("0₦!AS" &amp; (ROW()-2)*7+3 &amp; ":AS" &amp; (ROW()-1)*7+2))/7</f>
        <v/>
      </c>
      <c r="AN49" s="42">
        <f>SUM(INDIRECT("0₦!AT" &amp; (ROW()-2)*7+3 &amp; ":AT" &amp; (ROW()-1)*7+2))/7</f>
        <v/>
      </c>
      <c r="AO49" s="42">
        <f>SUM(INDIRECT("0₦!AU" &amp; (ROW()-2)*7+3 &amp; ":AU" &amp; (ROW()-1)*7+2))/7</f>
        <v/>
      </c>
      <c r="AP49" s="42">
        <f>SUM(AO49+AN49/2+AM49*0.1-AL49)</f>
        <v/>
      </c>
      <c r="AQ49" s="42" t="n"/>
      <c r="AR49" s="42" t="n"/>
      <c r="AU49" s="296">
        <f>SUM(INDIRECT("0分!AJ" &amp; (ROW()-2)*7 -1 &amp; ":AJ" &amp; (ROW()-1)*7-2))/7</f>
        <v/>
      </c>
      <c r="AV49" s="534">
        <f>COUNTIFS('0分'!E97:E131,"&gt;600",'0分'!E97:E131,"&lt;1000")/35</f>
        <v/>
      </c>
      <c r="AW49" s="534" t="n"/>
      <c r="AX49" s="534">
        <f>COUNTIF('0分'!F97:F131,"&gt;0")/35</f>
        <v/>
      </c>
      <c r="AY49" s="533">
        <f>AVERAGE(L49:L53)</f>
        <v/>
      </c>
      <c r="AZ49" s="533">
        <f>AVERAGE(N49:N53)</f>
        <v/>
      </c>
      <c r="BA49" s="533">
        <f>AVERAGE(O49:O53)</f>
        <v/>
      </c>
      <c r="BB49" s="533">
        <f>AVERAGE(E49:E53)</f>
        <v/>
      </c>
      <c r="BC49" s="533">
        <f>SUM(G49:G53)/4</f>
        <v/>
      </c>
      <c r="BD49" s="533">
        <f>SUM(H49:H53)/5</f>
        <v/>
      </c>
      <c r="BE49" s="533">
        <f>AVERAGE(I49:I53)</f>
        <v/>
      </c>
      <c r="BF49" s="533">
        <f>AVERAGE(J49:J53)</f>
        <v/>
      </c>
      <c r="BG49" s="532">
        <f>AVERAGE(#REF!)</f>
        <v/>
      </c>
      <c r="BH49" s="532">
        <f>AVERAGE(P49:P53)</f>
        <v/>
      </c>
      <c r="BI49" s="537" t="n"/>
      <c r="BJ49" s="533">
        <f>AVERAGE(C49:C53)/7</f>
        <v/>
      </c>
      <c r="BK49" s="2">
        <f>AVERAGE(#REF!)</f>
        <v/>
      </c>
      <c r="BL49" s="532">
        <f>AVERAGE(#REF!)</f>
        <v/>
      </c>
      <c r="BM49" s="532">
        <f>AVERAGE(#REF!)</f>
        <v/>
      </c>
      <c r="BO49" s="581">
        <f>AVERAGE($AC49:$AC53)</f>
        <v/>
      </c>
    </row>
    <row r="50" ht="51" customHeight="1" s="37">
      <c r="A50" s="142">
        <f>A49+0.1</f>
        <v/>
      </c>
      <c r="B50" s="142">
        <f>B49+1</f>
        <v/>
      </c>
      <c r="C50" s="94">
        <f>SUM(INDIRECT("0分!D" &amp; (ROW()-2)*7+2 &amp; ":D" &amp; (ROW()-1)*7+1))</f>
        <v/>
      </c>
      <c r="D50" s="343" t="inlineStr">
        <is>
          <t xml:space="preserve">1g </t>
        </is>
      </c>
      <c r="E50" s="42">
        <f>'1₦+'!AN52/7</f>
        <v/>
      </c>
      <c r="F50" s="42">
        <f>AVERAGE(INDIRECT("0分!Y" &amp; (ROW()-2)*7+3 &amp; ":Y" &amp; (ROW()-1)*7+2))</f>
        <v/>
      </c>
      <c r="G50" s="42">
        <f>AVERAGE(INDIRECT("0分!Z" &amp; (ROW()-2)*7+2 &amp; ":Z" &amp; (ROW()-1)*7+1))</f>
        <v/>
      </c>
      <c r="H50" s="42">
        <f>AVERAGE(INDIRECT("0分!AA" &amp; (ROW()-2)*7+3 &amp; ":AA" &amp; (ROW()-1)*7+2))</f>
        <v/>
      </c>
      <c r="I50" s="42">
        <f>AVERAGE(INDIRECT("0分!Y" &amp; (ROW()-2)*7+3 &amp; ":Y" &amp; (ROW()-1)*7+2))</f>
        <v/>
      </c>
      <c r="J50" s="42">
        <f>SUM(INDIRECT("0分!AE"&amp;(ROW()-2)*7+2&amp;":AE"&amp;(ROW()-1)*7+1))/7</f>
        <v/>
      </c>
      <c r="K50" s="313">
        <f t="array" ref="K50">INDIRECT("hcbi!BL"&amp;(ROW()-1)*7+-3)/7</f>
        <v/>
      </c>
      <c r="L50" s="240">
        <f>AVERAGE(INDIRECT("0分!AD"&amp;(ROW()-2)*7+2&amp;":AD"&amp;(ROW()-1)*7+1))</f>
        <v/>
      </c>
      <c r="M50" s="42">
        <f>AVERAGE(INDIRECT("0₦!BD"&amp;(ROW()-2)*7+6&amp;":BC"&amp;(ROW())*7 - 1))</f>
        <v/>
      </c>
      <c r="N50" s="42">
        <f>AVERAGE(INDIRECT("0分!AF"&amp;(ROW()-2)*7+2&amp;":AF"&amp;(ROW()-1)*7+1))</f>
        <v/>
      </c>
      <c r="O50" s="288">
        <f>AVERAGE(INDIRECT("0分!AH"&amp;(ROW()-2)*7+1&amp;":AH"&amp;(ROW()-1)*7))</f>
        <v/>
      </c>
      <c r="P50" s="42">
        <f>AVERAGE(INDIRECT("0₦!BC"&amp;(ROW()-2)*7+1&amp;":BB"&amp;(ROW()-1)*7))</f>
        <v/>
      </c>
      <c r="S50" s="42">
        <f>SUM(INDIRECT("0分!D" &amp; (ROW()-2)*7+2 &amp; ":D" &amp; (ROW()-1)*7+1))/7</f>
        <v/>
      </c>
      <c r="T50" s="450">
        <f>'i9'!B51</f>
        <v/>
      </c>
      <c r="U50" s="39" t="n"/>
      <c r="V50" s="335" t="n"/>
      <c r="W50" s="335" t="n"/>
      <c r="X50" s="335" t="n"/>
      <c r="Y50" s="335" t="n"/>
      <c r="Z50" s="583" t="n"/>
      <c r="AA50" s="578">
        <f>MAX(INDIRECT("0s!P" &amp; (ROW()-2)*7+6 &amp; ":P" &amp; (ROW()-1)*7+5))</f>
        <v/>
      </c>
      <c r="AB50" s="55">
        <f>MIN(INDIRECT("0s!Q" &amp; (ROW()-2)*7+6 &amp; ":Q" &amp; (ROW()-1)*7+5))</f>
        <v/>
      </c>
      <c r="AC50" s="578">
        <f>AVERAGE(INDIRECT("0s!R" &amp; (ROW()-2)*7+6 &amp; ":R" &amp; (ROW()-1)*7+5))</f>
        <v/>
      </c>
      <c r="AD50" s="579" t="n"/>
      <c r="AE50" s="39">
        <f>SUM(INDIRECT("0分!Y" &amp; (ROW()-2)*7-3 &amp; ":Y" &amp; (ROW()-1)*7+-4))/7</f>
        <v/>
      </c>
      <c r="AF50" s="42">
        <f>P50+L50+M50</f>
        <v/>
      </c>
      <c r="AI50" s="450">
        <f>COUNTIF(INDIRECT("'0₦'!AR" &amp;((ROW()-2)*7+3) &amp; ":AR" &amp; ((ROW()-1)*7+2)), "&lt;0")</f>
        <v/>
      </c>
      <c r="AJ50" s="450">
        <f>COUNTIF(INDIRECT("'0₦'!M" &amp;((ROW()-2)*7+3) &amp; ":M" &amp; ((ROW()-1)*7+2)), "&lt;&gt;")</f>
        <v/>
      </c>
      <c r="AK50" s="450">
        <f>COUNTIF(INDIRECT("'0₦'!O" &amp;((ROW()-2)*7+3) &amp; ":O" &amp; ((ROW()-1)*7+2)), "&lt;&gt;")</f>
        <v/>
      </c>
      <c r="AL50" s="42">
        <f>SUM(INDIRECT("0₦!AR" &amp; (ROW()-2)*7+3 &amp; ":AR" &amp; (ROW()-1)*7+2))/7</f>
        <v/>
      </c>
      <c r="AM50" s="42">
        <f>SUM(INDIRECT("0₦!AS" &amp; (ROW()-2)*7+3 &amp; ":AS" &amp; (ROW()-1)*7+2))/7</f>
        <v/>
      </c>
      <c r="AN50" s="42">
        <f>SUM(INDIRECT("0₦!AT" &amp; (ROW()-2)*7+3 &amp; ":AT" &amp; (ROW()-1)*7+2))/7</f>
        <v/>
      </c>
      <c r="AO50" s="42">
        <f>SUM(INDIRECT("0₦!AU" &amp; (ROW()-2)*7+3 &amp; ":AU" &amp; (ROW()-1)*7+2))/7</f>
        <v/>
      </c>
      <c r="AP50" s="42">
        <f>SUM(AO50+AN50/2+AM50*0.1-AL50)</f>
        <v/>
      </c>
      <c r="AQ50" s="42" t="n"/>
      <c r="AR50" s="42" t="n"/>
      <c r="AU50" s="296">
        <f>SUM(INDIRECT("0分!AJ" &amp; (ROW()-2)*7 -1 &amp; ":AJ" &amp; (ROW()-1)*7-2))/7</f>
        <v/>
      </c>
      <c r="BI50" s="537" t="n"/>
      <c r="BK50" s="2" t="n"/>
    </row>
    <row r="51" ht="51" customHeight="1" s="37">
      <c r="A51" s="142">
        <f>A50+0.1</f>
        <v/>
      </c>
      <c r="B51" s="142">
        <f>B50+1</f>
        <v/>
      </c>
      <c r="C51" s="94">
        <f>SUM(INDIRECT("0分!D" &amp; (ROW()-2)*7+2 &amp; ":D" &amp; (ROW()-1)*7+1))</f>
        <v/>
      </c>
      <c r="D51" s="398" t="inlineStr">
        <is>
          <t>tl;dr: This work is mostly about orgs. Continue to think about resource allocation and prioritization, don't accepts places where our efficiency is low. It's m5x2 + i9, as that's where there remains the biggest long term opportunities .</t>
        </is>
      </c>
      <c r="E51" s="42">
        <f>'1₦+'!AN53/7</f>
        <v/>
      </c>
      <c r="F51" s="42">
        <f>AVERAGE(INDIRECT("0分!Y" &amp; (ROW()-2)*7+3 &amp; ":Y" &amp; (ROW()-1)*7+2))</f>
        <v/>
      </c>
      <c r="G51" s="42">
        <f>AVERAGE(INDIRECT("0分!Z" &amp; (ROW()-2)*7+2 &amp; ":Z" &amp; (ROW()-1)*7+1))</f>
        <v/>
      </c>
      <c r="H51" s="42">
        <f>AVERAGE(INDIRECT("0分!AA" &amp; (ROW()-2)*7+3 &amp; ":AA" &amp; (ROW()-1)*7+2))</f>
        <v/>
      </c>
      <c r="I51" s="42">
        <f>AVERAGE(INDIRECT("0分!Y" &amp; (ROW()-2)*7+3 &amp; ":Y" &amp; (ROW()-1)*7+2))</f>
        <v/>
      </c>
      <c r="J51" s="42">
        <f>SUM(INDIRECT("0分!AE"&amp;(ROW()-2)*7+2&amp;":AE"&amp;(ROW()-1)*7+1))/7</f>
        <v/>
      </c>
      <c r="K51" s="313">
        <f t="array" ref="K51">INDIRECT("hcbi!BL"&amp;(ROW()-1)*7+-3)/7</f>
        <v/>
      </c>
      <c r="L51" s="240">
        <f>AVERAGE(INDIRECT("0分!AD"&amp;(ROW()-2)*7+2&amp;":AD"&amp;(ROW()-1)*7+1))</f>
        <v/>
      </c>
      <c r="M51" s="42">
        <f>AVERAGE(INDIRECT("0₦!BD"&amp;(ROW()-2)*7+6&amp;":BC"&amp;(ROW())*7 - 1))</f>
        <v/>
      </c>
      <c r="N51" s="42">
        <f>AVERAGE(INDIRECT("0分!AF"&amp;(ROW()-2)*7+2&amp;":AF"&amp;(ROW()-1)*7+1))</f>
        <v/>
      </c>
      <c r="O51" s="288">
        <f>AVERAGE(INDIRECT("0分!AH"&amp;(ROW()-2)*7+1&amp;":AH"&amp;(ROW()-1)*7))</f>
        <v/>
      </c>
      <c r="P51" s="42">
        <f>AVERAGE(INDIRECT("0₦!BC"&amp;(ROW()-2)*7+1&amp;":BB"&amp;(ROW()-1)*7))</f>
        <v/>
      </c>
      <c r="S51" s="42">
        <f>SUM(INDIRECT("0分!D" &amp; (ROW()-2)*7+2 &amp; ":D" &amp; (ROW()-1)*7+1))/7</f>
        <v/>
      </c>
      <c r="T51" s="450">
        <f>'i9'!B52</f>
        <v/>
      </c>
      <c r="U51" s="39" t="n"/>
      <c r="V51" s="335" t="n"/>
      <c r="W51" s="335" t="n"/>
      <c r="X51" s="335" t="n"/>
      <c r="Y51" s="335" t="n"/>
      <c r="Z51" s="335" t="n"/>
      <c r="AA51" s="578">
        <f>MAX(INDIRECT("0s!P" &amp; (ROW()-2)*7+6 &amp; ":P" &amp; (ROW()-1)*7+5))</f>
        <v/>
      </c>
      <c r="AB51" s="55">
        <f>MIN(INDIRECT("0s!Q" &amp; (ROW()-2)*7+6 &amp; ":Q" &amp; (ROW()-1)*7+5))</f>
        <v/>
      </c>
      <c r="AC51" s="578">
        <f>AVERAGE(INDIRECT("0s!R" &amp; (ROW()-2)*7+6 &amp; ":R" &amp; (ROW()-1)*7+5))</f>
        <v/>
      </c>
      <c r="AD51" s="579" t="n"/>
      <c r="AE51" s="39">
        <f>SUM(INDIRECT("0分!Y" &amp; (ROW()-2)*7-3 &amp; ":Y" &amp; (ROW()-1)*7+-4))/7</f>
        <v/>
      </c>
      <c r="AF51" s="42">
        <f>P51+L51+M51</f>
        <v/>
      </c>
      <c r="AI51" s="450">
        <f>COUNTIF(INDIRECT("'0₦'!AR" &amp;((ROW()-2)*7+3) &amp; ":AR" &amp; ((ROW()-1)*7+2)), "&lt;0")</f>
        <v/>
      </c>
      <c r="AJ51" s="450">
        <f>COUNTIF(INDIRECT("'0₦'!M" &amp;((ROW()-2)*7+3) &amp; ":M" &amp; ((ROW()-1)*7+2)), "&lt;&gt;")</f>
        <v/>
      </c>
      <c r="AK51" s="450">
        <f>COUNTIF(INDIRECT("'0₦'!O" &amp;((ROW()-2)*7+3) &amp; ":O" &amp; ((ROW()-1)*7+2)), "&lt;&gt;")</f>
        <v/>
      </c>
      <c r="AL51" s="42">
        <f>SUM(INDIRECT("0₦!AR" &amp; (ROW()-2)*7+3 &amp; ":AR" &amp; (ROW()-1)*7+2))/7</f>
        <v/>
      </c>
      <c r="AM51" s="42">
        <f>SUM(INDIRECT("0₦!AS" &amp; (ROW()-2)*7+3 &amp; ":AS" &amp; (ROW()-1)*7+2))/7</f>
        <v/>
      </c>
      <c r="AN51" s="42">
        <f>SUM(INDIRECT("0₦!AT" &amp; (ROW()-2)*7+3 &amp; ":AT" &amp; (ROW()-1)*7+2))/7</f>
        <v/>
      </c>
      <c r="AO51" s="42">
        <f>SUM(INDIRECT("0₦!AU" &amp; (ROW()-2)*7+3 &amp; ":AU" &amp; (ROW()-1)*7+2))/7</f>
        <v/>
      </c>
      <c r="AP51" s="42">
        <f>SUM(AO51+AN51/2+AM51*0.1-AL51)</f>
        <v/>
      </c>
      <c r="AQ51" s="42" t="n"/>
      <c r="AR51" s="42" t="n"/>
      <c r="AU51" s="296">
        <f>SUM(INDIRECT("0分!AJ" &amp; (ROW()-2)*7 -1 &amp; ":AJ" &amp; (ROW()-1)*7-2))/7</f>
        <v/>
      </c>
      <c r="BI51" s="537" t="n"/>
      <c r="BK51" s="398" t="inlineStr">
        <is>
          <t>tl;dr: This work is mostly about orgs. Continue to think about resource allocation and prioritization, don't accepts places where our efficiency is low. It's m5x2 + i9, as that's where there remains the biggest long term opportunities .</t>
        </is>
      </c>
    </row>
    <row r="52" ht="51" customHeight="1" s="37">
      <c r="A52" s="142">
        <f>A51+0.1</f>
        <v/>
      </c>
      <c r="B52" s="142">
        <f>B51+1</f>
        <v/>
      </c>
      <c r="C52" s="94">
        <f>SUM(INDIRECT("0分!D" &amp; (ROW()-2)*7+2 &amp; ":D" &amp; (ROW()-1)*7+1))</f>
        <v/>
      </c>
      <c r="D52" s="343" t="inlineStr">
        <is>
          <t xml:space="preserve">tl;dr: This week is the time to clear out the lists, write my own year in review, plan for and get excited for 2026. Spend some time with family, but that's not the focus this time. </t>
        </is>
      </c>
      <c r="E52" s="42">
        <f>'1₦+'!AN54/7</f>
        <v/>
      </c>
      <c r="F52" s="42">
        <f>AVERAGE(INDIRECT("0分!Y" &amp; (ROW()-2)*7+3 &amp; ":Y" &amp; (ROW()-1)*7+2))</f>
        <v/>
      </c>
      <c r="G52" s="42">
        <f>AVERAGE(INDIRECT("0分!Z" &amp; (ROW()-2)*7+2 &amp; ":Z" &amp; (ROW()-1)*7+1))</f>
        <v/>
      </c>
      <c r="H52" s="42">
        <f>AVERAGE(INDIRECT("0分!AA" &amp; (ROW()-2)*7+3 &amp; ":AA" &amp; (ROW()-1)*7+2))</f>
        <v/>
      </c>
      <c r="I52" s="42">
        <f>AVERAGE(INDIRECT("0分!Y" &amp; (ROW()-2)*7+3 &amp; ":Y" &amp; (ROW()-1)*7+2))</f>
        <v/>
      </c>
      <c r="J52" s="42">
        <f>SUM(INDIRECT("0分!AE"&amp;(ROW()-2)*7+2&amp;":AE"&amp;(ROW()-1)*7+1))/7</f>
        <v/>
      </c>
      <c r="K52" s="313">
        <f t="array" ref="K52">INDIRECT("hcbi!BL"&amp;(ROW()-1)*7+-3)/7</f>
        <v/>
      </c>
      <c r="L52" s="240">
        <f>AVERAGE(INDIRECT("0分!AD"&amp;(ROW()-2)*7+2&amp;":AD"&amp;(ROW()-1)*7+1))</f>
        <v/>
      </c>
      <c r="M52" s="42">
        <f>AVERAGE(INDIRECT("0₦!BD"&amp;(ROW()-2)*7+6&amp;":BC"&amp;(ROW())*7 - 1))</f>
        <v/>
      </c>
      <c r="N52" s="42">
        <f>AVERAGE(INDIRECT("0分!AF"&amp;(ROW()-2)*7+2&amp;":AF"&amp;(ROW()-1)*7+1))</f>
        <v/>
      </c>
      <c r="O52" s="288">
        <f>AVERAGE(INDIRECT("0分!AH"&amp;(ROW()-2)*7+1&amp;":AH"&amp;(ROW()-1)*7))</f>
        <v/>
      </c>
      <c r="P52" s="42">
        <f>AVERAGE(INDIRECT("0₦!BC"&amp;(ROW()-2)*7+1&amp;":BB"&amp;(ROW()-1)*7))</f>
        <v/>
      </c>
      <c r="S52" s="42">
        <f>SUM(INDIRECT("0分!D" &amp; (ROW()-2)*7+2 &amp; ":D" &amp; (ROW()-1)*7+1))/7</f>
        <v/>
      </c>
      <c r="T52" s="450">
        <f>'i9'!B53</f>
        <v/>
      </c>
      <c r="U52" s="42">
        <f>-((0.97-0.907)*1200000) / 66 / (31/7)</f>
        <v/>
      </c>
      <c r="V52" s="335" t="n"/>
      <c r="W52" s="335" t="n"/>
      <c r="X52" s="335" t="n"/>
      <c r="Y52" s="335" t="n"/>
      <c r="Z52" s="335" t="n"/>
      <c r="AA52" s="578">
        <f>MAX(INDIRECT("0s!P" &amp; (ROW()-2)*7+6 &amp; ":P" &amp; (ROW()-1)*7+5))</f>
        <v/>
      </c>
      <c r="AB52" s="55">
        <f>MIN(INDIRECT("0s!Q" &amp; (ROW()-2)*7+6 &amp; ":Q" &amp; (ROW()-1)*7+5))</f>
        <v/>
      </c>
      <c r="AC52" s="578">
        <f>AVERAGE(INDIRECT("0s!R" &amp; (ROW()-2)*7+6 &amp; ":R" &amp; (ROW()-1)*7+5))</f>
        <v/>
      </c>
      <c r="AD52" s="579" t="n"/>
      <c r="AE52" s="39">
        <f>SUM(INDIRECT("0分!Y" &amp; (ROW()-2)*7-3 &amp; ":Y" &amp; (ROW()-1)*7+-4))/7</f>
        <v/>
      </c>
      <c r="AF52" s="42">
        <f>P52+L52+M52</f>
        <v/>
      </c>
      <c r="AI52" s="450">
        <f>COUNTIF(INDIRECT("'0₦'!AR" &amp;((ROW()-2)*7+3) &amp; ":AR" &amp; ((ROW()-1)*7+2)), "&lt;0")</f>
        <v/>
      </c>
      <c r="AJ52" s="450">
        <f>COUNTIF(INDIRECT("'0₦'!M" &amp;((ROW()-2)*7+3) &amp; ":M" &amp; ((ROW()-1)*7+2)), "&lt;&gt;")</f>
        <v/>
      </c>
      <c r="AK52" s="450">
        <f>COUNTIF(INDIRECT("'0₦'!O" &amp;((ROW()-2)*7+3) &amp; ":O" &amp; ((ROW()-1)*7+2)), "&lt;&gt;")</f>
        <v/>
      </c>
      <c r="AL52" s="42">
        <f>SUM(INDIRECT("0₦!AR" &amp; (ROW()-2)*7+3 &amp; ":AR" &amp; (ROW()-1)*7+2))/7</f>
        <v/>
      </c>
      <c r="AM52" s="42">
        <f>SUM(INDIRECT("0₦!AS" &amp; (ROW()-2)*7+3 &amp; ":AS" &amp; (ROW()-1)*7+2))/7</f>
        <v/>
      </c>
      <c r="AN52" s="42">
        <f>SUM(INDIRECT("0₦!AT" &amp; (ROW()-2)*7+3 &amp; ":AT" &amp; (ROW()-1)*7+2))/7</f>
        <v/>
      </c>
      <c r="AO52" s="42">
        <f>SUM(INDIRECT("0₦!AU" &amp; (ROW()-2)*7+3 &amp; ":AU" &amp; (ROW()-1)*7+2))/7</f>
        <v/>
      </c>
      <c r="AP52" s="42">
        <f>SUM(AO52+AN52/2+AM52*0.1-AL52)</f>
        <v/>
      </c>
      <c r="AQ52" s="42" t="n"/>
      <c r="AR52" s="42" t="n"/>
      <c r="AU52" s="296">
        <f>SUM(INDIRECT("0分!AJ" &amp; (ROW()-2)*7 -1 &amp; ":AJ" &amp; (ROW()-1)*7-2))/7</f>
        <v/>
      </c>
      <c r="BI52" s="537" t="n"/>
      <c r="BK52" s="2" t="n"/>
    </row>
    <row r="53" ht="51" customHeight="1" s="37">
      <c r="A53" s="143">
        <f>A52+0.1</f>
        <v/>
      </c>
      <c r="B53" s="142">
        <f>B52+1</f>
        <v/>
      </c>
      <c r="C53" s="94">
        <f>SUM(INDIRECT("0分!D" &amp; (ROW()-2)*7+2 &amp; ":D" &amp; (ROW()-1)*7+1))</f>
        <v/>
      </c>
      <c r="D53" s="343" t="n"/>
      <c r="E53" s="42">
        <f>'1₦+'!AN55/7</f>
        <v/>
      </c>
      <c r="F53" s="42">
        <f>AVERAGE(INDIRECT("0分!Y" &amp; (ROW()-2)*7+3 &amp; ":Y" &amp; (ROW()-1)*7+2))</f>
        <v/>
      </c>
      <c r="G53" s="42">
        <f>AVERAGE(INDIRECT("0分!Z" &amp; (ROW()-2)*7+2 &amp; ":Z" &amp; (ROW()-1)*7+1))</f>
        <v/>
      </c>
      <c r="H53" s="42">
        <f>AVERAGE(INDIRECT("0分!AA" &amp; (ROW()-2)*7+3 &amp; ":AA" &amp; (ROW()-1)*7+2))</f>
        <v/>
      </c>
      <c r="I53" s="42">
        <f>AVERAGE(INDIRECT("0分!Y" &amp; (ROW()-2)*7+3 &amp; ":Y" &amp; (ROW()-1)*7+2))</f>
        <v/>
      </c>
      <c r="J53" s="42">
        <f>SUM(INDIRECT("0分!AE"&amp;(ROW()-2)*7+2&amp;":AE"&amp;(ROW()-1)*7+1))/7</f>
        <v/>
      </c>
      <c r="K53" s="313">
        <f t="array" ref="K53">INDIRECT("hcbi!BL"&amp;(ROW()-1)*7+-3)/7</f>
        <v/>
      </c>
      <c r="L53" s="240">
        <f>AVERAGE(INDIRECT("0分!AD"&amp;(ROW()-2)*7+2&amp;":AD"&amp;(ROW()-1)*7+1))</f>
        <v/>
      </c>
      <c r="M53" s="42">
        <f>AVERAGE(INDIRECT("0₦!BD"&amp;(ROW()-2)*7+6&amp;":BC"&amp;(ROW())*7 - 1))</f>
        <v/>
      </c>
      <c r="N53" s="42">
        <f>AVERAGE(INDIRECT("0分!AF"&amp;(ROW()-2)*7+2&amp;":AF"&amp;(ROW()-1)*7+1))</f>
        <v/>
      </c>
      <c r="O53" s="288">
        <f>AVERAGE(INDIRECT("0分!AH"&amp;(ROW()-2)*7+1&amp;":AH"&amp;(ROW()-1)*7))</f>
        <v/>
      </c>
      <c r="P53" s="42">
        <f>AVERAGE(INDIRECT("0₦!BC"&amp;(ROW()-2)*7+1&amp;":BB"&amp;(ROW()-1)*7))</f>
        <v/>
      </c>
      <c r="S53" s="42">
        <f>SUM(INDIRECT("0分!D" &amp; (ROW()-2)*7+2 &amp; ":D" &amp; (ROW()-1)*7+1))/7</f>
        <v/>
      </c>
      <c r="T53" s="450">
        <f>'i9'!B54</f>
        <v/>
      </c>
      <c r="V53" s="335" t="n"/>
      <c r="W53" s="335" t="n"/>
      <c r="X53" s="335" t="n"/>
      <c r="Y53" s="335" t="n"/>
      <c r="Z53" s="335" t="n"/>
      <c r="AA53" s="578">
        <f>MAX(INDIRECT("0s!P" &amp; (ROW()-2)*7+6 &amp; ":P" &amp; (ROW()-1)*7+5))</f>
        <v/>
      </c>
      <c r="AB53" s="55">
        <f>MIN(INDIRECT("0s!Q" &amp; (ROW()-2)*7+6 &amp; ":Q" &amp; (ROW()-1)*7+5))</f>
        <v/>
      </c>
      <c r="AC53" s="578">
        <f>AVERAGE(INDIRECT("0s!R" &amp; (ROW()-2)*7+6 &amp; ":R" &amp; (ROW()-1)*7+5))</f>
        <v/>
      </c>
      <c r="AD53" s="579" t="n"/>
      <c r="AE53" s="39">
        <f>SUM(INDIRECT("0分!Y" &amp; (ROW()-2)*7-3 &amp; ":Y" &amp; (ROW()-1)*7+-4))/7</f>
        <v/>
      </c>
      <c r="AF53" s="42">
        <f>P53+L53+M53</f>
        <v/>
      </c>
      <c r="AI53" s="450">
        <f>COUNTIF(INDIRECT("'0₦'!AR" &amp;((ROW()-2)*7+3) &amp; ":AR" &amp; ((ROW()-1)*7+2)), "&lt;0")</f>
        <v/>
      </c>
      <c r="AJ53" s="450">
        <f>COUNTIF(INDIRECT("'0₦'!M" &amp;((ROW()-2)*7+3) &amp; ":M" &amp; ((ROW()-1)*7+2)), "&lt;&gt;")</f>
        <v/>
      </c>
      <c r="AK53" s="450">
        <f>COUNTIF(INDIRECT("'0₦'!O" &amp;((ROW()-2)*7+3) &amp; ":O" &amp; ((ROW()-1)*7+2)), "&lt;&gt;")</f>
        <v/>
      </c>
      <c r="AL53" s="42">
        <f>SUM(INDIRECT("0₦!AR" &amp; (ROW()-2)*7+3 &amp; ":AR" &amp; (ROW()-1)*7+2))/7</f>
        <v/>
      </c>
      <c r="AM53" s="42">
        <f>SUM(INDIRECT("0₦!AS" &amp; (ROW()-2)*7+3 &amp; ":AS" &amp; (ROW()-1)*7+2))/7</f>
        <v/>
      </c>
      <c r="AN53" s="42">
        <f>SUM(INDIRECT("0₦!AT" &amp; (ROW()-2)*7+3 &amp; ":AT" &amp; (ROW()-1)*7+2))/7</f>
        <v/>
      </c>
      <c r="AO53" s="42">
        <f>SUM(INDIRECT("0₦!AU" &amp; (ROW()-2)*7+3 &amp; ":AU" &amp; (ROW()-1)*7+2))/7</f>
        <v/>
      </c>
      <c r="AP53" s="42">
        <f>SUM(AO53+AN53/2+AM53*0.1-AL53)</f>
        <v/>
      </c>
      <c r="AQ53" s="42" t="n"/>
      <c r="AR53" s="42" t="n"/>
      <c r="AU53" s="296">
        <f>SUM(INDIRECT("0分!AJ" &amp; (ROW()-2)*7 -1 &amp; ":AJ" &amp; (ROW()-1)*7-2))/7</f>
        <v/>
      </c>
      <c r="BI53" s="537" t="n"/>
      <c r="BK53" s="2" t="n"/>
    </row>
    <row r="54">
      <c r="A54" s="148" t="n"/>
      <c r="B54" s="148" t="n"/>
      <c r="C54" s="148" t="n"/>
      <c r="D54" s="148" t="n"/>
      <c r="E54" s="148" t="n"/>
      <c r="F54" s="148" t="n"/>
      <c r="G54" s="148" t="n"/>
      <c r="H54" s="148" t="n"/>
      <c r="I54" s="148" t="n"/>
      <c r="J54" s="148" t="n"/>
      <c r="K54" s="148" t="n"/>
      <c r="L54" s="148" t="n"/>
      <c r="M54" s="148" t="n"/>
      <c r="N54" s="148" t="n"/>
      <c r="O54" s="148" t="n"/>
      <c r="P54" s="148" t="n"/>
      <c r="Q54" s="148" t="n"/>
      <c r="R54" s="148" t="n"/>
      <c r="S54" s="148" t="n"/>
      <c r="T54" s="148" t="n"/>
      <c r="U54" s="148" t="n"/>
      <c r="V54" s="74" t="n"/>
      <c r="W54" s="148" t="n"/>
      <c r="X54" s="148" t="n"/>
      <c r="Y54" s="148" t="n"/>
      <c r="Z54" s="148" t="n"/>
      <c r="AA54" s="74" t="n"/>
      <c r="AB54" s="74" t="n"/>
      <c r="AC54" s="74" t="n"/>
      <c r="AD54" s="74" t="n"/>
      <c r="AE54" s="74" t="n"/>
      <c r="AF54" s="74" t="n"/>
      <c r="AH54" s="74" t="n"/>
      <c r="AI54" s="74" t="n"/>
      <c r="AJ54" s="74" t="n"/>
      <c r="AK54" s="74" t="n"/>
      <c r="AL54" s="74" t="n"/>
      <c r="AM54" s="74" t="n"/>
      <c r="AN54" s="74" t="n"/>
      <c r="AO54" s="74" t="n"/>
      <c r="AP54" s="74" t="n"/>
      <c r="AQ54" s="74" t="n"/>
      <c r="AR54" s="74" t="n"/>
      <c r="AS54" s="74" t="n"/>
      <c r="AT54" s="74" t="n"/>
      <c r="AU54" s="74" t="n"/>
      <c r="AV54" s="74" t="n"/>
      <c r="AW54" s="74" t="n"/>
    </row>
    <row r="55" ht="15.75" customHeight="1" s="37">
      <c r="A55" s="22">
        <f>A2-0.1</f>
        <v/>
      </c>
      <c r="B55" s="22" t="n"/>
      <c r="U55" s="27" t="n">
        <v>30</v>
      </c>
      <c r="AA55" s="2">
        <f>MAX(Y2:Y5)</f>
        <v/>
      </c>
      <c r="AB55" s="2">
        <f>MIN(Z2:Z5)</f>
        <v/>
      </c>
      <c r="AC55" s="335">
        <f>AVERAGE(X2:X5)</f>
        <v/>
      </c>
      <c r="AD55" s="84" t="n"/>
      <c r="AQ55" s="42">
        <f>SUM(AQ2:AQ14)</f>
        <v/>
      </c>
      <c r="AR55" s="42">
        <f>SUM(AR2:AR14)</f>
        <v/>
      </c>
    </row>
    <row r="56" ht="15.75" customHeight="1" s="37">
      <c r="A56" s="22">
        <f>A55+1</f>
        <v/>
      </c>
      <c r="B56" s="22" t="n"/>
      <c r="AA56" s="335">
        <f>MAX(Y6:Y9)</f>
        <v/>
      </c>
      <c r="AB56" s="335">
        <f>MIN(W6:W9)</f>
        <v/>
      </c>
      <c r="AC56" s="335">
        <f>AVERAGE(X6:X9)</f>
        <v/>
      </c>
      <c r="AD56" s="84" t="n"/>
      <c r="AQ56" s="42">
        <f>SUM(AQ15:AQ26)</f>
        <v/>
      </c>
      <c r="AR56" s="42">
        <f>SUM(AR15:AR26)</f>
        <v/>
      </c>
    </row>
    <row r="57">
      <c r="A57" s="22">
        <f>A56+1</f>
        <v/>
      </c>
      <c r="B57" s="22" t="n"/>
      <c r="AQ57" s="42">
        <f>SUM(AQ23:AQ39)</f>
        <v/>
      </c>
      <c r="AR57" s="42">
        <f>SUM(AR26:AR37)</f>
        <v/>
      </c>
    </row>
    <row r="58">
      <c r="AQ58" s="42">
        <f>SUM(AQ41:AQ53)</f>
        <v/>
      </c>
    </row>
    <row r="59" customFormat="1" s="45">
      <c r="AD59" s="83" t="n"/>
      <c r="AH59" s="216" t="n"/>
      <c r="AI59" s="74" t="n"/>
      <c r="AJ59" s="74" t="n"/>
      <c r="AK59" s="74" t="n"/>
      <c r="AL59" s="74" t="n"/>
      <c r="AM59" s="74" t="n"/>
      <c r="AN59" s="74" t="n"/>
      <c r="AO59" s="74" t="n"/>
      <c r="AP59" s="74" t="n"/>
      <c r="AQ59" s="74" t="n"/>
      <c r="AR59" s="74" t="n"/>
      <c r="AS59" s="450" t="n"/>
    </row>
    <row r="60" ht="35.25" customFormat="1" customHeight="1" s="45">
      <c r="AD60" s="83" t="n"/>
      <c r="AH60" s="216" t="n"/>
      <c r="AI60" s="450" t="n"/>
      <c r="AJ60" s="450" t="n"/>
      <c r="AK60" s="450" t="n"/>
      <c r="AL60" s="450" t="n"/>
      <c r="AM60" s="450" t="n"/>
      <c r="AN60" s="450" t="n"/>
      <c r="AO60" s="450" t="n"/>
      <c r="AP60" s="450" t="inlineStr">
        <is>
          <t>书分</t>
        </is>
      </c>
      <c r="AQ60" s="42">
        <f>SUM(AQ55:AQ58)</f>
        <v/>
      </c>
      <c r="AR60" s="42">
        <f>SUM(AR55:AR58)</f>
        <v/>
      </c>
      <c r="AS60" s="450" t="n"/>
    </row>
    <row r="61" ht="33" customFormat="1" customHeight="1" s="45">
      <c r="AD61" s="83" t="n"/>
      <c r="AH61" s="216" t="n"/>
      <c r="AI61" s="450" t="n"/>
      <c r="AJ61" s="450" t="n"/>
      <c r="AK61" s="450" t="n"/>
      <c r="AL61" s="450" t="n"/>
      <c r="AM61" s="450" t="n"/>
      <c r="AN61" s="450" t="n"/>
      <c r="AO61" s="450" t="n"/>
      <c r="AP61" s="450" t="inlineStr">
        <is>
          <t>GR书</t>
        </is>
      </c>
      <c r="AQ61" s="42">
        <f>AQ60-18</f>
        <v/>
      </c>
      <c r="AR61" s="450" t="n"/>
      <c r="AS61" s="450" t="n"/>
    </row>
    <row r="62" customFormat="1" s="45">
      <c r="AD62" s="83" t="n"/>
      <c r="AH62" s="216" t="n"/>
      <c r="AI62" s="450" t="n"/>
      <c r="AJ62" s="450" t="n"/>
      <c r="AK62" s="450" t="n"/>
      <c r="AL62" s="450" t="n"/>
      <c r="AM62" s="450" t="n"/>
      <c r="AN62" s="450" t="n"/>
      <c r="AO62" s="450" t="n"/>
      <c r="AP62" s="450" t="n"/>
      <c r="AQ62" s="450" t="n"/>
      <c r="AR62" s="450" t="n"/>
      <c r="AS62" s="450" t="n"/>
    </row>
    <row r="63" customFormat="1" s="45">
      <c r="AD63" s="83" t="n"/>
      <c r="AH63" s="216" t="n"/>
      <c r="AI63" s="450" t="n"/>
      <c r="AJ63" s="450" t="n"/>
      <c r="AK63" s="450" t="n"/>
      <c r="AL63" s="450" t="n"/>
      <c r="AM63" s="450" t="n"/>
      <c r="AN63" s="450" t="n"/>
      <c r="AO63" s="450" t="n"/>
      <c r="AP63" s="450" t="n"/>
      <c r="AQ63" s="450" t="n"/>
      <c r="AR63" s="450" t="n"/>
      <c r="AS63" s="450" t="n"/>
    </row>
    <row r="64" customFormat="1" s="45">
      <c r="AD64" s="83" t="n"/>
      <c r="AH64" s="216" t="n"/>
      <c r="AI64" s="450" t="n"/>
      <c r="AJ64" s="450" t="n"/>
      <c r="AK64" s="450" t="n"/>
      <c r="AL64" s="450" t="n"/>
      <c r="AM64" s="450" t="n"/>
      <c r="AN64" s="450" t="n"/>
      <c r="AO64" s="450" t="n"/>
      <c r="AP64" s="450" t="n"/>
      <c r="AQ64" s="450" t="n"/>
      <c r="AR64" s="450" t="n"/>
      <c r="AS64" s="450" t="n"/>
    </row>
    <row r="65" customFormat="1" s="45">
      <c r="AD65" s="83" t="n"/>
      <c r="AH65" s="216" t="n"/>
      <c r="AI65" s="450" t="n"/>
      <c r="AJ65" s="450" t="n"/>
      <c r="AK65" s="450" t="n"/>
      <c r="AL65" s="450" t="n"/>
      <c r="AM65" s="450" t="n"/>
      <c r="AN65" s="450" t="n"/>
      <c r="AO65" s="450" t="n"/>
      <c r="AP65" s="450" t="n"/>
      <c r="AQ65" s="450" t="n"/>
      <c r="AR65" s="450" t="n"/>
      <c r="AS65" s="450" t="n"/>
    </row>
    <row r="66" customFormat="1" s="45">
      <c r="AD66" s="83" t="n"/>
      <c r="AH66" s="216" t="n"/>
      <c r="AI66" s="450" t="n"/>
      <c r="AJ66" s="450" t="n"/>
      <c r="AK66" s="450" t="n"/>
      <c r="AL66" s="450" t="n"/>
      <c r="AM66" s="450" t="n"/>
      <c r="AN66" s="450" t="n"/>
      <c r="AO66" s="450" t="n"/>
      <c r="AP66" s="450" t="n"/>
      <c r="AQ66" s="450" t="n"/>
      <c r="AR66" s="450" t="n"/>
      <c r="AS66" s="450" t="n"/>
    </row>
    <row r="67" customFormat="1" s="45">
      <c r="AD67" s="83" t="n"/>
      <c r="AH67" s="216" t="n"/>
      <c r="AI67" s="450" t="n"/>
      <c r="AJ67" s="450" t="n"/>
      <c r="AK67" s="450" t="n"/>
      <c r="AL67" s="450" t="n"/>
      <c r="AM67" s="450" t="n"/>
      <c r="AN67" s="450" t="n"/>
      <c r="AO67" s="450" t="n"/>
      <c r="AP67" s="450" t="n"/>
      <c r="AQ67" s="450" t="n"/>
      <c r="AR67" s="450" t="n"/>
      <c r="AS67" s="450" t="n"/>
    </row>
    <row r="68" customFormat="1" s="45">
      <c r="AD68" s="83" t="n"/>
      <c r="AH68" s="216" t="n"/>
      <c r="AI68" s="450" t="n"/>
      <c r="AJ68" s="450" t="n"/>
      <c r="AK68" s="450" t="n"/>
      <c r="AL68" s="450" t="n"/>
      <c r="AM68" s="450" t="n"/>
      <c r="AN68" s="450" t="n"/>
      <c r="AO68" s="450" t="n"/>
      <c r="AP68" s="450" t="n"/>
      <c r="AQ68" s="450" t="n"/>
      <c r="AR68" s="450" t="n"/>
      <c r="AS68" s="450" t="n"/>
    </row>
    <row r="69" customFormat="1" s="45">
      <c r="AD69" s="83" t="n"/>
      <c r="AH69" s="216" t="n"/>
      <c r="AI69" s="450" t="n"/>
      <c r="AJ69" s="450" t="n"/>
      <c r="AK69" s="450" t="n"/>
      <c r="AL69" s="450" t="n"/>
      <c r="AM69" s="450" t="n"/>
      <c r="AN69" s="450" t="n"/>
      <c r="AO69" s="450" t="n"/>
      <c r="AP69" s="450" t="n"/>
      <c r="AQ69" s="450" t="n"/>
      <c r="AR69" s="450" t="n"/>
      <c r="AS69" s="450" t="n"/>
    </row>
    <row r="70" customFormat="1" s="45">
      <c r="AD70" s="83" t="n"/>
      <c r="AH70" s="216" t="n"/>
      <c r="AI70" s="450" t="n"/>
      <c r="AJ70" s="450" t="n"/>
      <c r="AK70" s="450" t="n"/>
      <c r="AL70" s="450" t="n"/>
      <c r="AM70" s="450" t="n"/>
      <c r="AN70" s="450" t="n"/>
      <c r="AO70" s="450" t="n"/>
      <c r="AP70" s="450" t="n"/>
      <c r="AQ70" s="450" t="n"/>
      <c r="AR70" s="450" t="n"/>
      <c r="AS70" s="450" t="n"/>
    </row>
    <row r="71" customFormat="1" s="45">
      <c r="AD71" s="83" t="n"/>
      <c r="AH71" s="216" t="n"/>
      <c r="AI71" s="450" t="n"/>
      <c r="AJ71" s="450" t="n"/>
      <c r="AK71" s="450" t="n"/>
      <c r="AL71" s="450" t="n"/>
      <c r="AM71" s="450" t="n"/>
      <c r="AN71" s="450" t="n"/>
      <c r="AO71" s="450" t="n"/>
      <c r="AP71" s="450" t="n"/>
      <c r="AQ71" s="450" t="n"/>
      <c r="AR71" s="450" t="n"/>
      <c r="AS71" s="450" t="n"/>
    </row>
    <row r="72" customFormat="1" s="45">
      <c r="AD72" s="83" t="n"/>
      <c r="AH72" s="216" t="n"/>
      <c r="AI72" s="450" t="n"/>
      <c r="AJ72" s="450" t="n"/>
      <c r="AK72" s="450" t="n"/>
      <c r="AL72" s="450" t="n"/>
      <c r="AM72" s="450" t="n"/>
      <c r="AN72" s="450" t="n"/>
      <c r="AO72" s="450" t="n"/>
      <c r="AP72" s="450" t="n"/>
      <c r="AQ72" s="450" t="n"/>
      <c r="AR72" s="450" t="n"/>
      <c r="AS72" s="450" t="n"/>
    </row>
    <row r="73" customFormat="1" s="45">
      <c r="AD73" s="83" t="n"/>
      <c r="AH73" s="216" t="n"/>
      <c r="AI73" s="450" t="n"/>
      <c r="AJ73" s="450" t="n"/>
      <c r="AK73" s="450" t="n"/>
      <c r="AL73" s="450" t="n"/>
      <c r="AM73" s="450" t="n"/>
      <c r="AN73" s="450" t="n"/>
      <c r="AO73" s="450" t="n"/>
      <c r="AP73" s="450" t="n"/>
      <c r="AQ73" s="450" t="n"/>
      <c r="AR73" s="450" t="n"/>
      <c r="AS73" s="450" t="n"/>
    </row>
    <row r="74" customFormat="1" s="45">
      <c r="AD74" s="83" t="n"/>
      <c r="AH74" s="216" t="n"/>
      <c r="AI74" s="450" t="n"/>
      <c r="AJ74" s="450" t="n"/>
      <c r="AK74" s="450" t="n"/>
      <c r="AL74" s="450" t="n"/>
      <c r="AM74" s="450" t="n"/>
      <c r="AN74" s="450" t="n"/>
      <c r="AO74" s="450" t="n"/>
      <c r="AP74" s="450" t="n"/>
      <c r="AQ74" s="450" t="n"/>
      <c r="AR74" s="450" t="n"/>
      <c r="AS74" s="450" t="n"/>
    </row>
    <row r="75" customFormat="1" s="45">
      <c r="AD75" s="83" t="n"/>
      <c r="AH75" s="216" t="n"/>
      <c r="AI75" s="450" t="n"/>
      <c r="AJ75" s="450" t="n"/>
      <c r="AK75" s="450" t="n"/>
      <c r="AS75" s="450" t="n"/>
    </row>
    <row r="76" customFormat="1" s="45">
      <c r="AD76" s="83" t="n"/>
      <c r="AH76" s="216" t="n"/>
      <c r="AI76" s="450" t="n"/>
      <c r="AJ76" s="450" t="n"/>
      <c r="AK76" s="450" t="n"/>
      <c r="AS76" s="450" t="n"/>
    </row>
    <row r="77" customFormat="1" s="45">
      <c r="AD77" s="83" t="n"/>
      <c r="AH77" s="216" t="n"/>
      <c r="AI77" s="450" t="n"/>
      <c r="AJ77" s="450" t="n"/>
      <c r="AK77" s="450" t="n"/>
      <c r="AS77" s="450" t="n"/>
    </row>
    <row r="78" customFormat="1" s="45">
      <c r="AD78" s="83" t="n"/>
      <c r="AH78" s="216" t="n"/>
      <c r="AI78" s="450" t="n"/>
      <c r="AJ78" s="450" t="n"/>
      <c r="AK78" s="450" t="n"/>
      <c r="AS78" s="450" t="n"/>
    </row>
    <row r="79" customFormat="1" s="45">
      <c r="AD79" s="83" t="n"/>
      <c r="AH79" s="216" t="n"/>
      <c r="AI79" s="450" t="n"/>
      <c r="AJ79" s="450" t="n"/>
      <c r="AK79" s="450" t="n"/>
      <c r="AS79" s="450" t="n"/>
    </row>
    <row r="80" customFormat="1" s="45">
      <c r="AD80" s="83" t="n"/>
      <c r="AH80" s="216" t="n"/>
      <c r="AI80" s="450" t="n"/>
      <c r="AJ80" s="450" t="n"/>
      <c r="AK80" s="450" t="n"/>
      <c r="AS80" s="450" t="n"/>
    </row>
    <row r="81" customFormat="1" s="45">
      <c r="AD81" s="83" t="n"/>
      <c r="AH81" s="216" t="n"/>
      <c r="AI81" s="450" t="n"/>
      <c r="AJ81" s="450" t="n"/>
      <c r="AK81" s="450" t="n"/>
      <c r="AS81" s="450" t="n"/>
    </row>
    <row r="82" customFormat="1" s="45">
      <c r="AD82" s="83" t="n"/>
      <c r="AH82" s="216" t="n"/>
      <c r="AI82" s="450" t="n"/>
      <c r="AJ82" s="450" t="n"/>
      <c r="AK82" s="450" t="n"/>
      <c r="AS82" s="450" t="n"/>
    </row>
    <row r="83" customFormat="1" s="45">
      <c r="AD83" s="83" t="n"/>
      <c r="AH83" s="216" t="n"/>
      <c r="AI83" s="450" t="n"/>
      <c r="AJ83" s="450" t="n"/>
      <c r="AK83" s="450" t="n"/>
      <c r="AS83" s="450" t="n"/>
    </row>
    <row r="84" customFormat="1" s="45">
      <c r="AD84" s="83" t="n"/>
      <c r="AH84" s="216" t="n"/>
      <c r="AI84" s="450" t="n"/>
      <c r="AJ84" s="450" t="n"/>
      <c r="AK84" s="450" t="n"/>
      <c r="AS84" s="450" t="n"/>
    </row>
    <row r="85" customFormat="1" s="45">
      <c r="AD85" s="83" t="n"/>
      <c r="AH85" s="216" t="n"/>
      <c r="AI85" s="450" t="n"/>
      <c r="AJ85" s="450" t="n"/>
      <c r="AK85" s="450" t="n"/>
      <c r="AS85" s="450" t="n"/>
    </row>
    <row r="86" customFormat="1" s="45">
      <c r="AD86" s="83" t="n"/>
      <c r="AH86" s="216" t="n"/>
      <c r="AI86" s="450" t="n"/>
      <c r="AJ86" s="450" t="n"/>
      <c r="AK86" s="450" t="n"/>
      <c r="AS86" s="450" t="n"/>
    </row>
    <row r="87" customFormat="1" s="45">
      <c r="AD87" s="83" t="n"/>
      <c r="AH87" s="216" t="n"/>
      <c r="AI87" s="450" t="n"/>
      <c r="AJ87" s="450" t="n"/>
      <c r="AK87" s="450" t="n"/>
      <c r="AS87" s="450" t="n"/>
    </row>
    <row r="88" customFormat="1" s="45">
      <c r="AD88" s="83" t="n"/>
      <c r="AH88" s="216" t="n"/>
      <c r="AI88" s="450" t="n"/>
      <c r="AJ88" s="450" t="n"/>
      <c r="AK88" s="450" t="n"/>
      <c r="AS88" s="450" t="n"/>
    </row>
    <row r="89" customFormat="1" s="45">
      <c r="AD89" s="83" t="n"/>
      <c r="AH89" s="216" t="n"/>
      <c r="AI89" s="450" t="n"/>
      <c r="AJ89" s="450" t="n"/>
      <c r="AK89" s="450" t="n"/>
      <c r="AS89" s="450" t="n"/>
    </row>
    <row r="90" customFormat="1" s="45">
      <c r="AD90" s="83" t="n"/>
      <c r="AH90" s="216" t="n"/>
      <c r="AI90" s="450" t="n"/>
      <c r="AJ90" s="450" t="n"/>
      <c r="AK90" s="450" t="n"/>
      <c r="AS90" s="450" t="n"/>
    </row>
    <row r="91" customFormat="1" s="45">
      <c r="AD91" s="83" t="n"/>
      <c r="AH91" s="216" t="n"/>
      <c r="AI91" s="450" t="n"/>
      <c r="AJ91" s="450" t="n"/>
      <c r="AK91" s="450" t="n"/>
      <c r="AS91" s="450" t="n"/>
    </row>
    <row r="92" customFormat="1" s="45">
      <c r="AD92" s="83" t="n"/>
      <c r="AH92" s="216" t="n"/>
      <c r="AI92" s="450" t="n"/>
      <c r="AJ92" s="450" t="n"/>
      <c r="AK92" s="450" t="n"/>
      <c r="AS92" s="450" t="n"/>
    </row>
    <row r="93" customFormat="1" s="45">
      <c r="AD93" s="83" t="n"/>
      <c r="AH93" s="216" t="n"/>
      <c r="AI93" s="450" t="n"/>
      <c r="AJ93" s="450" t="n"/>
      <c r="AK93" s="450" t="n"/>
      <c r="AS93" s="450" t="n"/>
    </row>
    <row r="94" customFormat="1" s="45">
      <c r="AD94" s="83" t="n"/>
      <c r="AH94" s="216" t="n"/>
      <c r="AI94" s="450" t="n"/>
      <c r="AJ94" s="450" t="n"/>
      <c r="AK94" s="450" t="n"/>
      <c r="AS94" s="450" t="n"/>
    </row>
    <row r="95" customFormat="1" s="45">
      <c r="AD95" s="83" t="n"/>
      <c r="AH95" s="216" t="n"/>
      <c r="AI95" s="450" t="n"/>
      <c r="AJ95" s="450" t="n"/>
      <c r="AK95" s="450" t="n"/>
      <c r="AS95" s="450" t="n"/>
    </row>
    <row r="96" customFormat="1" s="45">
      <c r="AD96" s="83" t="n"/>
      <c r="AH96" s="216" t="n"/>
      <c r="AI96" s="450" t="n"/>
      <c r="AJ96" s="450" t="n"/>
      <c r="AK96" s="450" t="n"/>
      <c r="AS96" s="450" t="n"/>
    </row>
    <row r="97" customFormat="1" s="45">
      <c r="AD97" s="83" t="n"/>
      <c r="AH97" s="216" t="n"/>
      <c r="AI97" s="450" t="n"/>
      <c r="AJ97" s="450" t="n"/>
      <c r="AK97" s="450" t="n"/>
      <c r="AS97" s="450" t="n"/>
    </row>
    <row r="98" customFormat="1" s="45">
      <c r="AD98" s="83" t="n"/>
      <c r="AH98" s="216" t="n"/>
      <c r="AI98" s="450" t="n"/>
      <c r="AJ98" s="450" t="n"/>
      <c r="AK98" s="450" t="n"/>
      <c r="AS98" s="450" t="n"/>
    </row>
    <row r="99" customFormat="1" s="45">
      <c r="AD99" s="83" t="n"/>
      <c r="AH99" s="216" t="n"/>
      <c r="AI99" s="450" t="n"/>
      <c r="AJ99" s="450" t="n"/>
      <c r="AK99" s="450" t="n"/>
      <c r="AS99" s="450" t="n"/>
    </row>
    <row r="100" customFormat="1" s="45">
      <c r="AD100" s="83" t="n"/>
      <c r="AH100" s="216" t="n"/>
      <c r="AI100" s="450" t="n"/>
      <c r="AJ100" s="450" t="n"/>
      <c r="AK100" s="450" t="n"/>
      <c r="AS100" s="450" t="n"/>
    </row>
    <row r="101" customFormat="1" s="45">
      <c r="AD101" s="83" t="n"/>
      <c r="AH101" s="216" t="n"/>
      <c r="AI101" s="450" t="n"/>
      <c r="AJ101" s="450" t="n"/>
      <c r="AK101" s="450" t="n"/>
      <c r="AS101" s="450" t="n"/>
    </row>
    <row r="102" customFormat="1" s="45">
      <c r="AD102" s="83" t="n"/>
      <c r="AH102" s="216" t="n"/>
      <c r="AI102" s="450" t="n"/>
      <c r="AJ102" s="450" t="n"/>
      <c r="AK102" s="450" t="n"/>
      <c r="AS102" s="450" t="n"/>
    </row>
    <row r="103" customFormat="1" s="45">
      <c r="AD103" s="83" t="n"/>
      <c r="AH103" s="216" t="n"/>
      <c r="AI103" s="450" t="n"/>
      <c r="AJ103" s="450" t="n"/>
      <c r="AK103" s="450" t="n"/>
      <c r="AS103" s="450" t="n"/>
    </row>
  </sheetData>
  <mergeCells count="288">
    <mergeCell ref="BM10:BM14"/>
    <mergeCell ref="BQ15:BQ27"/>
    <mergeCell ref="BF23:BF27"/>
    <mergeCell ref="BE6:BE9"/>
    <mergeCell ref="BH23:BH27"/>
    <mergeCell ref="AZ19:AZ22"/>
    <mergeCell ref="AY45:AY48"/>
    <mergeCell ref="BJ23:BJ27"/>
    <mergeCell ref="AW32:AW35"/>
    <mergeCell ref="BB19:BB22"/>
    <mergeCell ref="AY32:AY35"/>
    <mergeCell ref="BB49:BB53"/>
    <mergeCell ref="BD49:BD53"/>
    <mergeCell ref="AV41:AV44"/>
    <mergeCell ref="BB10:BB14"/>
    <mergeCell ref="BH32:BH35"/>
    <mergeCell ref="BT41:BT53"/>
    <mergeCell ref="BU2:BU14"/>
    <mergeCell ref="CC28:CC31"/>
    <mergeCell ref="AV2:AV5"/>
    <mergeCell ref="CB32:CB35"/>
    <mergeCell ref="CE28:CE31"/>
    <mergeCell ref="AX2:AX5"/>
    <mergeCell ref="BC45:BC48"/>
    <mergeCell ref="CB41:CB44"/>
    <mergeCell ref="BF19:BF22"/>
    <mergeCell ref="BK23:BK27"/>
    <mergeCell ref="CD41:CD44"/>
    <mergeCell ref="BJ41:BJ44"/>
    <mergeCell ref="BO45:BO48"/>
    <mergeCell ref="BE32:BE35"/>
    <mergeCell ref="BQ41:BQ53"/>
    <mergeCell ref="BH49:BH53"/>
    <mergeCell ref="CB28:CB31"/>
    <mergeCell ref="BX28:BX40"/>
    <mergeCell ref="BA28:BA31"/>
    <mergeCell ref="BW41:BW53"/>
    <mergeCell ref="CH41:CH44"/>
    <mergeCell ref="BA15:BA18"/>
    <mergeCell ref="AV36:AV40"/>
    <mergeCell ref="BF49:BF53"/>
    <mergeCell ref="AX28:AX31"/>
    <mergeCell ref="BH19:BH22"/>
    <mergeCell ref="BJ19:BJ22"/>
    <mergeCell ref="AW41:AW44"/>
    <mergeCell ref="BD28:BD31"/>
    <mergeCell ref="CA32:CA35"/>
    <mergeCell ref="AV28:AV31"/>
    <mergeCell ref="CC32:CC35"/>
    <mergeCell ref="CK41:CK44"/>
    <mergeCell ref="AV6:AV9"/>
    <mergeCell ref="BD15:BD18"/>
    <mergeCell ref="AY23:AY27"/>
    <mergeCell ref="BF15:BF18"/>
    <mergeCell ref="BA23:BA27"/>
    <mergeCell ref="BH6:BH9"/>
    <mergeCell ref="BT15:BT27"/>
    <mergeCell ref="BK19:BK22"/>
    <mergeCell ref="AX36:AX40"/>
    <mergeCell ref="BB45:BB48"/>
    <mergeCell ref="BC19:BC22"/>
    <mergeCell ref="AZ36:AZ40"/>
    <mergeCell ref="BE19:BE22"/>
    <mergeCell ref="BQ28:BQ40"/>
    <mergeCell ref="BB32:BB35"/>
    <mergeCell ref="BS28:BS40"/>
    <mergeCell ref="AW49:AW53"/>
    <mergeCell ref="BD32:BD35"/>
    <mergeCell ref="AV45:AV48"/>
    <mergeCell ref="BA41:BA44"/>
    <mergeCell ref="BG10:BG14"/>
    <mergeCell ref="BB23:BB27"/>
    <mergeCell ref="AV32:AV35"/>
    <mergeCell ref="BD23:BD27"/>
    <mergeCell ref="BA2:BA5"/>
    <mergeCell ref="BF41:BF44"/>
    <mergeCell ref="CH28:CH31"/>
    <mergeCell ref="CJ28:CJ31"/>
    <mergeCell ref="BC2:BC5"/>
    <mergeCell ref="BD10:BD14"/>
    <mergeCell ref="BJ45:BJ48"/>
    <mergeCell ref="BH45:BH48"/>
    <mergeCell ref="BV41:BV53"/>
    <mergeCell ref="BM49:BM53"/>
    <mergeCell ref="CD32:CD35"/>
    <mergeCell ref="BO19:BO22"/>
    <mergeCell ref="CA41:CA44"/>
    <mergeCell ref="AY49:AY53"/>
    <mergeCell ref="BF28:BF31"/>
    <mergeCell ref="BG36:BG40"/>
    <mergeCell ref="CK28:CK31"/>
    <mergeCell ref="BD2:BD5"/>
    <mergeCell ref="BK45:BK48"/>
    <mergeCell ref="BK32:BK35"/>
    <mergeCell ref="AV49:AV53"/>
    <mergeCell ref="BM32:BM35"/>
    <mergeCell ref="BE45:BE48"/>
    <mergeCell ref="BH2:BH5"/>
    <mergeCell ref="AW15:AW18"/>
    <mergeCell ref="BG6:BG9"/>
    <mergeCell ref="BJ2:BJ5"/>
    <mergeCell ref="AY28:AY31"/>
    <mergeCell ref="AX32:AX35"/>
    <mergeCell ref="BG15:BG18"/>
    <mergeCell ref="CH32:CH35"/>
    <mergeCell ref="AX41:AX44"/>
    <mergeCell ref="BA6:BA9"/>
    <mergeCell ref="BD19:BD22"/>
    <mergeCell ref="AZ41:AZ44"/>
    <mergeCell ref="BF10:BF14"/>
    <mergeCell ref="AV19:AV22"/>
    <mergeCell ref="CK32:CK35"/>
    <mergeCell ref="AW45:AW48"/>
    <mergeCell ref="AX49:AX53"/>
    <mergeCell ref="BM28:BM31"/>
    <mergeCell ref="AX10:AX14"/>
    <mergeCell ref="BO28:BO31"/>
    <mergeCell ref="AZ10:AZ14"/>
    <mergeCell ref="BM15:BM18"/>
    <mergeCell ref="BL41:BL44"/>
    <mergeCell ref="BQ2:BQ14"/>
    <mergeCell ref="BJ10:BJ14"/>
    <mergeCell ref="BS2:BS14"/>
    <mergeCell ref="CA28:CA31"/>
    <mergeCell ref="BL10:BL14"/>
    <mergeCell ref="BP15:BP27"/>
    <mergeCell ref="AW23:AW27"/>
    <mergeCell ref="BD6:BD9"/>
    <mergeCell ref="BR15:BR27"/>
    <mergeCell ref="BG23:BG27"/>
    <mergeCell ref="AY19:AY22"/>
    <mergeCell ref="BA45:BA48"/>
    <mergeCell ref="BM45:BM48"/>
    <mergeCell ref="BA32:BA35"/>
    <mergeCell ref="BF36:BF40"/>
    <mergeCell ref="BT28:BT40"/>
    <mergeCell ref="BS41:BS53"/>
    <mergeCell ref="CO45:CQ48"/>
    <mergeCell ref="BV15:BV27"/>
    <mergeCell ref="BJ49:BJ53"/>
    <mergeCell ref="BG41:BG44"/>
    <mergeCell ref="CD28:CD31"/>
    <mergeCell ref="BM23:BM27"/>
    <mergeCell ref="AW2:AW5"/>
    <mergeCell ref="BJ36:BJ40"/>
    <mergeCell ref="BD45:BD48"/>
    <mergeCell ref="BL36:BL40"/>
    <mergeCell ref="BP41:BP53"/>
    <mergeCell ref="BR41:BR53"/>
    <mergeCell ref="BG49:BG53"/>
    <mergeCell ref="BA49:BA53"/>
    <mergeCell ref="AZ28:AZ31"/>
    <mergeCell ref="CG41:CG44"/>
    <mergeCell ref="AZ15:AZ18"/>
    <mergeCell ref="BJ6:BJ9"/>
    <mergeCell ref="BM2:BM5"/>
    <mergeCell ref="BH41:BH44"/>
    <mergeCell ref="CI41:CI44"/>
    <mergeCell ref="BL6:BL9"/>
    <mergeCell ref="BO2:BO5"/>
    <mergeCell ref="BL28:BL31"/>
    <mergeCell ref="BB15:BB18"/>
    <mergeCell ref="BL15:BL18"/>
    <mergeCell ref="BG19:BG22"/>
    <mergeCell ref="BP2:BP14"/>
    <mergeCell ref="AW10:AW14"/>
    <mergeCell ref="AW28:AW31"/>
    <mergeCell ref="BF32:BF35"/>
    <mergeCell ref="BA19:BA22"/>
    <mergeCell ref="BK28:BK31"/>
    <mergeCell ref="BR2:BR14"/>
    <mergeCell ref="BC10:BC14"/>
    <mergeCell ref="BO41:BO44"/>
    <mergeCell ref="BE10:BE14"/>
    <mergeCell ref="BT2:BT14"/>
    <mergeCell ref="AW6:AW9"/>
    <mergeCell ref="AX23:AX27"/>
    <mergeCell ref="AZ23:AZ27"/>
    <mergeCell ref="BV2:BV14"/>
    <mergeCell ref="BO10:BO14"/>
    <mergeCell ref="BX2:BX14"/>
    <mergeCell ref="CF28:CF31"/>
    <mergeCell ref="BS15:BS27"/>
    <mergeCell ref="BU15:BU27"/>
    <mergeCell ref="AY36:AY40"/>
    <mergeCell ref="AW36:AW40"/>
    <mergeCell ref="BW15:BW27"/>
    <mergeCell ref="BL23:BL27"/>
    <mergeCell ref="BP28:BP40"/>
    <mergeCell ref="BJ32:BJ35"/>
    <mergeCell ref="BA36:BA40"/>
    <mergeCell ref="BX41:BX53"/>
    <mergeCell ref="BC36:BC40"/>
    <mergeCell ref="BO49:BO53"/>
    <mergeCell ref="BG45:BG48"/>
    <mergeCell ref="AY6:AY9"/>
    <mergeCell ref="CG28:CG31"/>
    <mergeCell ref="BE36:BE40"/>
    <mergeCell ref="AZ2:AZ5"/>
    <mergeCell ref="CI28:CI31"/>
    <mergeCell ref="BV28:BV40"/>
    <mergeCell ref="BB2:BB5"/>
    <mergeCell ref="CF41:CF44"/>
    <mergeCell ref="AY15:AY18"/>
    <mergeCell ref="BG32:BG35"/>
    <mergeCell ref="BL2:BL5"/>
    <mergeCell ref="AZ49:AZ53"/>
    <mergeCell ref="BO36:BO40"/>
    <mergeCell ref="BL49:BL53"/>
    <mergeCell ref="BU41:BU53"/>
    <mergeCell ref="BC28:BC31"/>
    <mergeCell ref="BF2:BF5"/>
    <mergeCell ref="BE28:BE31"/>
    <mergeCell ref="CJ41:CJ44"/>
    <mergeCell ref="BC15:BC18"/>
    <mergeCell ref="CL41:CL44"/>
    <mergeCell ref="BD41:BD44"/>
    <mergeCell ref="BO6:BO9"/>
    <mergeCell ref="BE15:BE18"/>
    <mergeCell ref="BO15:BO18"/>
    <mergeCell ref="CG32:CG35"/>
    <mergeCell ref="BB28:BB31"/>
    <mergeCell ref="BL19:BL22"/>
    <mergeCell ref="BW2:BW14"/>
    <mergeCell ref="AY10:AY14"/>
    <mergeCell ref="AV10:AV14"/>
    <mergeCell ref="AX19:AX22"/>
    <mergeCell ref="BF6:BF9"/>
    <mergeCell ref="CE32:CE35"/>
    <mergeCell ref="AX6:AX9"/>
    <mergeCell ref="BH10:BH14"/>
    <mergeCell ref="AZ6:AZ9"/>
    <mergeCell ref="AY41:AY44"/>
    <mergeCell ref="BC23:BC27"/>
    <mergeCell ref="BE23:BE27"/>
    <mergeCell ref="AW19:AW22"/>
    <mergeCell ref="BX15:BX27"/>
    <mergeCell ref="BB36:BB40"/>
    <mergeCell ref="BO23:BO27"/>
    <mergeCell ref="BD36:BD40"/>
    <mergeCell ref="BF45:BF48"/>
    <mergeCell ref="BU28:BU40"/>
    <mergeCell ref="BW28:BW40"/>
    <mergeCell ref="BR28:BR40"/>
    <mergeCell ref="BC32:BC35"/>
    <mergeCell ref="BK41:BK44"/>
    <mergeCell ref="CJ32:CJ35"/>
    <mergeCell ref="BC41:BC44"/>
    <mergeCell ref="BM41:BM44"/>
    <mergeCell ref="AX45:AX48"/>
    <mergeCell ref="AZ45:AZ48"/>
    <mergeCell ref="BK10:BK14"/>
    <mergeCell ref="BO32:BO35"/>
    <mergeCell ref="BE41:BE44"/>
    <mergeCell ref="AZ32:AZ35"/>
    <mergeCell ref="BH36:BH40"/>
    <mergeCell ref="CI32:CI35"/>
    <mergeCell ref="CL28:CL31"/>
    <mergeCell ref="BM19:BM22"/>
    <mergeCell ref="BE2:BE5"/>
    <mergeCell ref="BG2:BG5"/>
    <mergeCell ref="BC49:BC53"/>
    <mergeCell ref="BB41:BB44"/>
    <mergeCell ref="BL32:BL35"/>
    <mergeCell ref="BL45:BL48"/>
    <mergeCell ref="BE49:BE53"/>
    <mergeCell ref="CF32:CF35"/>
    <mergeCell ref="AY2:AY5"/>
    <mergeCell ref="BM6:BM9"/>
    <mergeCell ref="CC41:CC44"/>
    <mergeCell ref="AV15:AV18"/>
    <mergeCell ref="CE41:CE44"/>
    <mergeCell ref="BH28:BH31"/>
    <mergeCell ref="AX15:AX18"/>
    <mergeCell ref="BK2:BK5"/>
    <mergeCell ref="BJ28:BJ31"/>
    <mergeCell ref="BK36:BK40"/>
    <mergeCell ref="BH15:BH18"/>
    <mergeCell ref="BM36:BM40"/>
    <mergeCell ref="BJ15:BJ18"/>
    <mergeCell ref="CL32:CL35"/>
    <mergeCell ref="BG28:BG31"/>
    <mergeCell ref="BB6:BB9"/>
    <mergeCell ref="BA10:BA14"/>
    <mergeCell ref="BK6:BK9"/>
    <mergeCell ref="AV23:AV27"/>
    <mergeCell ref="BC6:BC9"/>
    <mergeCell ref="BK15:BK18"/>
  </mergeCells>
  <conditionalFormatting sqref="C2:C53">
    <cfRule type="cellIs" priority="101" operator="between" dxfId="35">
      <formula>3500</formula>
      <formula>7000</formula>
    </cfRule>
    <cfRule type="cellIs" priority="100" operator="greaterThan" dxfId="60" stopIfTrue="1">
      <formula>7000</formula>
    </cfRule>
    <cfRule type="cellIs" priority="79" operator="greaterThan" dxfId="86">
      <formula>10500</formula>
    </cfRule>
  </conditionalFormatting>
  <conditionalFormatting sqref="D1:D1048576">
    <cfRule type="cellIs" priority="74" operator="between" dxfId="15" stopIfTrue="1">
      <formula>40</formula>
      <formula>200</formula>
    </cfRule>
  </conditionalFormatting>
  <conditionalFormatting sqref="D2:D53">
    <cfRule type="cellIs" priority="108" operator="greaterThan" dxfId="16" stopIfTrue="1">
      <formula>200</formula>
    </cfRule>
  </conditionalFormatting>
  <conditionalFormatting sqref="E2:E53">
    <cfRule type="cellIs" priority="107" operator="greaterThan" dxfId="2">
      <formula>1</formula>
    </cfRule>
  </conditionalFormatting>
  <conditionalFormatting sqref="F2:F53">
    <cfRule type="cellIs" priority="76" operator="between" dxfId="30" stopIfTrue="1">
      <formula>1</formula>
      <formula>54</formula>
    </cfRule>
    <cfRule type="cellIs" priority="75" operator="greaterThan" dxfId="81" stopIfTrue="1">
      <formula>55</formula>
    </cfRule>
  </conditionalFormatting>
  <conditionalFormatting sqref="G2:G53">
    <cfRule type="cellIs" priority="78" operator="between" dxfId="15">
      <formula>9</formula>
      <formula>100</formula>
    </cfRule>
    <cfRule type="cellIs" priority="77" operator="greaterThan" dxfId="21">
      <formula>99</formula>
    </cfRule>
  </conditionalFormatting>
  <conditionalFormatting sqref="H2:H53">
    <cfRule type="cellIs" priority="71" operator="greaterThan" dxfId="37">
      <formula>49</formula>
    </cfRule>
    <cfRule type="cellIs" priority="70" operator="greaterThan" dxfId="43">
      <formula>199</formula>
    </cfRule>
  </conditionalFormatting>
  <conditionalFormatting sqref="H18:I53">
    <cfRule type="cellIs" priority="67" operator="between" dxfId="31" stopIfTrue="1">
      <formula>0</formula>
      <formula>50</formula>
    </cfRule>
  </conditionalFormatting>
  <conditionalFormatting sqref="I2:I53">
    <cfRule type="cellIs" priority="25" operator="between" dxfId="31" stopIfTrue="1">
      <formula>0</formula>
      <formula>50</formula>
    </cfRule>
    <cfRule type="cellIs" priority="69" operator="between" dxfId="28">
      <formula>50</formula>
      <formula>199</formula>
    </cfRule>
    <cfRule type="cellIs" priority="68" operator="greaterThan" dxfId="19">
      <formula>199</formula>
    </cfRule>
  </conditionalFormatting>
  <conditionalFormatting sqref="J2:J53">
    <cfRule type="cellIs" priority="58" operator="between" dxfId="72" stopIfTrue="1">
      <formula>1</formula>
      <formula>50</formula>
    </cfRule>
    <cfRule type="cellIs" priority="60" operator="greaterThan" dxfId="71">
      <formula>100</formula>
    </cfRule>
    <cfRule type="cellIs" priority="59" operator="between" dxfId="70">
      <formula>50</formula>
      <formula>100</formula>
    </cfRule>
  </conditionalFormatting>
  <conditionalFormatting sqref="K2:K53">
    <cfRule type="cellIs" priority="95" operator="greaterThan" dxfId="69">
      <formula>200</formula>
    </cfRule>
  </conditionalFormatting>
  <conditionalFormatting sqref="L2:L53">
    <cfRule type="cellIs" priority="105" operator="greaterThan" dxfId="68">
      <formula>0</formula>
    </cfRule>
  </conditionalFormatting>
  <conditionalFormatting sqref="M2:M53">
    <cfRule type="cellIs" priority="84" operator="between" dxfId="67" stopIfTrue="1">
      <formula>40</formula>
      <formula>90</formula>
    </cfRule>
    <cfRule type="cellIs" priority="24" operator="greaterThan" dxfId="66" stopIfTrue="1">
      <formula>90</formula>
    </cfRule>
  </conditionalFormatting>
  <conditionalFormatting sqref="N2:N53">
    <cfRule type="cellIs" priority="99" operator="between" dxfId="65" stopIfTrue="1">
      <formula>0</formula>
      <formula>134</formula>
    </cfRule>
    <cfRule type="cellIs" priority="73" operator="greaterThan" dxfId="64">
      <formula>134</formula>
    </cfRule>
  </conditionalFormatting>
  <conditionalFormatting sqref="P2:P53">
    <cfRule type="cellIs" priority="55" operator="between" dxfId="63">
      <formula>30</formula>
      <formula>100</formula>
    </cfRule>
    <cfRule type="cellIs" priority="54" operator="greaterThan" dxfId="46">
      <formula>100</formula>
    </cfRule>
  </conditionalFormatting>
  <conditionalFormatting sqref="S2:S53">
    <cfRule type="cellIs" priority="83" operator="greaterThan" dxfId="61">
      <formula>1500</formula>
    </cfRule>
    <cfRule type="cellIs" priority="82" operator="between" dxfId="60">
      <formula>1000</formula>
      <formula>1500</formula>
    </cfRule>
    <cfRule type="cellIs" priority="80" operator="between" dxfId="59" stopIfTrue="1">
      <formula>0</formula>
      <formula>500</formula>
    </cfRule>
    <cfRule type="cellIs" priority="81" operator="between" dxfId="35">
      <formula>500</formula>
      <formula>1000</formula>
    </cfRule>
  </conditionalFormatting>
  <conditionalFormatting sqref="U2:U53">
    <cfRule type="cellIs" priority="104" operator="between" dxfId="57">
      <formula>-100</formula>
      <formula>-1</formula>
    </cfRule>
    <cfRule type="cellIs" priority="48" operator="greaterThan" dxfId="1">
      <formula>0</formula>
    </cfRule>
  </conditionalFormatting>
  <conditionalFormatting sqref="V2:V53">
    <cfRule type="cellIs" priority="63" operator="equal" stopIfTrue="1">
      <formula>0</formula>
    </cfRule>
    <cfRule type="cellIs" priority="64" operator="notEqual" dxfId="38">
      <formula>"not sure"</formula>
    </cfRule>
  </conditionalFormatting>
  <conditionalFormatting sqref="W2:X53">
    <cfRule type="cellIs" priority="56" operator="equal" dxfId="54">
      <formula>""</formula>
    </cfRule>
    <cfRule type="cellIs" priority="57" operator="notEqual" dxfId="53">
      <formula>"Not sure"</formula>
    </cfRule>
  </conditionalFormatting>
  <conditionalFormatting sqref="Y2:Z53">
    <cfRule type="cellIs" priority="66" operator="notEqual" dxfId="52">
      <formula>"not sure"</formula>
    </cfRule>
    <cfRule type="cellIs" priority="65" operator="equal" stopIfTrue="1">
      <formula>0</formula>
    </cfRule>
  </conditionalFormatting>
  <conditionalFormatting sqref="AE2:AE53">
    <cfRule type="cellIs" priority="62" operator="between" dxfId="51">
      <formula>1</formula>
      <formula>55</formula>
    </cfRule>
    <cfRule type="cellIs" priority="61" operator="greaterThan" dxfId="50">
      <formula>55</formula>
    </cfRule>
  </conditionalFormatting>
  <conditionalFormatting sqref="AF2:AF53">
    <cfRule type="cellIs" priority="37" operator="between" dxfId="49" stopIfTrue="1">
      <formula>200</formula>
      <formula>309</formula>
    </cfRule>
    <cfRule type="cellIs" priority="38" operator="greaterThan" dxfId="21">
      <formula>310</formula>
    </cfRule>
  </conditionalFormatting>
  <conditionalFormatting sqref="AG2:AG53">
    <cfRule type="cellIs" priority="43" operator="between" dxfId="34">
      <formula>420</formula>
      <formula>515</formula>
    </cfRule>
  </conditionalFormatting>
  <conditionalFormatting sqref="AH2:AH53">
    <cfRule type="cellIs" priority="41" operator="greaterThan" dxfId="46">
      <formula>3</formula>
    </cfRule>
    <cfRule type="cellIs" priority="40" operator="between" dxfId="45">
      <formula>1</formula>
      <formula>3</formula>
    </cfRule>
  </conditionalFormatting>
  <conditionalFormatting sqref="AI2:AI53">
    <cfRule type="cellIs" priority="19" operator="greaterThan" dxfId="44" stopIfTrue="1">
      <formula>4</formula>
    </cfRule>
  </conditionalFormatting>
  <conditionalFormatting sqref="AJ2:AJ53">
    <cfRule type="cellIs" priority="20" operator="greaterThan" dxfId="43">
      <formula>5</formula>
    </cfRule>
  </conditionalFormatting>
  <conditionalFormatting sqref="AK2:AK53">
    <cfRule type="cellIs" priority="21" operator="greaterThan" dxfId="38">
      <formula>6</formula>
    </cfRule>
  </conditionalFormatting>
  <conditionalFormatting sqref="AL2:AL53">
    <cfRule type="cellIs" priority="18" operator="lessThan" dxfId="41">
      <formula>0</formula>
    </cfRule>
    <cfRule type="cellIs" priority="15" operator="greaterThan" dxfId="40">
      <formula>10</formula>
    </cfRule>
  </conditionalFormatting>
  <conditionalFormatting sqref="AM2:AM53">
    <cfRule type="cellIs" priority="35" operator="greaterThan" dxfId="39" stopIfTrue="1">
      <formula>1</formula>
    </cfRule>
  </conditionalFormatting>
  <conditionalFormatting sqref="AN2:AO53">
    <cfRule type="cellIs" priority="36" operator="greaterThan" dxfId="38">
      <formula>1</formula>
    </cfRule>
  </conditionalFormatting>
  <conditionalFormatting sqref="AP2:AQ53">
    <cfRule type="cellIs" priority="87" operator="greaterThan" dxfId="37">
      <formula>0</formula>
    </cfRule>
  </conditionalFormatting>
  <conditionalFormatting sqref="AR2:AR53">
    <cfRule type="cellIs" priority="16" operator="greaterThan" dxfId="36" stopIfTrue="1">
      <formula>0</formula>
    </cfRule>
  </conditionalFormatting>
  <conditionalFormatting sqref="AU2:AU53">
    <cfRule type="cellIs" priority="86" operator="greaterThan" dxfId="35">
      <formula>10</formula>
    </cfRule>
  </conditionalFormatting>
  <conditionalFormatting sqref="AV2 AV6 AV10 AV15 AV19 AV23 AV28 AV32 AV36 AV41 AV45 AV49">
    <cfRule type="cellIs" priority="31" operator="greaterThan" dxfId="34" stopIfTrue="1">
      <formula>0.7</formula>
    </cfRule>
    <cfRule type="cellIs" priority="30" operator="between" dxfId="33" stopIfTrue="1">
      <formula>0.5</formula>
      <formula>0.7</formula>
    </cfRule>
    <cfRule type="cellIs" priority="29" operator="between" dxfId="32">
      <formula>0.25</formula>
      <formula>0.5</formula>
    </cfRule>
    <cfRule type="cellIs" priority="28" operator="between" dxfId="31">
      <formula>0.01</formula>
      <formula>0.25</formula>
    </cfRule>
  </conditionalFormatting>
  <conditionalFormatting sqref="AW2 AW6 AW10 AW15 AW19 AW23 AW28 AW32 AW36 AW41 AW45 AW49">
    <cfRule type="cellIs" priority="109" operator="between" dxfId="30" stopIfTrue="1">
      <formula>0.1</formula>
      <formula>0.5</formula>
    </cfRule>
    <cfRule type="cellIs" priority="34" operator="greaterThan" dxfId="1">
      <formula>0.75</formula>
    </cfRule>
    <cfRule type="cellIs" priority="33" operator="between" dxfId="28">
      <formula>0.5</formula>
      <formula>0.75</formula>
    </cfRule>
  </conditionalFormatting>
  <conditionalFormatting sqref="AX2 AX6 AX10 AX15 AX19 AX23 AX28 AX32 AX36 AX41 AX45 AX49">
    <cfRule type="cellIs" priority="27" operator="greaterThan" dxfId="27">
      <formula>0.4</formula>
    </cfRule>
    <cfRule type="cellIs" priority="26" operator="between" dxfId="26">
      <formula>0.01</formula>
      <formula>0.4</formula>
    </cfRule>
  </conditionalFormatting>
  <conditionalFormatting sqref="AY2:AY53">
    <cfRule type="cellIs" priority="23" operator="greaterThan" dxfId="25">
      <formula>30</formula>
    </cfRule>
  </conditionalFormatting>
  <conditionalFormatting sqref="AZ2:AZ53">
    <cfRule type="cellIs" priority="13" operator="between" dxfId="24">
      <formula>45</formula>
      <formula>135</formula>
    </cfRule>
    <cfRule type="cellIs" priority="12" operator="greaterThan" dxfId="23">
      <formula>135</formula>
    </cfRule>
  </conditionalFormatting>
  <conditionalFormatting sqref="BB2:BB53">
    <cfRule type="cellIs" priority="5" operator="greaterThan" dxfId="22">
      <formula>100</formula>
    </cfRule>
  </conditionalFormatting>
  <conditionalFormatting sqref="BC2:BC53">
    <cfRule type="cellIs" priority="53" operator="greaterThan" dxfId="21" stopIfTrue="1">
      <formula>100</formula>
    </cfRule>
  </conditionalFormatting>
  <conditionalFormatting sqref="BC28:BC35 BC41:BC48 BC54:BC58">
    <cfRule type="cellIs" priority="52" operator="between" dxfId="15">
      <formula>9</formula>
      <formula>99</formula>
    </cfRule>
  </conditionalFormatting>
  <conditionalFormatting sqref="BE2:BE58">
    <cfRule type="cellIs" priority="42" operator="greaterThan" dxfId="19">
      <formula>199</formula>
    </cfRule>
  </conditionalFormatting>
  <conditionalFormatting sqref="BH2:BH53">
    <cfRule type="cellIs" priority="11" operator="between" dxfId="18">
      <formula>15</formula>
      <formula>100</formula>
    </cfRule>
    <cfRule type="cellIs" priority="10" operator="greaterThan" dxfId="17" stopIfTrue="1">
      <formula>100</formula>
    </cfRule>
  </conditionalFormatting>
  <conditionalFormatting sqref="BK51">
    <cfRule type="cellIs" priority="4" operator="greaterThan" dxfId="16" stopIfTrue="1">
      <formula>200</formula>
    </cfRule>
    <cfRule type="cellIs" priority="3" operator="between" dxfId="15" stopIfTrue="1">
      <formula>40</formula>
      <formula>200</formula>
    </cfRule>
  </conditionalFormatting>
  <pageMargins left="0.75" right="0.75" top="1" bottom="1" header="0.5" footer="0.5"/>
  <pageSetup orientation="portrait" horizontalDpi="0" verticalDpi="0"/>
  <drawing xmlns:r="http://schemas.openxmlformats.org/officeDocument/2006/relationships" r:id="rId1"/>
</worksheet>
</file>

<file path=xl/worksheets/sheet9.xml><?xml version="1.0" encoding="utf-8"?>
<worksheet xmlns="http://schemas.openxmlformats.org/spreadsheetml/2006/main">
  <sheetPr>
    <tabColor theme="6" tint="-0.499984740745262"/>
    <outlinePr summaryBelow="1" summaryRight="1"/>
    <pageSetUpPr/>
  </sheetPr>
  <dimension ref="A1:AH556"/>
  <sheetViews>
    <sheetView workbookViewId="0">
      <selection activeCell="A2" sqref="A2:F2"/>
    </sheetView>
  </sheetViews>
  <sheetFormatPr baseColWidth="8" defaultColWidth="10.8515625" defaultRowHeight="15"/>
  <cols>
    <col width="5.671875" customWidth="1" style="37" min="1" max="1"/>
    <col hidden="1" width="5.671875" customWidth="1" style="37" min="2" max="3"/>
    <col width="39.953125" customWidth="1" style="37" min="4" max="4"/>
    <col width="5.30078125" customWidth="1" style="37" min="5" max="5"/>
    <col width="7.1484375" customWidth="1" style="37" min="6" max="6"/>
    <col width="7.64453125" customWidth="1" style="37" min="7" max="7"/>
    <col width="2.33984375" customWidth="1" style="37" min="8" max="8"/>
    <col width="6.1640625" customWidth="1" style="37" min="9" max="9"/>
    <col width="4.19140625" customWidth="1" style="83" min="10" max="10"/>
    <col width="5.546875" customWidth="1" style="37" min="11" max="17"/>
    <col width="1.97265625" customWidth="1" style="83" min="18" max="18"/>
    <col width="49.19921875" customWidth="1" style="45" min="19" max="19"/>
    <col width="10.8515625" customWidth="1" style="45" min="20" max="34"/>
  </cols>
  <sheetData>
    <row r="1" ht="51" customHeight="1" s="37">
      <c r="A1" s="541" t="inlineStr">
        <is>
          <t xml:space="preserve">tl;dr: This is my offsite! Ben did all the planning, but I'm doing in person 1:1's with everybody which should be pretty good. Try to get the best out of Seattle, while keeping the pace that I was able to establish from the beginning of the year. </t>
        </is>
      </c>
      <c r="H1" s="120" t="n"/>
      <c r="I1" s="26">
        <f>I43-SUM(K1:Q1)</f>
        <v/>
      </c>
      <c r="J1" s="45" t="n"/>
      <c r="N1" s="450" t="n">
        <v>0</v>
      </c>
      <c r="O1" s="450" t="n">
        <v>0</v>
      </c>
      <c r="P1" s="450" t="n">
        <v>0</v>
      </c>
      <c r="Q1" s="450" t="n">
        <v>0</v>
      </c>
    </row>
    <row r="2" ht="41.1" customHeight="1" s="37">
      <c r="A2" s="543" t="inlineStr">
        <is>
          <t>Dec.03, 5^1 目标</t>
        </is>
      </c>
      <c r="G2" s="201" t="n"/>
      <c r="H2" s="201" t="n"/>
      <c r="I2" s="84" t="n"/>
      <c r="K2" s="83" t="n"/>
      <c r="L2" s="83" t="n"/>
      <c r="M2" s="83" t="n"/>
      <c r="N2" s="83" t="n"/>
      <c r="O2" s="83" t="n"/>
      <c r="P2" s="83" t="inlineStr">
        <is>
          <t>s</t>
        </is>
      </c>
      <c r="Q2" s="83" t="n"/>
    </row>
    <row r="3" ht="30" customHeight="1" s="37">
      <c r="A3" s="545" t="inlineStr">
        <is>
          <t>pri</t>
        </is>
      </c>
      <c r="B3" s="545" t="n"/>
      <c r="C3" s="545" t="n"/>
      <c r="D3" s="545" t="inlineStr">
        <is>
          <t>Goal</t>
        </is>
      </c>
      <c r="E3" s="545" t="inlineStr">
        <is>
          <t xml:space="preserve">分 </t>
        </is>
      </c>
      <c r="F3" s="545" t="inlineStr">
        <is>
          <t>Focus Bonus</t>
        </is>
      </c>
      <c r="G3" s="545" t="inlineStr">
        <is>
          <t>% Done</t>
        </is>
      </c>
      <c r="I3" s="545" t="inlineStr">
        <is>
          <t>Score</t>
        </is>
      </c>
    </row>
    <row r="4">
      <c r="A4" s="11" t="inlineStr">
        <is>
          <t>i8</t>
        </is>
      </c>
      <c r="B4" s="11" t="n"/>
      <c r="C4" s="11" t="n"/>
      <c r="D4" s="120" t="inlineStr">
        <is>
          <t>M</t>
        </is>
      </c>
      <c r="E4" s="120" t="n"/>
      <c r="F4" s="120" t="n"/>
      <c r="G4" s="120" t="n"/>
      <c r="H4" s="120" t="n"/>
      <c r="I4" s="120" t="n"/>
      <c r="J4" s="45" t="n"/>
      <c r="K4" s="120" t="inlineStr">
        <is>
          <t>T</t>
        </is>
      </c>
      <c r="L4" s="120" t="inlineStr">
        <is>
          <t>W</t>
        </is>
      </c>
      <c r="M4" s="120" t="inlineStr">
        <is>
          <t>Th</t>
        </is>
      </c>
      <c r="N4" s="120" t="inlineStr">
        <is>
          <t>F</t>
        </is>
      </c>
      <c r="O4" s="120" t="inlineStr">
        <is>
          <t>Sa</t>
        </is>
      </c>
      <c r="P4" s="120" t="inlineStr">
        <is>
          <t>Su</t>
        </is>
      </c>
      <c r="Q4" s="120" t="inlineStr">
        <is>
          <t>M</t>
        </is>
      </c>
    </row>
    <row r="5">
      <c r="D5" s="450" t="inlineStr">
        <is>
          <t xml:space="preserve">Make my weekly RoB Document </t>
        </is>
      </c>
      <c r="E5" s="450" t="n">
        <v>200</v>
      </c>
      <c r="F5" s="450" t="n">
        <v>200</v>
      </c>
      <c r="G5" s="211">
        <f>SUM(K5:Q5)/7</f>
        <v/>
      </c>
      <c r="H5" s="205" t="n"/>
      <c r="I5" s="207">
        <f>G5*F5</f>
        <v/>
      </c>
      <c r="J5" s="45" t="n"/>
      <c r="K5" s="450" t="n">
        <v>1</v>
      </c>
      <c r="L5" s="450" t="n">
        <v>1</v>
      </c>
      <c r="M5" s="450" t="n">
        <v>1</v>
      </c>
      <c r="N5" s="450" t="n">
        <v>1</v>
      </c>
      <c r="O5" s="450" t="n">
        <v>1</v>
      </c>
      <c r="P5" s="450" t="n">
        <v>0</v>
      </c>
      <c r="Q5" s="450" t="n">
        <v>0</v>
      </c>
    </row>
    <row r="6" ht="59.25" customHeight="1" s="37">
      <c r="D6" s="450" t="inlineStr">
        <is>
          <t>Publish Weekly Update</t>
        </is>
      </c>
      <c r="F6" s="450" t="n">
        <v>80</v>
      </c>
      <c r="G6" s="211" t="n">
        <v>0</v>
      </c>
      <c r="H6" s="205" t="n"/>
      <c r="I6" s="207" t="n"/>
      <c r="J6" s="45" t="n"/>
      <c r="L6" s="450" t="n">
        <v>1</v>
      </c>
      <c r="S6" s="450" t="inlineStr">
        <is>
          <t>• All habits (and think about what other org habits I should have) 
• Get RoB that I believe out 
• Have a plan for hiring each</t>
        </is>
      </c>
    </row>
    <row r="7">
      <c r="D7" s="450" t="inlineStr">
        <is>
          <t>Reasonable SLT, less involved</t>
        </is>
      </c>
      <c r="E7" s="450" t="n">
        <v>200</v>
      </c>
      <c r="F7" s="450" t="n">
        <v>150</v>
      </c>
      <c r="G7" s="211" t="n">
        <v>1</v>
      </c>
      <c r="H7" s="205" t="n"/>
      <c r="I7" s="207" t="n"/>
      <c r="J7" s="45" t="n"/>
    </row>
    <row r="8" ht="15.95" customHeight="1" s="37">
      <c r="D8" s="450" t="inlineStr">
        <is>
          <t xml:space="preserve">Start getting </t>
        </is>
      </c>
      <c r="G8" s="211" t="n"/>
      <c r="H8" s="205" t="n"/>
      <c r="I8" s="207" t="n"/>
      <c r="J8" s="45" t="n"/>
    </row>
    <row r="9" customFormat="1" s="83">
      <c r="A9" s="450" t="n"/>
      <c r="B9" s="450" t="n"/>
      <c r="C9" s="450" t="n"/>
      <c r="D9" s="450" t="n"/>
      <c r="E9" s="450" t="n"/>
      <c r="F9" s="450" t="n"/>
      <c r="G9" s="211" t="n"/>
      <c r="H9" s="205" t="n"/>
      <c r="I9" s="450" t="n"/>
      <c r="J9" s="45" t="n"/>
      <c r="K9" s="450" t="n"/>
      <c r="L9" s="450" t="n"/>
      <c r="M9" s="450" t="n"/>
      <c r="N9" s="450" t="n"/>
      <c r="O9" s="450" t="n"/>
      <c r="P9" s="450" t="n"/>
      <c r="Q9" s="450" t="n"/>
      <c r="S9" s="45" t="n"/>
      <c r="T9" s="45" t="n"/>
      <c r="U9" s="45" t="n"/>
      <c r="V9" s="45" t="n"/>
      <c r="W9" s="45" t="n"/>
      <c r="X9" s="45" t="n"/>
      <c r="Y9" s="45" t="n"/>
      <c r="Z9" s="45" t="n"/>
      <c r="AA9" s="45" t="n"/>
      <c r="AB9" s="45" t="n"/>
      <c r="AC9" s="45" t="n"/>
      <c r="AD9" s="45" t="n"/>
      <c r="AE9" s="45" t="n"/>
      <c r="AF9" s="45" t="n"/>
      <c r="AG9" s="45" t="n"/>
      <c r="AH9" s="45" t="n"/>
    </row>
    <row r="10" ht="17.1" customFormat="1" customHeight="1" s="83">
      <c r="A10" s="212" t="inlineStr">
        <is>
          <t>m5c7</t>
        </is>
      </c>
      <c r="B10" s="212" t="n"/>
      <c r="C10" s="212" t="n"/>
      <c r="D10" s="120" t="inlineStr">
        <is>
          <t>M</t>
        </is>
      </c>
      <c r="E10" s="120" t="n"/>
      <c r="F10" s="120" t="n"/>
      <c r="G10" s="120" t="n"/>
      <c r="H10" s="120" t="n"/>
      <c r="I10" s="120" t="n"/>
      <c r="J10" s="120" t="n"/>
      <c r="K10" s="120" t="inlineStr">
        <is>
          <t>T</t>
        </is>
      </c>
      <c r="L10" s="120" t="inlineStr">
        <is>
          <t>W</t>
        </is>
      </c>
      <c r="M10" s="120" t="inlineStr">
        <is>
          <t>Th</t>
        </is>
      </c>
      <c r="N10" s="120" t="inlineStr">
        <is>
          <t>F</t>
        </is>
      </c>
      <c r="O10" s="120" t="inlineStr">
        <is>
          <t>Sa</t>
        </is>
      </c>
      <c r="P10" s="120" t="inlineStr">
        <is>
          <t>Su</t>
        </is>
      </c>
      <c r="Q10" s="120" t="inlineStr">
        <is>
          <t>M</t>
        </is>
      </c>
      <c r="S10" s="45" t="n"/>
      <c r="T10" s="45" t="n"/>
      <c r="U10" s="45" t="n"/>
      <c r="V10" s="45" t="n"/>
      <c r="W10" s="45" t="n"/>
      <c r="X10" s="45" t="n"/>
      <c r="Y10" s="45" t="n"/>
      <c r="Z10" s="45" t="n"/>
      <c r="AA10" s="45" t="n"/>
      <c r="AB10" s="45" t="n"/>
      <c r="AC10" s="45" t="n"/>
      <c r="AD10" s="45" t="n"/>
      <c r="AE10" s="45" t="n"/>
      <c r="AF10" s="45" t="n"/>
      <c r="AG10" s="45" t="n"/>
      <c r="AH10" s="45" t="n"/>
    </row>
    <row r="11" ht="17.1" customFormat="1" customHeight="1" s="83">
      <c r="A11" s="450" t="n"/>
      <c r="B11" s="450" t="n"/>
      <c r="C11" s="450" t="n"/>
      <c r="D11" s="383" t="inlineStr">
        <is>
          <t xml:space="preserve">Roadmaps completed and go well. </t>
        </is>
      </c>
      <c r="E11" s="2" t="n"/>
      <c r="F11" s="2" t="n">
        <v>200</v>
      </c>
      <c r="G11" s="211" t="n">
        <v>0</v>
      </c>
      <c r="H11" s="205" t="n"/>
      <c r="I11" s="207" t="n"/>
      <c r="J11" s="45" t="n"/>
      <c r="K11" s="450" t="n">
        <v>0</v>
      </c>
      <c r="L11" s="450" t="n">
        <v>0</v>
      </c>
      <c r="M11" s="450" t="n">
        <v>0</v>
      </c>
      <c r="N11" s="450" t="n">
        <v>0</v>
      </c>
      <c r="O11" s="450" t="n">
        <v>0</v>
      </c>
      <c r="P11" s="450" t="n">
        <v>0</v>
      </c>
      <c r="Q11" s="450" t="n">
        <v>0</v>
      </c>
      <c r="S11" s="45" t="n"/>
      <c r="T11" s="45" t="n"/>
      <c r="U11" s="45" t="n"/>
      <c r="V11" s="45" t="n"/>
      <c r="W11" s="45" t="n"/>
      <c r="X11" s="45" t="n"/>
      <c r="Y11" s="45" t="n"/>
      <c r="Z11" s="45" t="n"/>
      <c r="AA11" s="45" t="n"/>
      <c r="AB11" s="45" t="n"/>
      <c r="AC11" s="45" t="n"/>
      <c r="AD11" s="45" t="n"/>
      <c r="AE11" s="45" t="n"/>
      <c r="AF11" s="45" t="n"/>
      <c r="AG11" s="45" t="n"/>
      <c r="AH11" s="45" t="n"/>
    </row>
    <row r="12" ht="18" customFormat="1" customHeight="1" s="83">
      <c r="A12" s="450" t="n"/>
      <c r="B12" s="450" t="n"/>
      <c r="C12" s="450" t="n"/>
      <c r="D12" s="45" t="inlineStr">
        <is>
          <t xml:space="preserve">• Job Description for Jessenia. </t>
        </is>
      </c>
      <c r="E12" s="2" t="n"/>
      <c r="F12" s="2" t="n">
        <v>60</v>
      </c>
      <c r="G12" s="211" t="n">
        <v>0</v>
      </c>
      <c r="H12" s="205" t="n"/>
      <c r="I12" s="207" t="n"/>
      <c r="J12" s="45" t="n"/>
      <c r="K12" s="450" t="n">
        <v>0</v>
      </c>
      <c r="L12" s="450" t="n">
        <v>0</v>
      </c>
      <c r="M12" s="450" t="n">
        <v>0</v>
      </c>
      <c r="N12" s="450" t="n">
        <v>0</v>
      </c>
      <c r="O12" s="450" t="n">
        <v>0</v>
      </c>
      <c r="P12" s="450" t="n">
        <v>0</v>
      </c>
      <c r="Q12" s="450" t="n">
        <v>0</v>
      </c>
      <c r="S12" s="450" t="n"/>
      <c r="T12" s="45" t="n"/>
      <c r="U12" s="45" t="n"/>
      <c r="V12" s="45" t="n"/>
      <c r="W12" s="45" t="n"/>
      <c r="X12" s="45" t="n"/>
      <c r="Y12" s="45" t="n"/>
      <c r="Z12" s="45" t="n"/>
      <c r="AA12" s="45" t="n"/>
      <c r="AB12" s="45" t="n"/>
      <c r="AC12" s="45" t="n"/>
      <c r="AD12" s="45" t="n"/>
      <c r="AE12" s="45" t="n"/>
      <c r="AF12" s="45" t="n"/>
      <c r="AG12" s="45" t="n"/>
      <c r="AH12" s="45" t="n"/>
    </row>
    <row r="13" ht="18" customFormat="1" customHeight="1" s="83">
      <c r="A13" s="450" t="n"/>
      <c r="B13" s="450" t="n"/>
      <c r="C13" s="450" t="n"/>
      <c r="D13" s="45" t="inlineStr">
        <is>
          <t xml:space="preserve">• Set up mentorship for Ian and LX </t>
        </is>
      </c>
      <c r="E13" s="2" t="n"/>
      <c r="F13" s="2" t="n">
        <v>100</v>
      </c>
      <c r="G13" s="211" t="n">
        <v>0</v>
      </c>
      <c r="H13" s="205" t="n"/>
      <c r="I13" s="207" t="n"/>
      <c r="J13" s="45" t="n"/>
      <c r="K13" s="450" t="n">
        <v>0</v>
      </c>
      <c r="L13" s="450" t="n">
        <v>0</v>
      </c>
      <c r="M13" s="450" t="n">
        <v>0</v>
      </c>
      <c r="N13" s="450" t="n">
        <v>0</v>
      </c>
      <c r="O13" s="450" t="n">
        <v>0</v>
      </c>
      <c r="P13" s="450" t="n">
        <v>0</v>
      </c>
      <c r="Q13" s="450" t="n">
        <v>0</v>
      </c>
      <c r="S13" s="45" t="n"/>
      <c r="T13" s="45" t="n"/>
      <c r="U13" s="45" t="n"/>
      <c r="V13" s="45" t="n"/>
      <c r="W13" s="45" t="n"/>
      <c r="X13" s="45" t="n"/>
      <c r="Y13" s="45" t="n"/>
      <c r="Z13" s="45" t="n"/>
      <c r="AA13" s="45" t="n"/>
      <c r="AB13" s="45" t="n"/>
      <c r="AC13" s="45" t="n"/>
      <c r="AD13" s="45" t="n"/>
      <c r="AE13" s="45" t="n"/>
      <c r="AF13" s="45" t="n"/>
      <c r="AG13" s="45" t="n"/>
      <c r="AH13" s="45" t="n"/>
    </row>
    <row r="14" ht="18" customFormat="1" customHeight="1" s="83">
      <c r="A14" s="450" t="n"/>
      <c r="B14" s="450" t="n"/>
      <c r="C14" s="450" t="n"/>
      <c r="D14" s="45" t="inlineStr">
        <is>
          <t xml:space="preserve">•  Solid Calibrations and I get things out for Ian. </t>
        </is>
      </c>
      <c r="E14" s="2" t="n"/>
      <c r="F14" s="2" t="n">
        <v>200</v>
      </c>
      <c r="G14" s="211" t="n">
        <v>0</v>
      </c>
      <c r="H14" s="205" t="n"/>
      <c r="I14" s="207" t="n"/>
      <c r="J14" s="45" t="n"/>
      <c r="K14" s="450" t="n">
        <v>0</v>
      </c>
      <c r="L14" s="450" t="n">
        <v>0</v>
      </c>
      <c r="M14" s="450" t="n">
        <v>0</v>
      </c>
      <c r="N14" s="450" t="n">
        <v>0</v>
      </c>
      <c r="O14" s="450" t="n">
        <v>0</v>
      </c>
      <c r="P14" s="450" t="n">
        <v>0</v>
      </c>
      <c r="Q14" s="450" t="n">
        <v>0</v>
      </c>
      <c r="S14" s="45" t="n"/>
      <c r="T14" s="45" t="n"/>
      <c r="U14" s="45" t="n"/>
      <c r="V14" s="45" t="n"/>
      <c r="W14" s="45" t="n"/>
      <c r="X14" s="45" t="n"/>
      <c r="Y14" s="45" t="n"/>
      <c r="Z14" s="45" t="n"/>
      <c r="AA14" s="45" t="n"/>
      <c r="AB14" s="45" t="n"/>
      <c r="AC14" s="45" t="n"/>
      <c r="AD14" s="45" t="n"/>
      <c r="AE14" s="45" t="n"/>
      <c r="AF14" s="45" t="n"/>
      <c r="AG14" s="45" t="n"/>
      <c r="AH14" s="45" t="n"/>
    </row>
    <row r="15" ht="18" customFormat="1" customHeight="1" s="83">
      <c r="A15" s="450" t="n"/>
      <c r="B15" s="450" t="n"/>
      <c r="C15" s="450" t="n"/>
      <c r="D15" s="472" t="n"/>
      <c r="E15" s="2" t="n"/>
      <c r="F15" s="2" t="n"/>
      <c r="G15" s="211" t="n"/>
      <c r="H15" s="205" t="n"/>
      <c r="I15" s="207" t="n"/>
      <c r="J15" s="45" t="n"/>
      <c r="K15" s="450" t="n"/>
      <c r="L15" s="450" t="n"/>
      <c r="M15" s="450" t="n"/>
      <c r="N15" s="450" t="n"/>
      <c r="O15" s="450" t="n"/>
      <c r="P15" s="450" t="n"/>
      <c r="Q15" s="450" t="n"/>
      <c r="S15" s="45" t="n"/>
      <c r="T15" s="45" t="n"/>
      <c r="U15" s="45" t="n"/>
      <c r="V15" s="45" t="n"/>
      <c r="W15" s="45" t="n"/>
      <c r="X15" s="45" t="n"/>
      <c r="Y15" s="45" t="n"/>
      <c r="Z15" s="45" t="n"/>
      <c r="AA15" s="45" t="n"/>
      <c r="AB15" s="45" t="n"/>
      <c r="AC15" s="45" t="n"/>
      <c r="AD15" s="45" t="n"/>
      <c r="AE15" s="45" t="n"/>
      <c r="AF15" s="45" t="n"/>
      <c r="AG15" s="45" t="n"/>
      <c r="AH15" s="45" t="n"/>
    </row>
    <row r="16" ht="18" customFormat="1" customHeight="1" s="83">
      <c r="A16" s="450" t="n"/>
      <c r="B16" s="450" t="n"/>
      <c r="C16" s="450" t="n"/>
      <c r="D16" s="472" t="n"/>
      <c r="E16" s="2" t="n"/>
      <c r="F16" s="2" t="n"/>
      <c r="G16" s="211" t="n"/>
      <c r="H16" s="205" t="n"/>
      <c r="I16" s="207" t="n"/>
      <c r="J16" s="45" t="n"/>
      <c r="K16" s="450" t="n"/>
      <c r="L16" s="450" t="n"/>
      <c r="M16" s="450" t="n"/>
      <c r="N16" s="450" t="n"/>
      <c r="O16" s="450" t="n"/>
      <c r="P16" s="450" t="n"/>
      <c r="Q16" s="450" t="n"/>
      <c r="S16" s="45" t="n"/>
      <c r="T16" s="45" t="n"/>
      <c r="U16" s="45" t="n"/>
      <c r="V16" s="45" t="n"/>
      <c r="W16" s="45" t="n"/>
      <c r="X16" s="45" t="n"/>
      <c r="Y16" s="45" t="n"/>
      <c r="Z16" s="45" t="n"/>
      <c r="AA16" s="45" t="n"/>
      <c r="AB16" s="45" t="n"/>
      <c r="AC16" s="45" t="n"/>
      <c r="AD16" s="45" t="n"/>
      <c r="AE16" s="45" t="n"/>
      <c r="AF16" s="45" t="n"/>
      <c r="AG16" s="45" t="n"/>
      <c r="AH16" s="45" t="n"/>
    </row>
    <row r="17" ht="17.1" customFormat="1" customHeight="1" s="83">
      <c r="A17" s="450" t="n"/>
      <c r="B17" s="450" t="n"/>
      <c r="C17" s="450" t="n"/>
      <c r="D17" s="450" t="n"/>
      <c r="E17" s="2" t="n"/>
      <c r="F17" s="2" t="n"/>
      <c r="G17" s="211" t="n"/>
      <c r="H17" s="205" t="n"/>
      <c r="I17" s="211" t="n"/>
      <c r="J17" s="45" t="n"/>
      <c r="K17" s="450" t="n"/>
      <c r="L17" s="450" t="n"/>
      <c r="M17" s="450" t="n"/>
      <c r="N17" s="450" t="n"/>
      <c r="O17" s="38" t="n"/>
      <c r="P17" s="38" t="n"/>
      <c r="Q17" s="450" t="n"/>
      <c r="S17" s="45" t="n"/>
      <c r="T17" s="45" t="n"/>
      <c r="U17" s="45" t="n"/>
      <c r="V17" s="45" t="n"/>
      <c r="W17" s="45" t="n"/>
      <c r="X17" s="45" t="n"/>
      <c r="Y17" s="45" t="n"/>
      <c r="Z17" s="45" t="n"/>
      <c r="AA17" s="45" t="n"/>
      <c r="AB17" s="45" t="n"/>
      <c r="AC17" s="45" t="n"/>
      <c r="AD17" s="45" t="n"/>
      <c r="AE17" s="45" t="n"/>
      <c r="AF17" s="45" t="n"/>
      <c r="AG17" s="45" t="n"/>
      <c r="AH17" s="45" t="n"/>
    </row>
    <row r="18" ht="17.1" customFormat="1" customHeight="1" s="83">
      <c r="A18" s="154" t="inlineStr">
        <is>
          <t>hcmp</t>
        </is>
      </c>
      <c r="B18" s="154" t="n"/>
      <c r="C18" s="154" t="n"/>
      <c r="D18" s="120" t="inlineStr">
        <is>
          <t>Th</t>
        </is>
      </c>
      <c r="E18" s="120" t="n"/>
      <c r="F18" s="120" t="n"/>
      <c r="G18" s="120" t="n"/>
      <c r="H18" s="205" t="n"/>
      <c r="I18" s="120" t="n"/>
      <c r="J18" s="45" t="n"/>
      <c r="K18" s="450" t="n"/>
      <c r="L18" s="450" t="n"/>
      <c r="M18" s="450" t="n"/>
      <c r="N18" s="450" t="n"/>
      <c r="O18" s="450" t="n"/>
      <c r="P18" s="450" t="n"/>
      <c r="Q18" s="450" t="n"/>
      <c r="S18" s="45" t="n"/>
      <c r="T18" s="45" t="n"/>
      <c r="U18" s="45" t="n"/>
      <c r="V18" s="45" t="n"/>
      <c r="W18" s="45" t="n"/>
      <c r="X18" s="45" t="n"/>
      <c r="Y18" s="45" t="n"/>
      <c r="Z18" s="45" t="n"/>
      <c r="AA18" s="45" t="n"/>
      <c r="AB18" s="45" t="n"/>
      <c r="AC18" s="45" t="n"/>
      <c r="AD18" s="45" t="n"/>
      <c r="AE18" s="45" t="n"/>
      <c r="AF18" s="45" t="n"/>
      <c r="AG18" s="45" t="n"/>
      <c r="AH18" s="45" t="n"/>
    </row>
    <row r="19" ht="17.1" customFormat="1" customHeight="1" s="83">
      <c r="A19" s="450" t="n"/>
      <c r="B19" s="450" t="n"/>
      <c r="C19" s="450" t="n"/>
      <c r="D19" s="450" t="inlineStr">
        <is>
          <t>保持"自己时间"的状态</t>
        </is>
      </c>
      <c r="E19" s="450" t="n">
        <v>0</v>
      </c>
      <c r="F19" s="450" t="n">
        <v>210</v>
      </c>
      <c r="G19" s="211" t="n">
        <v>0</v>
      </c>
      <c r="H19" s="205" t="n"/>
      <c r="I19" s="207">
        <f>G19*F19</f>
        <v/>
      </c>
      <c r="J19" s="45" t="n"/>
      <c r="K19" s="450" t="n">
        <v>0</v>
      </c>
      <c r="L19" s="450" t="n">
        <v>0</v>
      </c>
      <c r="M19" s="450" t="n">
        <v>0</v>
      </c>
      <c r="N19" s="450" t="n">
        <v>0</v>
      </c>
      <c r="O19" s="450" t="n">
        <v>1</v>
      </c>
      <c r="P19" s="450" t="n">
        <v>1</v>
      </c>
      <c r="Q19" s="450" t="n">
        <v>0</v>
      </c>
      <c r="S19" s="45" t="n"/>
      <c r="T19" s="45" t="n"/>
      <c r="U19" s="45" t="n"/>
      <c r="V19" s="45" t="n"/>
      <c r="W19" s="45" t="n"/>
      <c r="X19" s="45" t="n"/>
      <c r="Y19" s="45" t="n"/>
      <c r="Z19" s="45" t="n"/>
      <c r="AA19" s="45" t="n"/>
      <c r="AB19" s="45" t="n"/>
      <c r="AC19" s="45" t="n"/>
      <c r="AD19" s="45" t="n"/>
      <c r="AE19" s="45" t="n"/>
      <c r="AF19" s="45" t="n"/>
      <c r="AG19" s="45" t="n"/>
      <c r="AH19" s="45" t="n"/>
    </row>
    <row r="20" ht="17.1" customFormat="1" customHeight="1" s="83">
      <c r="A20" s="450" t="n"/>
      <c r="B20" s="450" t="n"/>
      <c r="C20" s="450" t="n"/>
      <c r="D20" s="450" t="n"/>
      <c r="E20" s="450" t="n"/>
      <c r="F20" s="450" t="n"/>
      <c r="G20" s="211" t="n"/>
      <c r="H20" s="205" t="n"/>
      <c r="I20" s="207" t="n"/>
      <c r="J20" s="45" t="n"/>
      <c r="K20" s="450" t="n"/>
      <c r="L20" s="450" t="n"/>
      <c r="M20" s="450" t="n"/>
      <c r="N20" s="450" t="n"/>
      <c r="O20" s="450" t="n"/>
      <c r="P20" s="450" t="n"/>
      <c r="Q20" s="450" t="n"/>
      <c r="S20" s="45" t="n"/>
      <c r="T20" s="45" t="n"/>
      <c r="U20" s="45" t="n"/>
      <c r="V20" s="45" t="n"/>
      <c r="W20" s="45" t="n"/>
      <c r="X20" s="45" t="n"/>
      <c r="Y20" s="45" t="n"/>
      <c r="Z20" s="45" t="n"/>
      <c r="AA20" s="45" t="n"/>
      <c r="AB20" s="45" t="n"/>
      <c r="AC20" s="45" t="n"/>
      <c r="AD20" s="45" t="n"/>
      <c r="AE20" s="45" t="n"/>
      <c r="AF20" s="45" t="n"/>
      <c r="AG20" s="45" t="n"/>
      <c r="AH20" s="45" t="n"/>
    </row>
    <row r="21" ht="17.1" customFormat="1" customHeight="1" s="83">
      <c r="A21" s="450" t="n"/>
      <c r="B21" s="450" t="n"/>
      <c r="C21" s="450" t="n"/>
      <c r="D21" s="450" t="n"/>
      <c r="E21" s="450" t="n"/>
      <c r="F21" s="450" t="n"/>
      <c r="G21" s="450" t="n"/>
      <c r="H21" s="205" t="n"/>
      <c r="I21" s="450" t="n"/>
      <c r="J21" s="45" t="n"/>
      <c r="K21" s="450" t="n"/>
      <c r="L21" s="450" t="n"/>
      <c r="M21" s="450" t="n"/>
      <c r="N21" s="450" t="n"/>
      <c r="O21" s="450" t="n"/>
      <c r="P21" s="450" t="n"/>
      <c r="Q21" s="450" t="n"/>
      <c r="S21" s="45" t="n"/>
      <c r="T21" s="45" t="n"/>
      <c r="U21" s="45" t="n"/>
      <c r="V21" s="45" t="n"/>
      <c r="W21" s="45" t="n"/>
      <c r="X21" s="45" t="n"/>
      <c r="Y21" s="45" t="n"/>
      <c r="Z21" s="45" t="n"/>
      <c r="AA21" s="45" t="n"/>
      <c r="AB21" s="45" t="n"/>
      <c r="AC21" s="45" t="n"/>
      <c r="AD21" s="45" t="n"/>
      <c r="AE21" s="45" t="n"/>
      <c r="AF21" s="45" t="n"/>
      <c r="AG21" s="45" t="n"/>
      <c r="AH21" s="45" t="n"/>
    </row>
    <row r="22" ht="17.1" customFormat="1" customHeight="1" s="83">
      <c r="A22" s="19" t="inlineStr">
        <is>
          <t>hcb</t>
        </is>
      </c>
      <c r="B22" s="19" t="n"/>
      <c r="C22" s="19" t="n"/>
      <c r="D22" s="120" t="inlineStr">
        <is>
          <t>Th</t>
        </is>
      </c>
      <c r="E22" s="120" t="n"/>
      <c r="F22" s="120" t="n"/>
      <c r="G22" s="120" t="n"/>
      <c r="H22" s="120" t="n"/>
      <c r="I22" s="120" t="n"/>
      <c r="J22" s="45" t="n"/>
      <c r="K22" s="120" t="inlineStr">
        <is>
          <t>F</t>
        </is>
      </c>
      <c r="L22" s="120" t="inlineStr">
        <is>
          <t>S</t>
        </is>
      </c>
      <c r="M22" s="120" t="inlineStr">
        <is>
          <t>Su</t>
        </is>
      </c>
      <c r="N22" s="120" t="inlineStr">
        <is>
          <t>M</t>
        </is>
      </c>
      <c r="O22" s="120" t="inlineStr">
        <is>
          <t>T</t>
        </is>
      </c>
      <c r="P22" s="120" t="inlineStr">
        <is>
          <t>W</t>
        </is>
      </c>
      <c r="Q22" s="120" t="inlineStr">
        <is>
          <t>Th</t>
        </is>
      </c>
      <c r="S22" s="45" t="n"/>
      <c r="T22" s="45" t="n"/>
      <c r="U22" s="45" t="n"/>
      <c r="V22" s="45" t="n"/>
      <c r="W22" s="45" t="n"/>
      <c r="X22" s="45" t="n"/>
      <c r="Y22" s="45" t="n"/>
      <c r="Z22" s="45" t="n"/>
      <c r="AA22" s="45" t="n"/>
      <c r="AB22" s="45" t="n"/>
      <c r="AC22" s="45" t="n"/>
      <c r="AD22" s="45" t="n"/>
      <c r="AE22" s="45" t="n"/>
      <c r="AF22" s="45" t="n"/>
      <c r="AG22" s="45" t="n"/>
      <c r="AH22" s="45" t="n"/>
    </row>
    <row r="23" ht="17.1" customFormat="1" customHeight="1" s="83">
      <c r="A23" s="450" t="n"/>
      <c r="B23" s="450" t="n"/>
      <c r="C23" s="450" t="n"/>
      <c r="D23" s="450" t="inlineStr">
        <is>
          <t xml:space="preserve">21 leafy greens </t>
        </is>
      </c>
      <c r="E23" s="450" t="n"/>
      <c r="F23" s="450" t="n">
        <v>105</v>
      </c>
      <c r="G23" s="211" t="n">
        <v>0</v>
      </c>
      <c r="H23" s="205" t="n"/>
      <c r="I23" s="211" t="n"/>
      <c r="J23" s="45" t="n"/>
      <c r="K23" s="450" t="n"/>
      <c r="L23" s="450" t="n"/>
      <c r="M23" s="450" t="n"/>
      <c r="N23" s="450" t="n"/>
      <c r="O23" s="450" t="n"/>
      <c r="P23" s="450" t="n"/>
      <c r="Q23" s="450" t="n"/>
      <c r="S23" s="540" t="inlineStr">
        <is>
          <t xml:space="preserve">• 21 leafy greens 
• 4 HIIT workouts </t>
        </is>
      </c>
      <c r="T23" s="45" t="n"/>
      <c r="U23" s="45" t="n"/>
      <c r="V23" s="45" t="n"/>
      <c r="W23" s="45" t="n"/>
      <c r="X23" s="45" t="n"/>
      <c r="Y23" s="45" t="n"/>
      <c r="Z23" s="45" t="n"/>
      <c r="AA23" s="45" t="n"/>
      <c r="AB23" s="45" t="n"/>
      <c r="AC23" s="45" t="n"/>
      <c r="AD23" s="45" t="n"/>
      <c r="AE23" s="45" t="n"/>
      <c r="AF23" s="45" t="n"/>
      <c r="AG23" s="45" t="n"/>
      <c r="AH23" s="45" t="n"/>
    </row>
    <row r="24" ht="17.1" customFormat="1" customHeight="1" s="83">
      <c r="A24" s="450" t="n"/>
      <c r="B24" s="450" t="n"/>
      <c r="C24" s="450" t="n"/>
      <c r="D24" s="450" t="inlineStr">
        <is>
          <t>4 HIIT workouts</t>
        </is>
      </c>
      <c r="E24" s="450" t="n"/>
      <c r="F24" s="450" t="n">
        <v>120</v>
      </c>
      <c r="G24" s="211" t="n">
        <v>0</v>
      </c>
      <c r="H24" s="205" t="n"/>
      <c r="I24" s="211" t="n"/>
      <c r="J24" s="45" t="n"/>
      <c r="K24" s="450" t="n"/>
      <c r="L24" s="450" t="n"/>
      <c r="M24" s="450" t="n"/>
      <c r="N24" s="450" t="n"/>
      <c r="O24" s="450" t="n"/>
      <c r="P24" s="450" t="n"/>
      <c r="Q24" s="450" t="n"/>
      <c r="T24" s="45" t="n"/>
      <c r="U24" s="45" t="n"/>
      <c r="V24" s="45" t="n"/>
      <c r="W24" s="45" t="n"/>
      <c r="X24" s="45" t="n"/>
      <c r="Y24" s="45" t="n"/>
      <c r="Z24" s="45" t="n"/>
      <c r="AA24" s="45" t="n"/>
      <c r="AB24" s="45" t="n"/>
      <c r="AC24" s="45" t="n"/>
      <c r="AD24" s="45" t="n"/>
      <c r="AE24" s="45" t="n"/>
      <c r="AF24" s="45" t="n"/>
      <c r="AG24" s="45" t="n"/>
      <c r="AH24" s="45" t="n"/>
    </row>
    <row r="25" ht="17.1" customFormat="1" customHeight="1" s="83">
      <c r="A25" s="450" t="n"/>
      <c r="B25" s="450" t="n"/>
      <c r="C25" s="450" t="n"/>
      <c r="D25" s="450" t="n"/>
      <c r="E25" s="450" t="n"/>
      <c r="F25" s="450" t="n"/>
      <c r="G25" s="211" t="n"/>
      <c r="H25" s="205" t="n"/>
      <c r="I25" s="211" t="n"/>
      <c r="J25" s="45" t="n"/>
      <c r="K25" s="450" t="n"/>
      <c r="L25" s="450" t="n"/>
      <c r="M25" s="450" t="n"/>
      <c r="N25" s="450" t="n"/>
      <c r="O25" s="450" t="n"/>
      <c r="P25" s="450" t="n"/>
      <c r="Q25" s="450" t="n"/>
      <c r="T25" s="45" t="n"/>
      <c r="U25" s="45" t="n"/>
      <c r="V25" s="45" t="n"/>
      <c r="W25" s="45" t="n"/>
      <c r="X25" s="45" t="n"/>
      <c r="Y25" s="45" t="n"/>
      <c r="Z25" s="45" t="n"/>
      <c r="AA25" s="45" t="n"/>
      <c r="AB25" s="45" t="n"/>
      <c r="AC25" s="45" t="n"/>
      <c r="AD25" s="45" t="n"/>
      <c r="AE25" s="45" t="n"/>
      <c r="AF25" s="45" t="n"/>
      <c r="AG25" s="45" t="n"/>
      <c r="AH25" s="45" t="n"/>
    </row>
    <row r="26" customFormat="1" s="83">
      <c r="A26" s="340" t="inlineStr">
        <is>
          <t>g245</t>
        </is>
      </c>
      <c r="B26" s="340" t="n"/>
      <c r="C26" s="340" t="n"/>
      <c r="D26" s="120" t="inlineStr">
        <is>
          <t>Su</t>
        </is>
      </c>
      <c r="E26" s="120" t="n"/>
      <c r="F26" s="120" t="n"/>
      <c r="G26" s="120" t="n"/>
      <c r="H26" s="205" t="n"/>
      <c r="I26" s="120" t="n"/>
      <c r="J26" s="45" t="n"/>
      <c r="K26" s="450" t="n"/>
      <c r="L26" s="450" t="n"/>
      <c r="M26" s="450" t="n"/>
      <c r="N26" s="450" t="n"/>
      <c r="O26" s="450" t="n"/>
      <c r="P26" s="450" t="n"/>
      <c r="Q26" s="450" t="n"/>
      <c r="T26" s="45" t="n"/>
      <c r="U26" s="45" t="n"/>
      <c r="V26" s="45" t="n"/>
      <c r="W26" s="45" t="n"/>
      <c r="X26" s="45" t="n"/>
      <c r="Y26" s="45" t="n"/>
      <c r="Z26" s="45" t="n"/>
      <c r="AA26" s="45" t="n"/>
      <c r="AB26" s="45" t="n"/>
      <c r="AC26" s="45" t="n"/>
      <c r="AD26" s="45" t="n"/>
      <c r="AE26" s="45" t="n"/>
      <c r="AF26" s="45" t="n"/>
      <c r="AG26" s="45" t="n"/>
      <c r="AH26" s="45" t="n"/>
    </row>
    <row r="27" ht="18" customFormat="1" customHeight="1" s="83">
      <c r="A27" s="450" t="n"/>
      <c r="B27" s="450" t="n"/>
      <c r="C27" s="450" t="n"/>
      <c r="D27" s="450" t="inlineStr">
        <is>
          <t xml:space="preserve">7 days all colors </t>
        </is>
      </c>
      <c r="E27" s="450" t="n">
        <v>400</v>
      </c>
      <c r="F27" s="450" t="n">
        <v>420</v>
      </c>
      <c r="G27" s="211">
        <f>SUM(K27:Q27)/7</f>
        <v/>
      </c>
      <c r="H27" s="205" t="n"/>
      <c r="I27" s="207">
        <f>G27*F27</f>
        <v/>
      </c>
      <c r="J27" s="45" t="n"/>
      <c r="K27" s="450" t="n">
        <v>0</v>
      </c>
      <c r="L27" s="450" t="n">
        <v>0</v>
      </c>
      <c r="M27" s="450" t="n">
        <v>0</v>
      </c>
      <c r="N27" s="450" t="n">
        <v>0</v>
      </c>
      <c r="O27" s="450" t="n">
        <v>0</v>
      </c>
      <c r="P27" s="450" t="n">
        <v>0</v>
      </c>
      <c r="Q27" s="450" t="n">
        <v>0</v>
      </c>
      <c r="T27" s="45" t="n"/>
      <c r="U27" s="45" t="n"/>
      <c r="V27" s="45" t="n"/>
      <c r="W27" s="45" t="n"/>
      <c r="X27" s="45" t="n"/>
      <c r="Y27" s="45" t="n"/>
      <c r="Z27" s="45" t="n"/>
      <c r="AA27" s="45" t="n"/>
      <c r="AB27" s="45" t="n"/>
      <c r="AC27" s="45" t="n"/>
      <c r="AD27" s="45" t="n"/>
      <c r="AE27" s="45" t="n"/>
      <c r="AF27" s="45" t="n"/>
      <c r="AG27" s="45" t="n"/>
      <c r="AH27" s="45" t="n"/>
    </row>
    <row r="28" ht="17.1" customFormat="1" customHeight="1" s="83">
      <c r="A28" s="450" t="n"/>
      <c r="B28" s="450" t="n"/>
      <c r="C28" s="450" t="n"/>
      <c r="D28" s="450" t="inlineStr">
        <is>
          <t xml:space="preserve">Move wake up time to 5:45 </t>
        </is>
      </c>
      <c r="E28" s="450" t="n">
        <v>0</v>
      </c>
      <c r="F28" s="450" t="n">
        <v>400</v>
      </c>
      <c r="G28" s="211">
        <f>SUM(K28:Q28)/7</f>
        <v/>
      </c>
      <c r="H28" s="205" t="n"/>
      <c r="I28" s="207" t="n">
        <v>0</v>
      </c>
      <c r="J28" s="45" t="n"/>
      <c r="K28" s="450" t="n">
        <v>0</v>
      </c>
      <c r="L28" s="450" t="n">
        <v>0</v>
      </c>
      <c r="M28" s="450" t="n">
        <v>0</v>
      </c>
      <c r="N28" s="450" t="n">
        <v>0</v>
      </c>
      <c r="O28" s="450" t="n">
        <v>0</v>
      </c>
      <c r="P28" s="450" t="n">
        <v>0</v>
      </c>
      <c r="Q28" s="450" t="n">
        <v>0</v>
      </c>
      <c r="T28" s="45" t="n"/>
      <c r="U28" s="45" t="n"/>
      <c r="V28" s="45" t="n"/>
      <c r="W28" s="45" t="n"/>
      <c r="X28" s="45" t="n"/>
      <c r="Y28" s="45" t="n"/>
      <c r="Z28" s="45" t="n"/>
      <c r="AA28" s="45" t="n"/>
      <c r="AB28" s="45" t="n"/>
      <c r="AC28" s="45" t="n"/>
      <c r="AD28" s="45" t="n"/>
      <c r="AE28" s="45" t="n"/>
      <c r="AF28" s="45" t="n"/>
      <c r="AG28" s="45" t="n"/>
      <c r="AH28" s="45" t="n"/>
    </row>
    <row r="29" ht="17.1" customFormat="1" customHeight="1" s="83">
      <c r="A29" s="450" t="n"/>
      <c r="B29" s="450" t="n"/>
      <c r="C29" s="450" t="n"/>
      <c r="D29" s="450" t="n"/>
      <c r="E29" s="450" t="n"/>
      <c r="F29" s="450" t="n"/>
      <c r="G29" s="211" t="n"/>
      <c r="H29" s="120" t="n"/>
      <c r="I29" s="211" t="n"/>
      <c r="J29" s="45" t="n"/>
      <c r="K29" s="450" t="n"/>
      <c r="L29" s="450" t="n"/>
      <c r="M29" s="38" t="n"/>
      <c r="N29" s="38" t="n"/>
      <c r="O29" s="38" t="n"/>
      <c r="P29" s="450" t="n"/>
      <c r="Q29" s="450" t="n"/>
      <c r="T29" s="45" t="n"/>
      <c r="U29" s="45" t="n"/>
      <c r="V29" s="45" t="n"/>
      <c r="W29" s="45" t="n"/>
      <c r="X29" s="45" t="n"/>
      <c r="Y29" s="45" t="n"/>
      <c r="Z29" s="45" t="n"/>
      <c r="AA29" s="45" t="n"/>
      <c r="AB29" s="45" t="n"/>
      <c r="AC29" s="45" t="n"/>
      <c r="AD29" s="45" t="n"/>
      <c r="AE29" s="45" t="n"/>
      <c r="AF29" s="45" t="n"/>
      <c r="AG29" s="45" t="n"/>
      <c r="AH29" s="45" t="n"/>
    </row>
    <row r="30" customFormat="1" s="83">
      <c r="A30" s="210" t="inlineStr">
        <is>
          <t>hci</t>
        </is>
      </c>
      <c r="B30" s="210" t="n"/>
      <c r="C30" s="210" t="n"/>
      <c r="D30" s="120" t="inlineStr">
        <is>
          <t>F</t>
        </is>
      </c>
      <c r="E30" s="120" t="n"/>
      <c r="F30" s="120" t="n"/>
      <c r="G30" s="120" t="n"/>
      <c r="H30" s="120" t="n"/>
      <c r="I30" s="120" t="n"/>
      <c r="J30" s="45" t="n"/>
      <c r="K30" s="450" t="n"/>
      <c r="L30" s="450" t="n"/>
      <c r="M30" s="450" t="n"/>
      <c r="N30" s="450" t="n"/>
      <c r="O30" s="450" t="n"/>
      <c r="P30" s="450" t="n"/>
      <c r="Q30" s="450" t="n"/>
      <c r="T30" s="45" t="n"/>
      <c r="U30" s="45" t="n"/>
      <c r="V30" s="45" t="n"/>
      <c r="W30" s="45" t="n"/>
      <c r="X30" s="45" t="n"/>
      <c r="Y30" s="45" t="n"/>
      <c r="Z30" s="45" t="n"/>
      <c r="AA30" s="45" t="n"/>
      <c r="AB30" s="45" t="n"/>
      <c r="AC30" s="45" t="n"/>
      <c r="AD30" s="45" t="n"/>
      <c r="AE30" s="45" t="n"/>
      <c r="AF30" s="45" t="n"/>
      <c r="AG30" s="45" t="n"/>
      <c r="AH30" s="45" t="n"/>
    </row>
    <row r="31" ht="30.95" customFormat="1" customHeight="1" s="83">
      <c r="A31" s="450" t="n"/>
      <c r="B31" s="450" t="n"/>
      <c r="C31" s="450" t="n"/>
      <c r="D31" s="472" t="inlineStr">
        <is>
          <t xml:space="preserve">Be prepared and make the audience laugh during partner+ presentation </t>
        </is>
      </c>
      <c r="E31" s="450" t="n">
        <v>200</v>
      </c>
      <c r="F31" s="450" t="n">
        <v>100</v>
      </c>
      <c r="G31" s="450" t="n"/>
      <c r="H31" s="119" t="n"/>
      <c r="I31" s="450" t="n"/>
      <c r="J31" s="45" t="n"/>
      <c r="K31" s="450" t="n"/>
      <c r="L31" s="450" t="n"/>
      <c r="M31" s="450" t="n"/>
      <c r="N31" s="450" t="n"/>
      <c r="O31" s="450" t="n"/>
      <c r="P31" s="450" t="n"/>
      <c r="Q31" s="450" t="n"/>
      <c r="S31" s="450" t="inlineStr">
        <is>
          <t xml:space="preserve">Make 1 LI post and 1 public consumption piece of writing </t>
        </is>
      </c>
      <c r="T31" s="45" t="n"/>
      <c r="U31" s="45" t="n"/>
      <c r="V31" s="45" t="n"/>
      <c r="W31" s="45" t="n"/>
      <c r="X31" s="45" t="n"/>
      <c r="Y31" s="45" t="n"/>
      <c r="Z31" s="45" t="n"/>
      <c r="AA31" s="45" t="n"/>
      <c r="AB31" s="45" t="n"/>
      <c r="AC31" s="45" t="n"/>
      <c r="AD31" s="45" t="n"/>
      <c r="AE31" s="45" t="n"/>
      <c r="AF31" s="45" t="n"/>
      <c r="AG31" s="45" t="n"/>
      <c r="AH31" s="45" t="n"/>
    </row>
    <row r="32" ht="30.95" customFormat="1" customHeight="1" s="83">
      <c r="A32" s="450" t="n"/>
      <c r="B32" s="450" t="n"/>
      <c r="C32" s="450" t="n"/>
      <c r="D32" s="472" t="inlineStr">
        <is>
          <t xml:space="preserve">Make Hiring Post calendar </t>
        </is>
      </c>
      <c r="E32" s="450" t="n">
        <v>60</v>
      </c>
      <c r="F32" s="450" t="n">
        <v>60</v>
      </c>
      <c r="G32" s="450" t="n"/>
      <c r="H32" s="119" t="n"/>
      <c r="I32" s="450" t="n"/>
      <c r="J32" s="45" t="n"/>
      <c r="K32" s="450" t="n"/>
      <c r="L32" s="450" t="n"/>
      <c r="M32" s="450" t="n"/>
      <c r="N32" s="450" t="n"/>
      <c r="O32" s="450" t="n"/>
      <c r="P32" s="450" t="n"/>
      <c r="Q32" s="450" t="n"/>
      <c r="S32" s="450" t="n"/>
      <c r="T32" s="45" t="n"/>
      <c r="U32" s="45" t="n"/>
      <c r="V32" s="45" t="n"/>
      <c r="W32" s="45" t="n"/>
      <c r="X32" s="45" t="n"/>
      <c r="Y32" s="45" t="n"/>
      <c r="Z32" s="45" t="n"/>
      <c r="AA32" s="45" t="n"/>
      <c r="AB32" s="45" t="n"/>
      <c r="AC32" s="45" t="n"/>
      <c r="AD32" s="45" t="n"/>
      <c r="AE32" s="45" t="n"/>
      <c r="AF32" s="45" t="n"/>
      <c r="AG32" s="45" t="n"/>
      <c r="AH32" s="45" t="n"/>
    </row>
    <row r="33" ht="17.1" customFormat="1" customHeight="1" s="83">
      <c r="A33" s="450" t="n"/>
      <c r="B33" s="450" t="n"/>
      <c r="C33" s="450" t="n"/>
      <c r="D33" s="450" t="n"/>
      <c r="E33" s="450" t="n"/>
      <c r="F33" s="450" t="n"/>
      <c r="G33" s="450" t="n"/>
      <c r="H33" s="119" t="n"/>
      <c r="I33" s="450" t="n"/>
      <c r="J33" s="45" t="n"/>
      <c r="K33" s="450" t="n"/>
      <c r="L33" s="450" t="n"/>
      <c r="M33" s="450" t="n"/>
      <c r="N33" s="450" t="n"/>
      <c r="O33" s="450" t="n"/>
      <c r="P33" s="450" t="n"/>
      <c r="Q33" s="450" t="n"/>
      <c r="S33" s="450" t="n"/>
      <c r="T33" s="45" t="n"/>
      <c r="U33" s="45" t="n"/>
      <c r="V33" s="45" t="n"/>
      <c r="W33" s="45" t="n"/>
      <c r="X33" s="45" t="n"/>
      <c r="Y33" s="45" t="n"/>
      <c r="Z33" s="45" t="n"/>
      <c r="AA33" s="45" t="n"/>
      <c r="AB33" s="45" t="n"/>
      <c r="AC33" s="45" t="n"/>
      <c r="AD33" s="45" t="n"/>
      <c r="AE33" s="45" t="n"/>
      <c r="AF33" s="45" t="n"/>
      <c r="AG33" s="45" t="n"/>
      <c r="AH33" s="45" t="n"/>
    </row>
    <row r="34" ht="18" customFormat="1" customHeight="1" s="83">
      <c r="A34" s="209" t="inlineStr">
        <is>
          <t xml:space="preserve"> xk87</t>
        </is>
      </c>
      <c r="B34" s="209" t="n"/>
      <c r="C34" s="209" t="n"/>
      <c r="D34" s="120" t="inlineStr">
        <is>
          <t>T</t>
        </is>
      </c>
      <c r="E34" s="120" t="n"/>
      <c r="F34" s="120" t="n"/>
      <c r="G34" s="120" t="n"/>
      <c r="H34" s="120" t="n"/>
      <c r="I34" s="120" t="n"/>
      <c r="J34" s="45" t="n"/>
      <c r="K34" s="450" t="n"/>
      <c r="L34" s="450" t="n"/>
      <c r="M34" s="450" t="n"/>
      <c r="N34" s="450" t="n"/>
      <c r="O34" s="450" t="n"/>
      <c r="P34" s="450" t="n"/>
      <c r="Q34" s="450" t="n"/>
      <c r="S34" s="45" t="n"/>
      <c r="T34" s="45" t="n"/>
      <c r="U34" s="45" t="n"/>
      <c r="V34" s="45" t="n"/>
      <c r="W34" s="45" t="n"/>
      <c r="X34" s="45" t="n"/>
      <c r="Y34" s="45" t="n"/>
      <c r="Z34" s="45" t="n"/>
      <c r="AA34" s="45" t="n"/>
      <c r="AB34" s="45" t="n"/>
      <c r="AC34" s="45" t="n"/>
      <c r="AD34" s="45" t="n"/>
      <c r="AE34" s="45" t="n"/>
      <c r="AF34" s="45" t="n"/>
      <c r="AG34" s="45" t="n"/>
      <c r="AH34" s="45" t="n"/>
    </row>
    <row r="35" ht="18" customFormat="1" customHeight="1" s="83">
      <c r="A35" s="450" t="n"/>
      <c r="B35" s="450" t="n"/>
      <c r="C35" s="450" t="n"/>
      <c r="D35" s="450" t="n"/>
      <c r="E35" s="450" t="n"/>
      <c r="F35" s="450" t="n"/>
      <c r="G35" s="208" t="n"/>
      <c r="H35" s="120" t="n"/>
      <c r="I35" s="208" t="n"/>
      <c r="J35" s="45" t="n"/>
      <c r="K35" s="450" t="n"/>
      <c r="L35" s="450" t="n"/>
      <c r="M35" s="450" t="n"/>
      <c r="N35" s="450" t="n"/>
      <c r="O35" s="450" t="n"/>
      <c r="P35" s="450" t="n"/>
      <c r="Q35" s="450" t="n"/>
      <c r="S35" s="45" t="n"/>
      <c r="T35" s="45" t="n"/>
      <c r="U35" s="45" t="n"/>
      <c r="V35" s="45" t="n"/>
      <c r="W35" s="45" t="n"/>
      <c r="X35" s="45" t="n"/>
      <c r="Y35" s="45" t="n"/>
      <c r="Z35" s="45" t="n"/>
      <c r="AA35" s="45" t="n"/>
      <c r="AB35" s="45" t="n"/>
      <c r="AC35" s="45" t="n"/>
      <c r="AD35" s="45" t="n"/>
      <c r="AE35" s="45" t="n"/>
      <c r="AF35" s="45" t="n"/>
      <c r="AG35" s="45" t="n"/>
      <c r="AH35" s="45" t="n"/>
    </row>
    <row r="36" ht="18" customFormat="1" customHeight="1" s="83">
      <c r="A36" s="11" t="inlineStr">
        <is>
          <t>hcmc</t>
        </is>
      </c>
      <c r="B36" s="11" t="n"/>
      <c r="C36" s="11" t="n"/>
      <c r="D36" s="120" t="inlineStr">
        <is>
          <t>Th</t>
        </is>
      </c>
      <c r="E36" s="120" t="n"/>
      <c r="F36" s="120" t="n"/>
      <c r="G36" s="120" t="n"/>
      <c r="H36" s="120" t="n"/>
      <c r="I36" s="120" t="n"/>
      <c r="J36" s="45" t="n"/>
      <c r="K36" s="450" t="n"/>
      <c r="L36" s="450" t="n"/>
      <c r="M36" s="450" t="n"/>
      <c r="N36" s="450" t="n"/>
      <c r="O36" s="450" t="n"/>
      <c r="P36" s="450" t="n"/>
      <c r="Q36" s="450" t="n"/>
      <c r="S36" s="45" t="n"/>
      <c r="T36" s="45" t="n"/>
      <c r="U36" s="45" t="n"/>
      <c r="V36" s="45" t="n"/>
      <c r="W36" s="45" t="n"/>
      <c r="X36" s="45" t="n"/>
      <c r="Y36" s="45" t="n"/>
      <c r="Z36" s="45" t="n"/>
      <c r="AA36" s="45" t="n"/>
      <c r="AB36" s="45" t="n"/>
      <c r="AC36" s="45" t="n"/>
      <c r="AD36" s="45" t="n"/>
      <c r="AE36" s="45" t="n"/>
      <c r="AF36" s="45" t="n"/>
      <c r="AG36" s="45" t="n"/>
      <c r="AH36" s="45" t="n"/>
    </row>
    <row r="37" ht="17.1" customFormat="1" customHeight="1" s="83">
      <c r="A37" s="450" t="n"/>
      <c r="B37" s="450" t="n"/>
      <c r="C37" s="450" t="n"/>
      <c r="D37" s="450" t="n"/>
      <c r="E37" s="450" t="n"/>
      <c r="F37" s="450" t="n"/>
      <c r="G37" s="208" t="n"/>
      <c r="H37" s="119" t="n"/>
      <c r="I37" s="450" t="n"/>
      <c r="J37" s="45" t="n"/>
      <c r="K37" s="450" t="n"/>
      <c r="L37" s="450" t="n"/>
      <c r="M37" s="450" t="n"/>
      <c r="N37" s="450" t="n"/>
      <c r="O37" s="450" t="n"/>
      <c r="P37" s="450" t="n"/>
      <c r="Q37" s="450" t="n"/>
      <c r="S37" s="45" t="n"/>
      <c r="T37" s="45" t="n"/>
      <c r="U37" s="45" t="n"/>
      <c r="V37" s="45" t="n"/>
      <c r="W37" s="45" t="n"/>
      <c r="X37" s="45" t="n"/>
      <c r="Y37" s="45" t="n"/>
      <c r="Z37" s="45" t="n"/>
      <c r="AA37" s="45" t="n"/>
      <c r="AB37" s="45" t="n"/>
      <c r="AC37" s="45" t="n"/>
      <c r="AD37" s="45" t="n"/>
      <c r="AE37" s="45" t="n"/>
      <c r="AF37" s="45" t="n"/>
      <c r="AG37" s="45" t="n"/>
      <c r="AH37" s="45" t="n"/>
    </row>
    <row r="38" ht="17.1" customFormat="1" customHeight="1" s="83">
      <c r="A38" s="206" t="inlineStr">
        <is>
          <t>s897</t>
        </is>
      </c>
      <c r="B38" s="206" t="n"/>
      <c r="C38" s="206" t="n"/>
      <c r="D38" s="120" t="inlineStr">
        <is>
          <t>W</t>
        </is>
      </c>
      <c r="E38" s="120" t="n"/>
      <c r="F38" s="120" t="n"/>
      <c r="G38" s="120" t="n"/>
      <c r="H38" s="205" t="n"/>
      <c r="I38" s="120" t="n"/>
      <c r="J38" s="45" t="n"/>
      <c r="K38" s="450" t="n"/>
      <c r="L38" s="450" t="n"/>
      <c r="M38" s="450" t="n"/>
      <c r="N38" s="450" t="n"/>
      <c r="O38" s="450" t="n"/>
      <c r="P38" s="450" t="n"/>
      <c r="Q38" s="450" t="n"/>
      <c r="S38" s="45" t="n"/>
      <c r="T38" s="45" t="n"/>
      <c r="U38" s="45" t="n"/>
      <c r="V38" s="45" t="n"/>
      <c r="W38" s="45" t="n"/>
      <c r="X38" s="45" t="n"/>
      <c r="Y38" s="45" t="n"/>
      <c r="Z38" s="45" t="n"/>
      <c r="AA38" s="45" t="n"/>
      <c r="AB38" s="45" t="n"/>
      <c r="AC38" s="45" t="n"/>
      <c r="AD38" s="45" t="n"/>
      <c r="AE38" s="45" t="n"/>
      <c r="AF38" s="45" t="n"/>
      <c r="AG38" s="45" t="n"/>
      <c r="AH38" s="45" t="n"/>
    </row>
    <row r="39" ht="17.1" customFormat="1" customHeight="1" s="83">
      <c r="A39" s="450" t="n"/>
      <c r="B39" s="450" t="n"/>
      <c r="C39" s="450" t="n"/>
      <c r="D39" s="450" t="n"/>
      <c r="E39" s="450" t="n"/>
      <c r="F39" s="450" t="n"/>
      <c r="G39" s="450" t="n"/>
      <c r="H39" s="205" t="n"/>
      <c r="I39" s="207" t="n"/>
      <c r="J39" s="45" t="n"/>
      <c r="K39" s="450" t="n"/>
      <c r="L39" s="450" t="n"/>
      <c r="M39" s="450" t="n"/>
      <c r="N39" s="450" t="n"/>
      <c r="O39" s="450" t="n"/>
      <c r="P39" s="450" t="n"/>
      <c r="Q39" s="450" t="n"/>
      <c r="S39" s="45" t="n"/>
      <c r="T39" s="45" t="n"/>
      <c r="U39" s="45" t="n"/>
      <c r="V39" s="45" t="n"/>
      <c r="W39" s="45" t="n"/>
      <c r="X39" s="45" t="n"/>
      <c r="Y39" s="45" t="n"/>
      <c r="Z39" s="45" t="n"/>
      <c r="AA39" s="45" t="n"/>
      <c r="AB39" s="45" t="n"/>
      <c r="AC39" s="45" t="n"/>
      <c r="AD39" s="45" t="n"/>
      <c r="AE39" s="45" t="n"/>
      <c r="AF39" s="45" t="n"/>
      <c r="AG39" s="45" t="n"/>
      <c r="AH39" s="45" t="n"/>
    </row>
    <row r="40" ht="17.1" customFormat="1" customHeight="1" s="83">
      <c r="A40" s="450" t="n"/>
      <c r="B40" s="450" t="n"/>
      <c r="C40" s="450" t="n"/>
      <c r="D40" s="450" t="n"/>
      <c r="E40" s="450" t="n"/>
      <c r="F40" s="450" t="n"/>
      <c r="G40" s="450" t="n"/>
      <c r="H40" s="205" t="n"/>
      <c r="I40" s="450" t="n"/>
      <c r="J40" s="45" t="n"/>
      <c r="K40" s="450" t="n"/>
      <c r="L40" s="450" t="n"/>
      <c r="M40" s="450" t="n"/>
      <c r="N40" s="450" t="n"/>
      <c r="O40" s="450" t="n"/>
      <c r="P40" s="450" t="n"/>
      <c r="Q40" s="450" t="n"/>
      <c r="S40" s="45" t="n"/>
      <c r="T40" s="45" t="n"/>
      <c r="U40" s="45" t="n"/>
      <c r="V40" s="45" t="n"/>
      <c r="W40" s="45" t="n"/>
      <c r="X40" s="45" t="n"/>
      <c r="Y40" s="45" t="n"/>
      <c r="Z40" s="45" t="n"/>
      <c r="AA40" s="45" t="n"/>
      <c r="AB40" s="45" t="n"/>
      <c r="AC40" s="45" t="n"/>
      <c r="AD40" s="45" t="n"/>
      <c r="AE40" s="45" t="n"/>
      <c r="AF40" s="45" t="n"/>
      <c r="AG40" s="45" t="n"/>
      <c r="AH40" s="45" t="n"/>
    </row>
    <row r="41" ht="17.1" customFormat="1" customHeight="1" s="83">
      <c r="A41" s="450" t="n"/>
      <c r="B41" s="450" t="n"/>
      <c r="C41" s="450" t="n"/>
      <c r="D41" s="450" t="n"/>
      <c r="E41" s="450" t="n"/>
      <c r="F41" s="450" t="n"/>
      <c r="G41" s="450" t="n"/>
      <c r="H41" s="205" t="n"/>
      <c r="I41" s="450" t="n"/>
      <c r="J41" s="45" t="n"/>
      <c r="K41" s="450" t="n"/>
      <c r="L41" s="450" t="n"/>
      <c r="M41" s="450" t="n"/>
      <c r="N41" s="450" t="n"/>
      <c r="O41" s="450" t="n"/>
      <c r="P41" s="450" t="n"/>
      <c r="Q41" s="450" t="n"/>
      <c r="S41" s="45" t="n"/>
      <c r="T41" s="45" t="n"/>
      <c r="U41" s="45" t="n"/>
      <c r="V41" s="45" t="n"/>
      <c r="W41" s="45" t="n"/>
      <c r="X41" s="45" t="n"/>
      <c r="Y41" s="45" t="n"/>
      <c r="Z41" s="45" t="n"/>
      <c r="AA41" s="45" t="n"/>
      <c r="AB41" s="45" t="n"/>
      <c r="AC41" s="45" t="n"/>
      <c r="AD41" s="45" t="n"/>
      <c r="AE41" s="45" t="n"/>
      <c r="AF41" s="45" t="n"/>
      <c r="AG41" s="45" t="n"/>
      <c r="AH41" s="45" t="n"/>
    </row>
    <row r="42" ht="17.1" customFormat="1" customHeight="1" s="83">
      <c r="A42" s="201" t="n"/>
      <c r="B42" s="201" t="n"/>
      <c r="C42" s="201" t="n"/>
      <c r="D42" s="201" t="n"/>
      <c r="E42" s="201" t="n"/>
      <c r="F42" s="201" t="n"/>
      <c r="G42" s="201" t="n"/>
      <c r="H42" s="205" t="n"/>
      <c r="I42" s="201" t="n"/>
      <c r="J42" s="201" t="n"/>
      <c r="K42" s="201" t="n"/>
      <c r="L42" s="201" t="n"/>
      <c r="M42" s="201" t="n"/>
      <c r="N42" s="201" t="n"/>
      <c r="O42" s="201" t="n"/>
      <c r="P42" s="201" t="n"/>
      <c r="Q42" s="201" t="n"/>
      <c r="S42" s="45" t="n"/>
      <c r="T42" s="45" t="n"/>
      <c r="U42" s="45" t="n"/>
      <c r="V42" s="45" t="n"/>
      <c r="W42" s="45" t="n"/>
      <c r="X42" s="45" t="n"/>
      <c r="Y42" s="45" t="n"/>
      <c r="Z42" s="45" t="n"/>
      <c r="AA42" s="45" t="n"/>
      <c r="AB42" s="45" t="n"/>
      <c r="AC42" s="45" t="n"/>
      <c r="AD42" s="45" t="n"/>
      <c r="AE42" s="45" t="n"/>
      <c r="AF42" s="45" t="n"/>
      <c r="AG42" s="45" t="n"/>
      <c r="AH42" s="45" t="n"/>
    </row>
    <row r="43" ht="17.1" customFormat="1" customHeight="1" s="83">
      <c r="A43" s="189" t="n"/>
      <c r="B43" s="189" t="n"/>
      <c r="C43" s="189" t="n"/>
      <c r="D43" s="189" t="n"/>
      <c r="E43" s="189" t="n"/>
      <c r="F43" s="204">
        <f>SUM(F3:F41)</f>
        <v/>
      </c>
      <c r="G43" s="203">
        <f>I43/F43</f>
        <v/>
      </c>
      <c r="H43" s="120" t="n"/>
      <c r="I43" s="202">
        <f>SUM(I2:I41)</f>
        <v/>
      </c>
      <c r="J43" s="45" t="n"/>
      <c r="K43" s="450" t="n"/>
      <c r="L43" s="450" t="n"/>
      <c r="M43" s="450" t="n"/>
      <c r="N43" s="450" t="n"/>
      <c r="O43" s="450" t="n"/>
      <c r="P43" s="450" t="n"/>
      <c r="Q43" s="450" t="n"/>
      <c r="S43" s="45" t="n"/>
      <c r="T43" s="45" t="n"/>
      <c r="U43" s="45" t="n"/>
      <c r="V43" s="45" t="n"/>
      <c r="W43" s="45" t="n"/>
      <c r="X43" s="45" t="n"/>
      <c r="Y43" s="45" t="n"/>
      <c r="Z43" s="45" t="n"/>
      <c r="AA43" s="45" t="n"/>
      <c r="AB43" s="45" t="n"/>
      <c r="AC43" s="45" t="n"/>
      <c r="AD43" s="45" t="n"/>
      <c r="AE43" s="45" t="n"/>
      <c r="AF43" s="45" t="n"/>
      <c r="AG43" s="45" t="n"/>
      <c r="AH43" s="45" t="n"/>
    </row>
    <row r="44" ht="17.1" customFormat="1" customHeight="1" s="83">
      <c r="A44" s="189" t="n"/>
      <c r="B44" s="189" t="n"/>
      <c r="C44" s="189" t="n"/>
      <c r="D44" s="189" t="n"/>
      <c r="E44" s="189" t="n"/>
      <c r="F44" s="201" t="n"/>
      <c r="G44" s="201" t="n"/>
      <c r="H44" s="120" t="n"/>
      <c r="I44" s="189">
        <f>SUM(I3:I38)</f>
        <v/>
      </c>
      <c r="J44" s="45" t="n"/>
      <c r="K44" s="450" t="n"/>
      <c r="L44" s="450" t="n"/>
      <c r="M44" s="450" t="n"/>
      <c r="N44" s="450" t="n"/>
      <c r="O44" s="450" t="n"/>
      <c r="P44" s="450" t="n"/>
      <c r="Q44" s="450" t="n"/>
      <c r="S44" s="45" t="n"/>
      <c r="T44" s="45" t="n"/>
      <c r="U44" s="45" t="n"/>
      <c r="V44" s="45" t="n"/>
      <c r="W44" s="45" t="n"/>
      <c r="X44" s="45" t="n"/>
      <c r="Y44" s="45" t="n"/>
      <c r="Z44" s="45" t="n"/>
      <c r="AA44" s="45" t="n"/>
      <c r="AB44" s="45" t="n"/>
      <c r="AC44" s="45" t="n"/>
      <c r="AD44" s="45" t="n"/>
      <c r="AE44" s="45" t="n"/>
      <c r="AF44" s="45" t="n"/>
      <c r="AG44" s="45" t="n"/>
      <c r="AH44" s="45" t="n"/>
    </row>
    <row r="45" ht="17.1" customFormat="1" customHeight="1" s="83">
      <c r="A45" s="450" t="n"/>
      <c r="B45" s="450" t="n"/>
      <c r="C45" s="450" t="n"/>
      <c r="D45" s="450" t="n"/>
      <c r="E45" s="450" t="n"/>
      <c r="F45" s="450" t="n"/>
      <c r="G45" s="200" t="n">
        <v>1</v>
      </c>
      <c r="H45" s="450" t="n"/>
      <c r="I45" s="450" t="n"/>
      <c r="J45" s="45" t="n"/>
      <c r="K45" s="450" t="n"/>
      <c r="L45" s="450" t="n"/>
      <c r="M45" s="450" t="n"/>
      <c r="N45" s="450" t="n"/>
      <c r="O45" s="450" t="n"/>
      <c r="P45" s="450" t="n"/>
      <c r="Q45" s="450" t="n"/>
      <c r="S45" s="45" t="n"/>
      <c r="T45" s="45" t="n"/>
      <c r="U45" s="45" t="n"/>
      <c r="V45" s="45" t="n"/>
      <c r="W45" s="45" t="n"/>
      <c r="X45" s="45" t="n"/>
      <c r="Y45" s="45" t="n"/>
      <c r="Z45" s="45" t="n"/>
      <c r="AA45" s="45" t="n"/>
      <c r="AB45" s="45" t="n"/>
      <c r="AC45" s="45" t="n"/>
      <c r="AD45" s="45" t="n"/>
      <c r="AE45" s="45" t="n"/>
      <c r="AF45" s="45" t="n"/>
      <c r="AG45" s="45" t="n"/>
      <c r="AH45" s="45" t="n"/>
    </row>
    <row r="46" ht="17.1" customFormat="1" customHeight="1" s="83">
      <c r="A46" s="450" t="n"/>
      <c r="B46" s="450" t="n"/>
      <c r="C46" s="450" t="n"/>
      <c r="D46" s="450" t="n"/>
      <c r="E46" s="450" t="n"/>
      <c r="F46" s="450" t="n"/>
      <c r="G46" s="450" t="n"/>
      <c r="H46" s="450" t="n"/>
      <c r="I46" s="450" t="n"/>
      <c r="J46" s="45" t="n"/>
      <c r="K46" s="450" t="n"/>
      <c r="L46" s="450" t="n"/>
      <c r="M46" s="450" t="n"/>
      <c r="N46" s="450" t="n"/>
      <c r="O46" s="450" t="n"/>
      <c r="P46" s="450" t="n"/>
      <c r="Q46" s="450" t="n"/>
      <c r="S46" s="45" t="n"/>
      <c r="T46" s="45" t="n"/>
      <c r="U46" s="45" t="n"/>
      <c r="V46" s="45" t="n"/>
      <c r="W46" s="45" t="n"/>
      <c r="X46" s="45" t="n"/>
      <c r="Y46" s="45" t="n"/>
      <c r="Z46" s="45" t="n"/>
      <c r="AA46" s="45" t="n"/>
      <c r="AB46" s="45" t="n"/>
      <c r="AC46" s="45" t="n"/>
      <c r="AD46" s="45" t="n"/>
      <c r="AE46" s="45" t="n"/>
      <c r="AF46" s="45" t="n"/>
      <c r="AG46" s="45" t="n"/>
      <c r="AH46" s="45" t="n"/>
    </row>
    <row r="47" customFormat="1" s="45"/>
    <row r="48" customFormat="1" s="45"/>
    <row r="49" customFormat="1" s="45"/>
    <row r="50" customFormat="1" s="45"/>
    <row r="51" customFormat="1" s="45"/>
    <row r="52" customFormat="1" s="45"/>
    <row r="53" customFormat="1" s="45"/>
    <row r="54" customFormat="1" s="45"/>
    <row r="55" customFormat="1" s="45"/>
    <row r="56" customFormat="1" s="45"/>
    <row r="57" customFormat="1" s="45"/>
    <row r="58" customFormat="1" s="45"/>
    <row r="59" customFormat="1" s="45"/>
    <row r="60" customFormat="1" s="45"/>
    <row r="61" customFormat="1" s="45"/>
    <row r="62" customFormat="1" s="45"/>
    <row r="63" customFormat="1" s="45"/>
    <row r="64" customFormat="1" s="45"/>
    <row r="65" customFormat="1" s="45"/>
    <row r="66" customFormat="1" s="45"/>
    <row r="67" customFormat="1" s="45"/>
    <row r="68" customFormat="1" s="45"/>
    <row r="69" customFormat="1" s="45"/>
    <row r="70" customFormat="1" s="45"/>
    <row r="71" customFormat="1" s="45"/>
    <row r="72" customFormat="1" s="45"/>
    <row r="73" customFormat="1" s="45"/>
    <row r="74" customFormat="1" s="45"/>
    <row r="75" customFormat="1" s="45"/>
    <row r="76" customFormat="1" s="45"/>
    <row r="77" customFormat="1" s="45"/>
    <row r="78" customFormat="1" s="45"/>
    <row r="79" customFormat="1" s="45"/>
    <row r="80" customFormat="1" s="45"/>
    <row r="81" customFormat="1" s="45"/>
    <row r="82" customFormat="1" s="45"/>
    <row r="83" customFormat="1" s="45"/>
    <row r="84" customFormat="1" s="45"/>
    <row r="85" customFormat="1" s="45"/>
    <row r="86" customFormat="1" s="45"/>
    <row r="87" customFormat="1" s="45"/>
    <row r="88" customFormat="1" s="45"/>
    <row r="89" customFormat="1" s="45"/>
    <row r="90" customFormat="1" s="45"/>
    <row r="91" customFormat="1" s="45"/>
    <row r="92" customFormat="1" s="45"/>
    <row r="93" customFormat="1" s="45"/>
    <row r="94" customFormat="1" s="45"/>
    <row r="95" customFormat="1" s="45"/>
    <row r="96" customFormat="1" s="45"/>
    <row r="97" customFormat="1" s="45"/>
    <row r="98" customFormat="1" s="45"/>
    <row r="99" customFormat="1" s="45"/>
    <row r="100" customFormat="1" s="45"/>
    <row r="101" customFormat="1" s="45"/>
    <row r="102" customFormat="1" s="45"/>
    <row r="103" customFormat="1" s="45"/>
    <row r="104" customFormat="1" s="45"/>
    <row r="105" customFormat="1" s="45"/>
    <row r="106" customFormat="1" s="45"/>
    <row r="107" customFormat="1" s="45"/>
    <row r="108" customFormat="1" s="45"/>
    <row r="109" customFormat="1" s="45"/>
    <row r="110" customFormat="1" s="45"/>
    <row r="111" customFormat="1" s="45"/>
    <row r="112" customFormat="1" s="45"/>
    <row r="113" customFormat="1" s="45"/>
    <row r="114" customFormat="1" s="45"/>
    <row r="115" customFormat="1" s="45"/>
    <row r="116" customFormat="1" s="45"/>
    <row r="117" customFormat="1" s="45"/>
    <row r="118" customFormat="1" s="45"/>
    <row r="119" customFormat="1" s="45"/>
    <row r="120" customFormat="1" s="45"/>
    <row r="121" customFormat="1" s="45"/>
    <row r="122" customFormat="1" s="45"/>
    <row r="123" customFormat="1" s="45"/>
    <row r="124" customFormat="1" s="45"/>
    <row r="125" customFormat="1" s="45"/>
    <row r="126" customFormat="1" s="45"/>
    <row r="127" customFormat="1" s="45"/>
    <row r="128" customFormat="1" s="45"/>
    <row r="129" customFormat="1" s="45"/>
    <row r="130" customFormat="1" s="45"/>
    <row r="131" customFormat="1" s="45"/>
    <row r="132" customFormat="1" s="45"/>
    <row r="133" customFormat="1" s="45"/>
    <row r="134" customFormat="1" s="45"/>
    <row r="135" customFormat="1" s="45"/>
    <row r="136" customFormat="1" s="45"/>
    <row r="137" customFormat="1" s="45"/>
    <row r="138" customFormat="1" s="45"/>
    <row r="139" customFormat="1" s="45"/>
    <row r="140" customFormat="1" s="45"/>
    <row r="141" customFormat="1" s="45"/>
    <row r="142" customFormat="1" s="45"/>
    <row r="143" customFormat="1" s="45"/>
    <row r="144" customFormat="1" s="45"/>
    <row r="145" customFormat="1" s="45"/>
    <row r="146" customFormat="1" s="45"/>
    <row r="147" customFormat="1" s="45"/>
    <row r="148" customFormat="1" s="45"/>
    <row r="149" customFormat="1" s="45"/>
    <row r="150" customFormat="1" s="45"/>
    <row r="151" customFormat="1" s="45"/>
    <row r="152" customFormat="1" s="45"/>
    <row r="153" customFormat="1" s="45"/>
    <row r="154" customFormat="1" s="45"/>
    <row r="155" customFormat="1" s="45"/>
    <row r="156" customFormat="1" s="45"/>
    <row r="157" customFormat="1" s="45"/>
    <row r="158" customFormat="1" s="45"/>
    <row r="159" customFormat="1" s="45"/>
    <row r="160" customFormat="1" s="45"/>
    <row r="161" customFormat="1" s="45"/>
    <row r="162" customFormat="1" s="45"/>
    <row r="163" customFormat="1" s="45"/>
    <row r="164" customFormat="1" s="45"/>
    <row r="165" customFormat="1" s="45"/>
    <row r="166" customFormat="1" s="45"/>
    <row r="167" customFormat="1" s="45"/>
    <row r="168" customFormat="1" s="45"/>
    <row r="169" customFormat="1" s="45"/>
    <row r="170" customFormat="1" s="45"/>
    <row r="171" customFormat="1" s="45"/>
    <row r="172" customFormat="1" s="45"/>
    <row r="173" customFormat="1" s="45"/>
    <row r="174" customFormat="1" s="45"/>
    <row r="175" customFormat="1" s="45"/>
    <row r="176" customFormat="1" s="45"/>
    <row r="177" customFormat="1" s="45"/>
    <row r="178" customFormat="1" s="45"/>
    <row r="179" customFormat="1" s="45"/>
    <row r="180" customFormat="1" s="45"/>
    <row r="181" customFormat="1" s="45"/>
    <row r="182" customFormat="1" s="45"/>
    <row r="183" customFormat="1" s="45"/>
    <row r="184" customFormat="1" s="45"/>
    <row r="185" customFormat="1" s="45"/>
    <row r="186" customFormat="1" s="45"/>
    <row r="187" customFormat="1" s="45"/>
    <row r="188" customFormat="1" s="45"/>
    <row r="189" customFormat="1" s="45"/>
    <row r="190" customFormat="1" s="45"/>
    <row r="191" customFormat="1" s="45"/>
    <row r="192" customFormat="1" s="45"/>
    <row r="193" customFormat="1" s="45"/>
    <row r="194" customFormat="1" s="45"/>
    <row r="195" customFormat="1" s="45"/>
    <row r="196" customFormat="1" s="45"/>
    <row r="197" customFormat="1" s="45"/>
    <row r="198" customFormat="1" s="45"/>
    <row r="199" customFormat="1" s="45"/>
    <row r="200" customFormat="1" s="45"/>
    <row r="201" customFormat="1" s="45"/>
    <row r="202" customFormat="1" s="45"/>
    <row r="203" customFormat="1" s="45"/>
    <row r="204" customFormat="1" s="45"/>
    <row r="205" customFormat="1" s="45"/>
    <row r="206" customFormat="1" s="45"/>
    <row r="207" customFormat="1" s="45"/>
    <row r="208" customFormat="1" s="45"/>
    <row r="209" customFormat="1" s="45"/>
    <row r="210" customFormat="1" s="45"/>
    <row r="211" customFormat="1" s="45"/>
    <row r="212" customFormat="1" s="45"/>
    <row r="213" customFormat="1" s="45"/>
    <row r="214" customFormat="1" s="45"/>
    <row r="215" customFormat="1" s="45"/>
    <row r="216" customFormat="1" s="45"/>
    <row r="217" customFormat="1" s="45"/>
    <row r="218" customFormat="1" s="45"/>
    <row r="219" customFormat="1" s="45"/>
    <row r="220" customFormat="1" s="45"/>
    <row r="221" customFormat="1" s="45"/>
    <row r="222" customFormat="1" s="45"/>
    <row r="223" customFormat="1" s="45"/>
    <row r="224" customFormat="1" s="45"/>
    <row r="225" customFormat="1" s="45"/>
    <row r="226" customFormat="1" s="45"/>
    <row r="227" customFormat="1" s="45"/>
    <row r="228" customFormat="1" s="45"/>
    <row r="229" customFormat="1" s="45"/>
    <row r="230" customFormat="1" s="45"/>
    <row r="231" customFormat="1" s="45"/>
    <row r="232" customFormat="1" s="45"/>
    <row r="233" customFormat="1" s="45"/>
    <row r="234" customFormat="1" s="45"/>
    <row r="235" customFormat="1" s="45"/>
    <row r="236" customFormat="1" s="45"/>
    <row r="237" customFormat="1" s="45"/>
    <row r="238" customFormat="1" s="45"/>
    <row r="239" customFormat="1" s="45"/>
    <row r="240" customFormat="1" s="45"/>
    <row r="241" customFormat="1" s="45"/>
    <row r="242" customFormat="1" s="45"/>
    <row r="243" customFormat="1" s="45"/>
    <row r="244" customFormat="1" s="45">
      <c r="A244" s="450" t="n"/>
      <c r="B244" s="450" t="n"/>
      <c r="C244" s="450" t="n"/>
      <c r="D244" s="450" t="n"/>
      <c r="E244" s="450" t="n"/>
      <c r="F244" s="450" t="n"/>
      <c r="G244" s="450" t="n"/>
      <c r="H244" s="450" t="n"/>
      <c r="I244" s="450" t="n"/>
      <c r="J244" s="83" t="n"/>
      <c r="K244" s="450" t="n"/>
      <c r="L244" s="450" t="n"/>
      <c r="M244" s="450" t="n"/>
      <c r="N244" s="450" t="n"/>
      <c r="O244" s="450" t="n"/>
      <c r="P244" s="450" t="n"/>
      <c r="Q244" s="450" t="n"/>
    </row>
    <row r="245" customFormat="1" s="45">
      <c r="A245" s="450" t="n"/>
      <c r="B245" s="450" t="n"/>
      <c r="C245" s="450" t="n"/>
      <c r="D245" s="450" t="n"/>
      <c r="E245" s="450" t="n"/>
      <c r="F245" s="450" t="n"/>
      <c r="G245" s="450" t="n"/>
      <c r="H245" s="450" t="n"/>
      <c r="I245" s="450" t="n"/>
      <c r="J245" s="83" t="n"/>
      <c r="K245" s="450" t="n"/>
      <c r="L245" s="450" t="n"/>
      <c r="M245" s="450" t="n"/>
      <c r="N245" s="450" t="n"/>
      <c r="O245" s="450" t="n"/>
      <c r="P245" s="450" t="n"/>
      <c r="Q245" s="450" t="n"/>
    </row>
    <row r="246" customFormat="1" s="45">
      <c r="A246" s="450" t="n"/>
      <c r="B246" s="450" t="n"/>
      <c r="C246" s="450" t="n"/>
      <c r="D246" s="450" t="n"/>
      <c r="E246" s="450" t="n"/>
      <c r="F246" s="450" t="n"/>
      <c r="G246" s="450" t="n"/>
      <c r="H246" s="450" t="n"/>
      <c r="I246" s="450" t="n"/>
      <c r="J246" s="83" t="n"/>
      <c r="K246" s="450" t="n"/>
      <c r="L246" s="450" t="n"/>
      <c r="M246" s="450" t="n"/>
      <c r="N246" s="450" t="n"/>
      <c r="O246" s="450" t="n"/>
      <c r="P246" s="450" t="n"/>
      <c r="Q246" s="450" t="n"/>
    </row>
    <row r="247" customFormat="1" s="45">
      <c r="A247" s="450" t="n"/>
      <c r="B247" s="450" t="n"/>
      <c r="C247" s="450" t="n"/>
      <c r="D247" s="450" t="n"/>
      <c r="E247" s="450" t="n"/>
      <c r="F247" s="450" t="n"/>
      <c r="G247" s="450" t="n"/>
      <c r="H247" s="450" t="n"/>
      <c r="I247" s="450" t="n"/>
      <c r="J247" s="83" t="n"/>
      <c r="K247" s="450" t="n"/>
      <c r="L247" s="450" t="n"/>
      <c r="M247" s="450" t="n"/>
      <c r="N247" s="450" t="n"/>
      <c r="O247" s="450" t="n"/>
      <c r="P247" s="450" t="n"/>
      <c r="Q247" s="450" t="n"/>
    </row>
    <row r="248" customFormat="1" s="45">
      <c r="A248" s="450" t="n"/>
      <c r="B248" s="450" t="n"/>
      <c r="C248" s="450" t="n"/>
      <c r="D248" s="450" t="n"/>
      <c r="E248" s="450" t="n"/>
      <c r="F248" s="450" t="n"/>
      <c r="G248" s="450" t="n"/>
      <c r="H248" s="450" t="n"/>
      <c r="I248" s="450" t="n"/>
      <c r="J248" s="83" t="n"/>
      <c r="K248" s="450" t="n"/>
      <c r="L248" s="450" t="n"/>
      <c r="M248" s="450" t="n"/>
      <c r="N248" s="450" t="n"/>
      <c r="O248" s="450" t="n"/>
      <c r="P248" s="450" t="n"/>
      <c r="Q248" s="450" t="n"/>
    </row>
    <row r="249" customFormat="1" s="45">
      <c r="A249" s="450" t="n"/>
      <c r="B249" s="450" t="n"/>
      <c r="C249" s="450" t="n"/>
      <c r="D249" s="450" t="n"/>
      <c r="E249" s="450" t="n"/>
      <c r="F249" s="450" t="n"/>
      <c r="G249" s="450" t="n"/>
      <c r="H249" s="450" t="n"/>
      <c r="I249" s="450" t="n"/>
      <c r="J249" s="83" t="n"/>
      <c r="K249" s="450" t="n"/>
      <c r="L249" s="450" t="n"/>
      <c r="M249" s="450" t="n"/>
      <c r="N249" s="450" t="n"/>
      <c r="O249" s="450" t="n"/>
      <c r="P249" s="450" t="n"/>
      <c r="Q249" s="450" t="n"/>
    </row>
    <row r="250" customFormat="1" s="45">
      <c r="A250" s="450" t="n"/>
      <c r="B250" s="450" t="n"/>
      <c r="C250" s="450" t="n"/>
      <c r="D250" s="450" t="n"/>
      <c r="E250" s="450" t="n"/>
      <c r="F250" s="450" t="n"/>
      <c r="G250" s="450" t="n"/>
      <c r="H250" s="450" t="n"/>
      <c r="I250" s="450" t="n"/>
      <c r="J250" s="83" t="n"/>
      <c r="K250" s="450" t="n"/>
      <c r="L250" s="450" t="n"/>
      <c r="M250" s="450" t="n"/>
      <c r="N250" s="450" t="n"/>
      <c r="O250" s="450" t="n"/>
      <c r="P250" s="450" t="n"/>
      <c r="Q250" s="450" t="n"/>
    </row>
    <row r="251" customFormat="1" s="45">
      <c r="A251" s="450" t="n"/>
      <c r="B251" s="450" t="n"/>
      <c r="C251" s="450" t="n"/>
      <c r="D251" s="450" t="n"/>
      <c r="E251" s="450" t="n"/>
      <c r="F251" s="450" t="n"/>
      <c r="G251" s="450" t="n"/>
      <c r="H251" s="450" t="n"/>
      <c r="I251" s="450" t="n"/>
      <c r="J251" s="83" t="n"/>
      <c r="K251" s="450" t="n"/>
      <c r="L251" s="450" t="n"/>
      <c r="M251" s="450" t="n"/>
      <c r="N251" s="450" t="n"/>
      <c r="O251" s="450" t="n"/>
      <c r="P251" s="450" t="n"/>
      <c r="Q251" s="450" t="n"/>
    </row>
    <row r="252" customFormat="1" s="45">
      <c r="A252" s="450" t="n"/>
      <c r="B252" s="450" t="n"/>
      <c r="C252" s="450" t="n"/>
      <c r="D252" s="450" t="n"/>
      <c r="E252" s="450" t="n"/>
      <c r="F252" s="450" t="n"/>
      <c r="G252" s="450" t="n"/>
      <c r="H252" s="450" t="n"/>
      <c r="I252" s="450" t="n"/>
      <c r="J252" s="83" t="n"/>
      <c r="K252" s="450" t="n"/>
      <c r="L252" s="450" t="n"/>
      <c r="M252" s="450" t="n"/>
      <c r="N252" s="450" t="n"/>
      <c r="O252" s="450" t="n"/>
      <c r="P252" s="450" t="n"/>
      <c r="Q252" s="450" t="n"/>
    </row>
    <row r="253" customFormat="1" s="45">
      <c r="A253" s="450" t="n"/>
      <c r="B253" s="450" t="n"/>
      <c r="C253" s="450" t="n"/>
      <c r="D253" s="450" t="n"/>
      <c r="E253" s="450" t="n"/>
      <c r="F253" s="450" t="n"/>
      <c r="G253" s="450" t="n"/>
      <c r="H253" s="450" t="n"/>
      <c r="I253" s="450" t="n"/>
      <c r="J253" s="83" t="n"/>
      <c r="K253" s="450" t="n"/>
      <c r="L253" s="450" t="n"/>
      <c r="M253" s="450" t="n"/>
      <c r="N253" s="450" t="n"/>
      <c r="O253" s="450" t="n"/>
      <c r="P253" s="450" t="n"/>
      <c r="Q253" s="450" t="n"/>
    </row>
    <row r="254" customFormat="1" s="45">
      <c r="A254" s="450" t="n"/>
      <c r="B254" s="450" t="n"/>
      <c r="C254" s="450" t="n"/>
      <c r="D254" s="450" t="n"/>
      <c r="E254" s="450" t="n"/>
      <c r="F254" s="450" t="n"/>
      <c r="G254" s="450" t="n"/>
      <c r="H254" s="450" t="n"/>
      <c r="I254" s="450" t="n"/>
      <c r="J254" s="83" t="n"/>
      <c r="K254" s="450" t="n"/>
      <c r="L254" s="450" t="n"/>
      <c r="M254" s="450" t="n"/>
      <c r="N254" s="450" t="n"/>
      <c r="O254" s="450" t="n"/>
      <c r="P254" s="450" t="n"/>
      <c r="Q254" s="450" t="n"/>
    </row>
    <row r="255" customFormat="1" s="45">
      <c r="A255" s="450" t="n"/>
      <c r="B255" s="450" t="n"/>
      <c r="C255" s="450" t="n"/>
      <c r="D255" s="450" t="n"/>
      <c r="E255" s="450" t="n"/>
      <c r="F255" s="450" t="n"/>
      <c r="G255" s="450" t="n"/>
      <c r="H255" s="450" t="n"/>
      <c r="I255" s="450" t="n"/>
      <c r="J255" s="83" t="n"/>
      <c r="K255" s="450" t="n"/>
      <c r="L255" s="450" t="n"/>
      <c r="M255" s="450" t="n"/>
      <c r="N255" s="450" t="n"/>
      <c r="O255" s="450" t="n"/>
      <c r="P255" s="450" t="n"/>
      <c r="Q255" s="450" t="n"/>
    </row>
    <row r="256" customFormat="1" s="45">
      <c r="A256" s="450" t="n"/>
      <c r="B256" s="450" t="n"/>
      <c r="C256" s="450" t="n"/>
      <c r="D256" s="450" t="n"/>
      <c r="E256" s="450" t="n"/>
      <c r="F256" s="450" t="n"/>
      <c r="G256" s="450" t="n"/>
      <c r="H256" s="450" t="n"/>
      <c r="I256" s="450" t="n"/>
      <c r="J256" s="83" t="n"/>
      <c r="K256" s="450" t="n"/>
      <c r="L256" s="450" t="n"/>
      <c r="M256" s="450" t="n"/>
      <c r="N256" s="450" t="n"/>
      <c r="O256" s="450" t="n"/>
      <c r="P256" s="450" t="n"/>
      <c r="Q256" s="450" t="n"/>
    </row>
    <row r="257" customFormat="1" s="45">
      <c r="A257" s="450" t="n"/>
      <c r="B257" s="450" t="n"/>
      <c r="C257" s="450" t="n"/>
      <c r="D257" s="450" t="n"/>
      <c r="E257" s="450" t="n"/>
      <c r="F257" s="450" t="n"/>
      <c r="G257" s="450" t="n"/>
      <c r="H257" s="450" t="n"/>
      <c r="I257" s="450" t="n"/>
      <c r="J257" s="83" t="n"/>
      <c r="K257" s="450" t="n"/>
      <c r="L257" s="450" t="n"/>
      <c r="M257" s="450" t="n"/>
      <c r="N257" s="450" t="n"/>
      <c r="O257" s="450" t="n"/>
      <c r="P257" s="450" t="n"/>
      <c r="Q257" s="450" t="n"/>
    </row>
    <row r="258" customFormat="1" s="45">
      <c r="A258" s="450" t="n"/>
      <c r="B258" s="450" t="n"/>
      <c r="C258" s="450" t="n"/>
      <c r="D258" s="450" t="n"/>
      <c r="E258" s="450" t="n"/>
      <c r="F258" s="450" t="n"/>
      <c r="G258" s="450" t="n"/>
      <c r="H258" s="450" t="n"/>
      <c r="I258" s="450" t="n"/>
      <c r="J258" s="83" t="n"/>
      <c r="K258" s="450" t="n"/>
      <c r="L258" s="450" t="n"/>
      <c r="M258" s="450" t="n"/>
      <c r="N258" s="450" t="n"/>
      <c r="O258" s="450" t="n"/>
      <c r="P258" s="450" t="n"/>
      <c r="Q258" s="450" t="n"/>
    </row>
    <row r="259" customFormat="1" s="45">
      <c r="A259" s="450" t="n"/>
      <c r="B259" s="450" t="n"/>
      <c r="C259" s="450" t="n"/>
      <c r="D259" s="450" t="n"/>
      <c r="E259" s="450" t="n"/>
      <c r="F259" s="450" t="n"/>
      <c r="G259" s="450" t="n"/>
      <c r="H259" s="450" t="n"/>
      <c r="I259" s="450" t="n"/>
      <c r="J259" s="83" t="n"/>
      <c r="K259" s="450" t="n"/>
      <c r="L259" s="450" t="n"/>
      <c r="M259" s="450" t="n"/>
      <c r="N259" s="450" t="n"/>
      <c r="O259" s="450" t="n"/>
      <c r="P259" s="450" t="n"/>
      <c r="Q259" s="450" t="n"/>
    </row>
    <row r="260" customFormat="1" s="45">
      <c r="A260" s="450" t="n"/>
      <c r="B260" s="450" t="n"/>
      <c r="C260" s="450" t="n"/>
      <c r="D260" s="450" t="n"/>
      <c r="E260" s="450" t="n"/>
      <c r="F260" s="450" t="n"/>
      <c r="G260" s="450" t="n"/>
      <c r="H260" s="450" t="n"/>
      <c r="I260" s="450" t="n"/>
      <c r="J260" s="83" t="n"/>
      <c r="K260" s="450" t="n"/>
      <c r="L260" s="450" t="n"/>
      <c r="M260" s="450" t="n"/>
      <c r="N260" s="450" t="n"/>
      <c r="O260" s="450" t="n"/>
      <c r="P260" s="450" t="n"/>
      <c r="Q260" s="450" t="n"/>
    </row>
    <row r="261" customFormat="1" s="45">
      <c r="A261" s="450" t="n"/>
      <c r="B261" s="450" t="n"/>
      <c r="C261" s="450" t="n"/>
      <c r="D261" s="450" t="n"/>
      <c r="E261" s="450" t="n"/>
      <c r="F261" s="450" t="n"/>
      <c r="G261" s="450" t="n"/>
      <c r="H261" s="450" t="n"/>
      <c r="I261" s="450" t="n"/>
      <c r="J261" s="83" t="n"/>
      <c r="K261" s="450" t="n"/>
      <c r="L261" s="450" t="n"/>
      <c r="M261" s="450" t="n"/>
      <c r="N261" s="450" t="n"/>
      <c r="O261" s="450" t="n"/>
      <c r="P261" s="450" t="n"/>
      <c r="Q261" s="450" t="n"/>
    </row>
    <row r="262" customFormat="1" s="45">
      <c r="A262" s="450" t="n"/>
      <c r="B262" s="450" t="n"/>
      <c r="C262" s="450" t="n"/>
      <c r="D262" s="450" t="n"/>
      <c r="E262" s="450" t="n"/>
      <c r="F262" s="450" t="n"/>
      <c r="G262" s="450" t="n"/>
      <c r="H262" s="450" t="n"/>
      <c r="I262" s="450" t="n"/>
      <c r="J262" s="83" t="n"/>
      <c r="K262" s="450" t="n"/>
      <c r="L262" s="450" t="n"/>
      <c r="M262" s="450" t="n"/>
      <c r="N262" s="450" t="n"/>
      <c r="O262" s="450" t="n"/>
      <c r="P262" s="450" t="n"/>
      <c r="Q262" s="450" t="n"/>
    </row>
    <row r="263" customFormat="1" s="45">
      <c r="A263" s="450" t="n"/>
      <c r="B263" s="450" t="n"/>
      <c r="C263" s="450" t="n"/>
      <c r="D263" s="450" t="n"/>
      <c r="E263" s="450" t="n"/>
      <c r="F263" s="450" t="n"/>
      <c r="G263" s="450" t="n"/>
      <c r="H263" s="450" t="n"/>
      <c r="I263" s="450" t="n"/>
      <c r="J263" s="83" t="n"/>
      <c r="K263" s="450" t="n"/>
      <c r="L263" s="450" t="n"/>
      <c r="M263" s="450" t="n"/>
      <c r="N263" s="450" t="n"/>
      <c r="O263" s="450" t="n"/>
      <c r="P263" s="450" t="n"/>
      <c r="Q263" s="450" t="n"/>
    </row>
    <row r="264" customFormat="1" s="45">
      <c r="A264" s="450" t="n"/>
      <c r="B264" s="450" t="n"/>
      <c r="C264" s="450" t="n"/>
      <c r="D264" s="450" t="n"/>
      <c r="E264" s="450" t="n"/>
      <c r="F264" s="450" t="n"/>
      <c r="G264" s="450" t="n"/>
      <c r="H264" s="450" t="n"/>
      <c r="I264" s="450" t="n"/>
      <c r="J264" s="83" t="n"/>
      <c r="K264" s="450" t="n"/>
      <c r="L264" s="450" t="n"/>
      <c r="M264" s="450" t="n"/>
      <c r="N264" s="450" t="n"/>
      <c r="O264" s="450" t="n"/>
      <c r="P264" s="450" t="n"/>
      <c r="Q264" s="450" t="n"/>
    </row>
    <row r="265" customFormat="1" s="45">
      <c r="A265" s="450" t="n"/>
      <c r="B265" s="450" t="n"/>
      <c r="C265" s="450" t="n"/>
      <c r="D265" s="450" t="n"/>
      <c r="E265" s="450" t="n"/>
      <c r="F265" s="450" t="n"/>
      <c r="G265" s="450" t="n"/>
      <c r="H265" s="450" t="n"/>
      <c r="I265" s="450" t="n"/>
      <c r="J265" s="83" t="n"/>
      <c r="K265" s="450" t="n"/>
      <c r="L265" s="450" t="n"/>
      <c r="M265" s="450" t="n"/>
      <c r="N265" s="450" t="n"/>
      <c r="O265" s="450" t="n"/>
      <c r="P265" s="450" t="n"/>
      <c r="Q265" s="450" t="n"/>
    </row>
    <row r="266" customFormat="1" s="45">
      <c r="A266" s="450" t="n"/>
      <c r="B266" s="450" t="n"/>
      <c r="C266" s="450" t="n"/>
      <c r="D266" s="450" t="n"/>
      <c r="E266" s="450" t="n"/>
      <c r="F266" s="450" t="n"/>
      <c r="G266" s="450" t="n"/>
      <c r="H266" s="450" t="n"/>
      <c r="I266" s="450" t="n"/>
      <c r="J266" s="83" t="n"/>
      <c r="K266" s="450" t="n"/>
      <c r="L266" s="450" t="n"/>
      <c r="M266" s="450" t="n"/>
      <c r="N266" s="450" t="n"/>
      <c r="O266" s="450" t="n"/>
      <c r="P266" s="450" t="n"/>
      <c r="Q266" s="450" t="n"/>
    </row>
    <row r="267" customFormat="1" s="45">
      <c r="A267" s="450" t="n"/>
      <c r="B267" s="450" t="n"/>
      <c r="C267" s="450" t="n"/>
      <c r="D267" s="450" t="n"/>
      <c r="E267" s="450" t="n"/>
      <c r="F267" s="450" t="n"/>
      <c r="G267" s="450" t="n"/>
      <c r="H267" s="450" t="n"/>
      <c r="I267" s="450" t="n"/>
      <c r="J267" s="83" t="n"/>
      <c r="K267" s="450" t="n"/>
      <c r="L267" s="450" t="n"/>
      <c r="M267" s="450" t="n"/>
      <c r="N267" s="450" t="n"/>
      <c r="O267" s="450" t="n"/>
      <c r="P267" s="450" t="n"/>
      <c r="Q267" s="450" t="n"/>
    </row>
    <row r="268" customFormat="1" s="45">
      <c r="A268" s="450" t="n"/>
      <c r="B268" s="450" t="n"/>
      <c r="C268" s="450" t="n"/>
      <c r="D268" s="450" t="n"/>
      <c r="E268" s="450" t="n"/>
      <c r="F268" s="450" t="n"/>
      <c r="G268" s="450" t="n"/>
      <c r="H268" s="450" t="n"/>
      <c r="I268" s="450" t="n"/>
      <c r="J268" s="83" t="n"/>
      <c r="K268" s="450" t="n"/>
      <c r="L268" s="450" t="n"/>
      <c r="M268" s="450" t="n"/>
      <c r="N268" s="450" t="n"/>
      <c r="O268" s="450" t="n"/>
      <c r="P268" s="450" t="n"/>
      <c r="Q268" s="450" t="n"/>
    </row>
    <row r="269" customFormat="1" s="45">
      <c r="A269" s="450" t="n"/>
      <c r="B269" s="450" t="n"/>
      <c r="C269" s="450" t="n"/>
      <c r="D269" s="450" t="n"/>
      <c r="E269" s="450" t="n"/>
      <c r="F269" s="450" t="n"/>
      <c r="G269" s="450" t="n"/>
      <c r="H269" s="450" t="n"/>
      <c r="I269" s="450" t="n"/>
      <c r="J269" s="83" t="n"/>
      <c r="K269" s="450" t="n"/>
      <c r="L269" s="450" t="n"/>
      <c r="M269" s="450" t="n"/>
      <c r="N269" s="450" t="n"/>
      <c r="O269" s="450" t="n"/>
      <c r="P269" s="450" t="n"/>
      <c r="Q269" s="450" t="n"/>
    </row>
    <row r="270" customFormat="1" s="45">
      <c r="A270" s="450" t="n"/>
      <c r="B270" s="450" t="n"/>
      <c r="C270" s="450" t="n"/>
      <c r="D270" s="450" t="n"/>
      <c r="E270" s="450" t="n"/>
      <c r="F270" s="450" t="n"/>
      <c r="G270" s="450" t="n"/>
      <c r="H270" s="450" t="n"/>
      <c r="I270" s="450" t="n"/>
      <c r="J270" s="83" t="n"/>
      <c r="K270" s="450" t="n"/>
      <c r="L270" s="450" t="n"/>
      <c r="M270" s="450" t="n"/>
      <c r="N270" s="450" t="n"/>
      <c r="O270" s="450" t="n"/>
      <c r="P270" s="450" t="n"/>
      <c r="Q270" s="450" t="n"/>
    </row>
    <row r="271" customFormat="1" s="45">
      <c r="A271" s="450" t="n"/>
      <c r="B271" s="450" t="n"/>
      <c r="C271" s="450" t="n"/>
      <c r="D271" s="450" t="n"/>
      <c r="E271" s="450" t="n"/>
      <c r="F271" s="450" t="n"/>
      <c r="G271" s="450" t="n"/>
      <c r="H271" s="450" t="n"/>
      <c r="I271" s="450" t="n"/>
      <c r="J271" s="83" t="n"/>
      <c r="K271" s="450" t="n"/>
      <c r="L271" s="450" t="n"/>
      <c r="M271" s="450" t="n"/>
      <c r="N271" s="450" t="n"/>
      <c r="O271" s="450" t="n"/>
      <c r="P271" s="450" t="n"/>
      <c r="Q271" s="450" t="n"/>
    </row>
    <row r="272" customFormat="1" s="45">
      <c r="A272" s="450" t="n"/>
      <c r="B272" s="450" t="n"/>
      <c r="C272" s="450" t="n"/>
      <c r="D272" s="450" t="n"/>
      <c r="E272" s="450" t="n"/>
      <c r="F272" s="450" t="n"/>
      <c r="G272" s="450" t="n"/>
      <c r="H272" s="450" t="n"/>
      <c r="I272" s="450" t="n"/>
      <c r="J272" s="83" t="n"/>
      <c r="K272" s="450" t="n"/>
      <c r="L272" s="450" t="n"/>
      <c r="M272" s="450" t="n"/>
      <c r="N272" s="450" t="n"/>
      <c r="O272" s="450" t="n"/>
      <c r="P272" s="450" t="n"/>
      <c r="Q272" s="450" t="n"/>
    </row>
    <row r="273" customFormat="1" s="45">
      <c r="A273" s="450" t="n"/>
      <c r="B273" s="450" t="n"/>
      <c r="C273" s="450" t="n"/>
      <c r="D273" s="450" t="n"/>
      <c r="E273" s="450" t="n"/>
      <c r="F273" s="450" t="n"/>
      <c r="G273" s="450" t="n"/>
      <c r="H273" s="450" t="n"/>
      <c r="I273" s="450" t="n"/>
      <c r="J273" s="83" t="n"/>
      <c r="K273" s="450" t="n"/>
      <c r="L273" s="450" t="n"/>
      <c r="M273" s="450" t="n"/>
      <c r="N273" s="450" t="n"/>
      <c r="O273" s="450" t="n"/>
      <c r="P273" s="450" t="n"/>
      <c r="Q273" s="450" t="n"/>
    </row>
    <row r="274" customFormat="1" s="45">
      <c r="A274" s="450" t="n"/>
      <c r="B274" s="450" t="n"/>
      <c r="C274" s="450" t="n"/>
      <c r="D274" s="450" t="n"/>
      <c r="E274" s="450" t="n"/>
      <c r="F274" s="450" t="n"/>
      <c r="G274" s="450" t="n"/>
      <c r="H274" s="450" t="n"/>
      <c r="I274" s="450" t="n"/>
      <c r="J274" s="83" t="n"/>
      <c r="K274" s="450" t="n"/>
      <c r="L274" s="450" t="n"/>
      <c r="M274" s="450" t="n"/>
      <c r="N274" s="450" t="n"/>
      <c r="O274" s="450" t="n"/>
      <c r="P274" s="450" t="n"/>
      <c r="Q274" s="450" t="n"/>
    </row>
    <row r="275" customFormat="1" s="45">
      <c r="A275" s="450" t="n"/>
      <c r="B275" s="450" t="n"/>
      <c r="C275" s="450" t="n"/>
      <c r="D275" s="450" t="n"/>
      <c r="E275" s="450" t="n"/>
      <c r="F275" s="450" t="n"/>
      <c r="G275" s="450" t="n"/>
      <c r="H275" s="450" t="n"/>
      <c r="I275" s="450" t="n"/>
      <c r="J275" s="83" t="n"/>
      <c r="K275" s="450" t="n"/>
      <c r="L275" s="450" t="n"/>
      <c r="M275" s="450" t="n"/>
      <c r="N275" s="450" t="n"/>
      <c r="O275" s="450" t="n"/>
      <c r="P275" s="450" t="n"/>
      <c r="Q275" s="450" t="n"/>
    </row>
    <row r="276" customFormat="1" s="45">
      <c r="A276" s="450" t="n"/>
      <c r="B276" s="450" t="n"/>
      <c r="C276" s="450" t="n"/>
      <c r="D276" s="450" t="n"/>
      <c r="E276" s="450" t="n"/>
      <c r="F276" s="450" t="n"/>
      <c r="G276" s="450" t="n"/>
      <c r="H276" s="450" t="n"/>
      <c r="I276" s="450" t="n"/>
      <c r="J276" s="83" t="n"/>
      <c r="K276" s="450" t="n"/>
      <c r="L276" s="450" t="n"/>
      <c r="M276" s="450" t="n"/>
      <c r="N276" s="450" t="n"/>
      <c r="O276" s="450" t="n"/>
      <c r="P276" s="450" t="n"/>
      <c r="Q276" s="450" t="n"/>
    </row>
    <row r="277" customFormat="1" s="45">
      <c r="A277" s="450" t="n"/>
      <c r="B277" s="450" t="n"/>
      <c r="C277" s="450" t="n"/>
      <c r="D277" s="450" t="n"/>
      <c r="E277" s="450" t="n"/>
      <c r="F277" s="450" t="n"/>
      <c r="G277" s="450" t="n"/>
      <c r="H277" s="450" t="n"/>
      <c r="I277" s="450" t="n"/>
      <c r="J277" s="83" t="n"/>
      <c r="K277" s="450" t="n"/>
      <c r="L277" s="450" t="n"/>
      <c r="M277" s="450" t="n"/>
      <c r="N277" s="450" t="n"/>
      <c r="O277" s="450" t="n"/>
      <c r="P277" s="450" t="n"/>
      <c r="Q277" s="450" t="n"/>
    </row>
    <row r="278" customFormat="1" s="45">
      <c r="A278" s="450" t="n"/>
      <c r="B278" s="450" t="n"/>
      <c r="C278" s="450" t="n"/>
      <c r="D278" s="450" t="n"/>
      <c r="E278" s="450" t="n"/>
      <c r="F278" s="450" t="n"/>
      <c r="G278" s="450" t="n"/>
      <c r="H278" s="450" t="n"/>
      <c r="I278" s="450" t="n"/>
      <c r="J278" s="83" t="n"/>
      <c r="K278" s="450" t="n"/>
      <c r="L278" s="450" t="n"/>
      <c r="M278" s="450" t="n"/>
      <c r="N278" s="450" t="n"/>
      <c r="O278" s="450" t="n"/>
      <c r="P278" s="450" t="n"/>
      <c r="Q278" s="450" t="n"/>
    </row>
    <row r="279" customFormat="1" s="45">
      <c r="A279" s="450" t="n"/>
      <c r="B279" s="450" t="n"/>
      <c r="C279" s="450" t="n"/>
      <c r="D279" s="450" t="n"/>
      <c r="E279" s="450" t="n"/>
      <c r="F279" s="450" t="n"/>
      <c r="G279" s="450" t="n"/>
      <c r="H279" s="450" t="n"/>
      <c r="I279" s="450" t="n"/>
      <c r="J279" s="83" t="n"/>
      <c r="K279" s="450" t="n"/>
      <c r="L279" s="450" t="n"/>
      <c r="M279" s="450" t="n"/>
      <c r="N279" s="450" t="n"/>
      <c r="O279" s="450" t="n"/>
      <c r="P279" s="450" t="n"/>
      <c r="Q279" s="450" t="n"/>
    </row>
    <row r="280" customFormat="1" s="45">
      <c r="A280" s="450" t="n"/>
      <c r="B280" s="450" t="n"/>
      <c r="C280" s="450" t="n"/>
      <c r="D280" s="450" t="n"/>
      <c r="E280" s="450" t="n"/>
      <c r="F280" s="450" t="n"/>
      <c r="G280" s="450" t="n"/>
      <c r="H280" s="450" t="n"/>
      <c r="I280" s="450" t="n"/>
      <c r="J280" s="83" t="n"/>
      <c r="K280" s="450" t="n"/>
      <c r="L280" s="450" t="n"/>
      <c r="M280" s="450" t="n"/>
      <c r="N280" s="450" t="n"/>
      <c r="O280" s="450" t="n"/>
      <c r="P280" s="450" t="n"/>
      <c r="Q280" s="450" t="n"/>
    </row>
    <row r="281" customFormat="1" s="45">
      <c r="A281" s="450" t="n"/>
      <c r="B281" s="450" t="n"/>
      <c r="C281" s="450" t="n"/>
      <c r="D281" s="450" t="n"/>
      <c r="E281" s="450" t="n"/>
      <c r="F281" s="450" t="n"/>
      <c r="G281" s="450" t="n"/>
      <c r="H281" s="450" t="n"/>
      <c r="I281" s="450" t="n"/>
      <c r="J281" s="83" t="n"/>
      <c r="K281" s="450" t="n"/>
      <c r="L281" s="450" t="n"/>
      <c r="M281" s="450" t="n"/>
      <c r="N281" s="450" t="n"/>
      <c r="O281" s="450" t="n"/>
      <c r="P281" s="450" t="n"/>
      <c r="Q281" s="450" t="n"/>
    </row>
    <row r="282" customFormat="1" s="45">
      <c r="A282" s="450" t="n"/>
      <c r="B282" s="450" t="n"/>
      <c r="C282" s="450" t="n"/>
      <c r="D282" s="450" t="n"/>
      <c r="E282" s="450" t="n"/>
      <c r="F282" s="450" t="n"/>
      <c r="G282" s="450" t="n"/>
      <c r="H282" s="450" t="n"/>
      <c r="I282" s="450" t="n"/>
      <c r="J282" s="83" t="n"/>
      <c r="K282" s="450" t="n"/>
      <c r="L282" s="450" t="n"/>
      <c r="M282" s="450" t="n"/>
      <c r="N282" s="450" t="n"/>
      <c r="O282" s="450" t="n"/>
      <c r="P282" s="450" t="n"/>
      <c r="Q282" s="450" t="n"/>
    </row>
    <row r="283" customFormat="1" s="45">
      <c r="A283" s="450" t="n"/>
      <c r="B283" s="450" t="n"/>
      <c r="C283" s="450" t="n"/>
      <c r="D283" s="450" t="n"/>
      <c r="E283" s="450" t="n"/>
      <c r="F283" s="450" t="n"/>
      <c r="G283" s="450" t="n"/>
      <c r="H283" s="450" t="n"/>
      <c r="I283" s="450" t="n"/>
      <c r="J283" s="83" t="n"/>
      <c r="K283" s="450" t="n"/>
      <c r="L283" s="450" t="n"/>
      <c r="M283" s="450" t="n"/>
      <c r="N283" s="450" t="n"/>
      <c r="O283" s="450" t="n"/>
      <c r="P283" s="450" t="n"/>
      <c r="Q283" s="450" t="n"/>
    </row>
    <row r="284" customFormat="1" s="45">
      <c r="A284" s="450" t="n"/>
      <c r="B284" s="450" t="n"/>
      <c r="C284" s="450" t="n"/>
      <c r="D284" s="450" t="n"/>
      <c r="E284" s="450" t="n"/>
      <c r="F284" s="450" t="n"/>
      <c r="G284" s="450" t="n"/>
      <c r="H284" s="450" t="n"/>
      <c r="I284" s="450" t="n"/>
      <c r="J284" s="83" t="n"/>
      <c r="K284" s="450" t="n"/>
      <c r="L284" s="450" t="n"/>
      <c r="M284" s="450" t="n"/>
      <c r="N284" s="450" t="n"/>
      <c r="O284" s="450" t="n"/>
      <c r="P284" s="450" t="n"/>
      <c r="Q284" s="450" t="n"/>
    </row>
    <row r="285" customFormat="1" s="45">
      <c r="A285" s="450" t="n"/>
      <c r="B285" s="450" t="n"/>
      <c r="C285" s="450" t="n"/>
      <c r="D285" s="450" t="n"/>
      <c r="E285" s="450" t="n"/>
      <c r="F285" s="450" t="n"/>
      <c r="G285" s="450" t="n"/>
      <c r="H285" s="450" t="n"/>
      <c r="I285" s="450" t="n"/>
      <c r="J285" s="83" t="n"/>
      <c r="K285" s="450" t="n"/>
      <c r="L285" s="450" t="n"/>
      <c r="M285" s="450" t="n"/>
      <c r="N285" s="450" t="n"/>
      <c r="O285" s="450" t="n"/>
      <c r="P285" s="450" t="n"/>
      <c r="Q285" s="450" t="n"/>
    </row>
    <row r="286" customFormat="1" s="45">
      <c r="A286" s="450" t="n"/>
      <c r="B286" s="450" t="n"/>
      <c r="C286" s="450" t="n"/>
      <c r="D286" s="450" t="n"/>
      <c r="E286" s="450" t="n"/>
      <c r="F286" s="450" t="n"/>
      <c r="G286" s="450" t="n"/>
      <c r="H286" s="450" t="n"/>
      <c r="I286" s="450" t="n"/>
      <c r="J286" s="83" t="n"/>
      <c r="K286" s="450" t="n"/>
      <c r="L286" s="450" t="n"/>
      <c r="M286" s="450" t="n"/>
      <c r="N286" s="450" t="n"/>
      <c r="O286" s="450" t="n"/>
      <c r="P286" s="450" t="n"/>
      <c r="Q286" s="450" t="n"/>
    </row>
    <row r="287" customFormat="1" s="45">
      <c r="A287" s="450" t="n"/>
      <c r="B287" s="450" t="n"/>
      <c r="C287" s="450" t="n"/>
      <c r="D287" s="450" t="n"/>
      <c r="E287" s="450" t="n"/>
      <c r="F287" s="450" t="n"/>
      <c r="G287" s="450" t="n"/>
      <c r="H287" s="450" t="n"/>
      <c r="I287" s="450" t="n"/>
      <c r="J287" s="83" t="n"/>
      <c r="K287" s="450" t="n"/>
      <c r="L287" s="450" t="n"/>
      <c r="M287" s="450" t="n"/>
      <c r="N287" s="450" t="n"/>
      <c r="O287" s="450" t="n"/>
      <c r="P287" s="450" t="n"/>
      <c r="Q287" s="450" t="n"/>
    </row>
    <row r="288" customFormat="1" s="45">
      <c r="A288" s="450" t="n"/>
      <c r="B288" s="450" t="n"/>
      <c r="C288" s="450" t="n"/>
      <c r="D288" s="450" t="n"/>
      <c r="E288" s="450" t="n"/>
      <c r="F288" s="450" t="n"/>
      <c r="G288" s="450" t="n"/>
      <c r="H288" s="450" t="n"/>
      <c r="I288" s="450" t="n"/>
      <c r="J288" s="83" t="n"/>
      <c r="K288" s="450" t="n"/>
      <c r="L288" s="450" t="n"/>
      <c r="M288" s="450" t="n"/>
      <c r="N288" s="450" t="n"/>
      <c r="O288" s="450" t="n"/>
      <c r="P288" s="450" t="n"/>
      <c r="Q288" s="450" t="n"/>
    </row>
    <row r="289" customFormat="1" s="45">
      <c r="A289" s="450" t="n"/>
      <c r="B289" s="450" t="n"/>
      <c r="C289" s="450" t="n"/>
      <c r="D289" s="450" t="n"/>
      <c r="E289" s="450" t="n"/>
      <c r="F289" s="450" t="n"/>
      <c r="G289" s="450" t="n"/>
      <c r="H289" s="450" t="n"/>
      <c r="I289" s="450" t="n"/>
      <c r="J289" s="83" t="n"/>
      <c r="K289" s="450" t="n"/>
      <c r="L289" s="450" t="n"/>
      <c r="M289" s="450" t="n"/>
      <c r="N289" s="450" t="n"/>
      <c r="O289" s="450" t="n"/>
      <c r="P289" s="450" t="n"/>
      <c r="Q289" s="450" t="n"/>
    </row>
    <row r="290" customFormat="1" s="45">
      <c r="A290" s="450" t="n"/>
      <c r="B290" s="450" t="n"/>
      <c r="C290" s="450" t="n"/>
      <c r="D290" s="450" t="n"/>
      <c r="E290" s="450" t="n"/>
      <c r="F290" s="450" t="n"/>
      <c r="G290" s="450" t="n"/>
      <c r="H290" s="450" t="n"/>
      <c r="I290" s="450" t="n"/>
      <c r="J290" s="83" t="n"/>
      <c r="K290" s="450" t="n"/>
      <c r="L290" s="450" t="n"/>
      <c r="M290" s="450" t="n"/>
      <c r="N290" s="450" t="n"/>
      <c r="O290" s="450" t="n"/>
      <c r="P290" s="450" t="n"/>
      <c r="Q290" s="450" t="n"/>
    </row>
    <row r="291" customFormat="1" s="45">
      <c r="A291" s="450" t="n"/>
      <c r="B291" s="450" t="n"/>
      <c r="C291" s="450" t="n"/>
      <c r="D291" s="450" t="n"/>
      <c r="E291" s="450" t="n"/>
      <c r="F291" s="450" t="n"/>
      <c r="G291" s="450" t="n"/>
      <c r="H291" s="450" t="n"/>
      <c r="I291" s="450" t="n"/>
      <c r="J291" s="83" t="n"/>
      <c r="K291" s="450" t="n"/>
      <c r="L291" s="450" t="n"/>
      <c r="M291" s="450" t="n"/>
      <c r="N291" s="450" t="n"/>
      <c r="O291" s="450" t="n"/>
      <c r="P291" s="450" t="n"/>
      <c r="Q291" s="450" t="n"/>
    </row>
    <row r="292" customFormat="1" s="45">
      <c r="A292" s="450" t="n"/>
      <c r="B292" s="450" t="n"/>
      <c r="C292" s="450" t="n"/>
      <c r="D292" s="450" t="n"/>
      <c r="E292" s="450" t="n"/>
      <c r="F292" s="450" t="n"/>
      <c r="G292" s="450" t="n"/>
      <c r="H292" s="450" t="n"/>
      <c r="I292" s="450" t="n"/>
      <c r="J292" s="83" t="n"/>
      <c r="K292" s="450" t="n"/>
      <c r="L292" s="450" t="n"/>
      <c r="M292" s="450" t="n"/>
      <c r="N292" s="450" t="n"/>
      <c r="O292" s="450" t="n"/>
      <c r="P292" s="450" t="n"/>
      <c r="Q292" s="450" t="n"/>
    </row>
    <row r="293" customFormat="1" s="45">
      <c r="A293" s="450" t="n"/>
      <c r="B293" s="450" t="n"/>
      <c r="C293" s="450" t="n"/>
      <c r="D293" s="450" t="n"/>
      <c r="E293" s="450" t="n"/>
      <c r="F293" s="450" t="n"/>
      <c r="G293" s="450" t="n"/>
      <c r="H293" s="450" t="n"/>
      <c r="I293" s="450" t="n"/>
      <c r="J293" s="83" t="n"/>
      <c r="K293" s="450" t="n"/>
      <c r="L293" s="450" t="n"/>
      <c r="M293" s="450" t="n"/>
      <c r="N293" s="450" t="n"/>
      <c r="O293" s="450" t="n"/>
      <c r="P293" s="450" t="n"/>
      <c r="Q293" s="450" t="n"/>
    </row>
    <row r="294" customFormat="1" s="45">
      <c r="A294" s="450" t="n"/>
      <c r="B294" s="450" t="n"/>
      <c r="C294" s="450" t="n"/>
      <c r="D294" s="450" t="n"/>
      <c r="E294" s="450" t="n"/>
      <c r="F294" s="450" t="n"/>
      <c r="G294" s="450" t="n"/>
      <c r="H294" s="450" t="n"/>
      <c r="I294" s="450" t="n"/>
      <c r="J294" s="83" t="n"/>
      <c r="K294" s="450" t="n"/>
      <c r="L294" s="450" t="n"/>
      <c r="M294" s="450" t="n"/>
      <c r="N294" s="450" t="n"/>
      <c r="O294" s="450" t="n"/>
      <c r="P294" s="450" t="n"/>
      <c r="Q294" s="450" t="n"/>
    </row>
    <row r="295" customFormat="1" s="45">
      <c r="A295" s="450" t="n"/>
      <c r="B295" s="450" t="n"/>
      <c r="C295" s="450" t="n"/>
      <c r="D295" s="450" t="n"/>
      <c r="E295" s="450" t="n"/>
      <c r="F295" s="450" t="n"/>
      <c r="G295" s="450" t="n"/>
      <c r="H295" s="450" t="n"/>
      <c r="I295" s="450" t="n"/>
      <c r="J295" s="83" t="n"/>
      <c r="K295" s="450" t="n"/>
      <c r="L295" s="450" t="n"/>
      <c r="M295" s="450" t="n"/>
      <c r="N295" s="450" t="n"/>
      <c r="O295" s="450" t="n"/>
      <c r="P295" s="450" t="n"/>
      <c r="Q295" s="450" t="n"/>
    </row>
    <row r="296" customFormat="1" s="45">
      <c r="A296" s="450" t="n"/>
      <c r="B296" s="450" t="n"/>
      <c r="C296" s="450" t="n"/>
      <c r="D296" s="450" t="n"/>
      <c r="E296" s="450" t="n"/>
      <c r="F296" s="450" t="n"/>
      <c r="G296" s="450" t="n"/>
      <c r="H296" s="450" t="n"/>
      <c r="I296" s="450" t="n"/>
      <c r="J296" s="83" t="n"/>
      <c r="K296" s="450" t="n"/>
      <c r="L296" s="450" t="n"/>
      <c r="M296" s="450" t="n"/>
      <c r="N296" s="450" t="n"/>
      <c r="O296" s="450" t="n"/>
      <c r="P296" s="450" t="n"/>
      <c r="Q296" s="450" t="n"/>
    </row>
    <row r="297" customFormat="1" s="45">
      <c r="A297" s="450" t="n"/>
      <c r="B297" s="450" t="n"/>
      <c r="C297" s="450" t="n"/>
      <c r="D297" s="450" t="n"/>
      <c r="E297" s="450" t="n"/>
      <c r="F297" s="450" t="n"/>
      <c r="G297" s="450" t="n"/>
      <c r="H297" s="450" t="n"/>
      <c r="I297" s="450" t="n"/>
      <c r="J297" s="83" t="n"/>
      <c r="K297" s="450" t="n"/>
      <c r="L297" s="450" t="n"/>
      <c r="M297" s="450" t="n"/>
      <c r="N297" s="450" t="n"/>
      <c r="O297" s="450" t="n"/>
      <c r="P297" s="450" t="n"/>
      <c r="Q297" s="450" t="n"/>
    </row>
    <row r="298" customFormat="1" s="45">
      <c r="A298" s="450" t="n"/>
      <c r="B298" s="450" t="n"/>
      <c r="C298" s="450" t="n"/>
      <c r="D298" s="450" t="n"/>
      <c r="E298" s="450" t="n"/>
      <c r="F298" s="450" t="n"/>
      <c r="G298" s="450" t="n"/>
      <c r="H298" s="450" t="n"/>
      <c r="I298" s="450" t="n"/>
      <c r="J298" s="83" t="n"/>
      <c r="K298" s="450" t="n"/>
      <c r="L298" s="450" t="n"/>
      <c r="M298" s="450" t="n"/>
      <c r="N298" s="450" t="n"/>
      <c r="O298" s="450" t="n"/>
      <c r="P298" s="450" t="n"/>
      <c r="Q298" s="450" t="n"/>
    </row>
    <row r="299" customFormat="1" s="45">
      <c r="A299" s="450" t="n"/>
      <c r="B299" s="450" t="n"/>
      <c r="C299" s="450" t="n"/>
      <c r="D299" s="450" t="n"/>
      <c r="E299" s="450" t="n"/>
      <c r="F299" s="450" t="n"/>
      <c r="G299" s="450" t="n"/>
      <c r="H299" s="450" t="n"/>
      <c r="I299" s="450" t="n"/>
      <c r="J299" s="83" t="n"/>
      <c r="K299" s="450" t="n"/>
      <c r="L299" s="450" t="n"/>
      <c r="M299" s="450" t="n"/>
      <c r="N299" s="450" t="n"/>
      <c r="O299" s="450" t="n"/>
      <c r="P299" s="450" t="n"/>
      <c r="Q299" s="450" t="n"/>
    </row>
    <row r="300" customFormat="1" s="45">
      <c r="A300" s="450" t="n"/>
      <c r="B300" s="450" t="n"/>
      <c r="C300" s="450" t="n"/>
      <c r="D300" s="450" t="n"/>
      <c r="E300" s="450" t="n"/>
      <c r="F300" s="450" t="n"/>
      <c r="G300" s="450" t="n"/>
      <c r="H300" s="450" t="n"/>
      <c r="I300" s="450" t="n"/>
      <c r="J300" s="83" t="n"/>
      <c r="K300" s="450" t="n"/>
      <c r="L300" s="450" t="n"/>
      <c r="M300" s="450" t="n"/>
      <c r="N300" s="450" t="n"/>
      <c r="O300" s="450" t="n"/>
      <c r="P300" s="450" t="n"/>
      <c r="Q300" s="450" t="n"/>
    </row>
    <row r="301" customFormat="1" s="45">
      <c r="A301" s="450" t="n"/>
      <c r="B301" s="450" t="n"/>
      <c r="C301" s="450" t="n"/>
      <c r="D301" s="450" t="n"/>
      <c r="E301" s="450" t="n"/>
      <c r="F301" s="450" t="n"/>
      <c r="G301" s="450" t="n"/>
      <c r="H301" s="450" t="n"/>
      <c r="I301" s="450" t="n"/>
      <c r="J301" s="83" t="n"/>
      <c r="K301" s="450" t="n"/>
      <c r="L301" s="450" t="n"/>
      <c r="M301" s="450" t="n"/>
      <c r="N301" s="450" t="n"/>
      <c r="O301" s="450" t="n"/>
      <c r="P301" s="450" t="n"/>
      <c r="Q301" s="450" t="n"/>
    </row>
    <row r="302" customFormat="1" s="45">
      <c r="A302" s="450" t="n"/>
      <c r="B302" s="450" t="n"/>
      <c r="C302" s="450" t="n"/>
      <c r="D302" s="450" t="n"/>
      <c r="E302" s="450" t="n"/>
      <c r="F302" s="450" t="n"/>
      <c r="G302" s="450" t="n"/>
      <c r="H302" s="450" t="n"/>
      <c r="I302" s="450" t="n"/>
      <c r="J302" s="83" t="n"/>
      <c r="K302" s="450" t="n"/>
      <c r="L302" s="450" t="n"/>
      <c r="M302" s="450" t="n"/>
      <c r="N302" s="450" t="n"/>
      <c r="O302" s="450" t="n"/>
      <c r="P302" s="450" t="n"/>
      <c r="Q302" s="450" t="n"/>
    </row>
    <row r="303" customFormat="1" s="45">
      <c r="A303" s="450" t="n"/>
      <c r="B303" s="450" t="n"/>
      <c r="C303" s="450" t="n"/>
      <c r="D303" s="450" t="n"/>
      <c r="E303" s="450" t="n"/>
      <c r="F303" s="450" t="n"/>
      <c r="G303" s="450" t="n"/>
      <c r="H303" s="450" t="n"/>
      <c r="I303" s="450" t="n"/>
      <c r="J303" s="83" t="n"/>
      <c r="K303" s="450" t="n"/>
      <c r="L303" s="450" t="n"/>
      <c r="M303" s="450" t="n"/>
      <c r="N303" s="450" t="n"/>
      <c r="O303" s="450" t="n"/>
      <c r="P303" s="450" t="n"/>
      <c r="Q303" s="450" t="n"/>
    </row>
    <row r="304" customFormat="1" s="45">
      <c r="A304" s="450" t="n"/>
      <c r="B304" s="450" t="n"/>
      <c r="C304" s="450" t="n"/>
      <c r="D304" s="450" t="n"/>
      <c r="E304" s="450" t="n"/>
      <c r="F304" s="450" t="n"/>
      <c r="G304" s="450" t="n"/>
      <c r="H304" s="450" t="n"/>
      <c r="I304" s="450" t="n"/>
      <c r="J304" s="83" t="n"/>
      <c r="K304" s="450" t="n"/>
      <c r="L304" s="450" t="n"/>
      <c r="M304" s="450" t="n"/>
      <c r="N304" s="450" t="n"/>
      <c r="O304" s="450" t="n"/>
      <c r="P304" s="450" t="n"/>
      <c r="Q304" s="450" t="n"/>
    </row>
    <row r="305" customFormat="1" s="45">
      <c r="A305" s="450" t="n"/>
      <c r="B305" s="450" t="n"/>
      <c r="C305" s="450" t="n"/>
      <c r="D305" s="450" t="n"/>
      <c r="E305" s="450" t="n"/>
      <c r="F305" s="450" t="n"/>
      <c r="G305" s="450" t="n"/>
      <c r="H305" s="450" t="n"/>
      <c r="I305" s="450" t="n"/>
      <c r="J305" s="83" t="n"/>
      <c r="K305" s="450" t="n"/>
      <c r="L305" s="450" t="n"/>
      <c r="M305" s="450" t="n"/>
      <c r="N305" s="450" t="n"/>
      <c r="O305" s="450" t="n"/>
      <c r="P305" s="450" t="n"/>
      <c r="Q305" s="450" t="n"/>
    </row>
    <row r="306" customFormat="1" s="45">
      <c r="A306" s="450" t="n"/>
      <c r="B306" s="450" t="n"/>
      <c r="C306" s="450" t="n"/>
      <c r="D306" s="450" t="n"/>
      <c r="E306" s="450" t="n"/>
      <c r="F306" s="450" t="n"/>
      <c r="G306" s="450" t="n"/>
      <c r="H306" s="450" t="n"/>
      <c r="I306" s="450" t="n"/>
      <c r="J306" s="83" t="n"/>
      <c r="K306" s="450" t="n"/>
      <c r="L306" s="450" t="n"/>
      <c r="M306" s="450" t="n"/>
      <c r="N306" s="450" t="n"/>
      <c r="O306" s="450" t="n"/>
      <c r="P306" s="450" t="n"/>
      <c r="Q306" s="450" t="n"/>
    </row>
    <row r="307" customFormat="1" s="45">
      <c r="A307" s="450" t="n"/>
      <c r="B307" s="450" t="n"/>
      <c r="C307" s="450" t="n"/>
      <c r="D307" s="450" t="n"/>
      <c r="E307" s="450" t="n"/>
      <c r="F307" s="450" t="n"/>
      <c r="G307" s="450" t="n"/>
      <c r="H307" s="450" t="n"/>
      <c r="I307" s="450" t="n"/>
      <c r="J307" s="83" t="n"/>
      <c r="K307" s="450" t="n"/>
      <c r="L307" s="450" t="n"/>
      <c r="M307" s="450" t="n"/>
      <c r="N307" s="450" t="n"/>
      <c r="O307" s="450" t="n"/>
      <c r="P307" s="450" t="n"/>
      <c r="Q307" s="450" t="n"/>
    </row>
    <row r="308" customFormat="1" s="45">
      <c r="A308" s="450" t="n"/>
      <c r="B308" s="450" t="n"/>
      <c r="C308" s="450" t="n"/>
      <c r="D308" s="450" t="n"/>
      <c r="E308" s="450" t="n"/>
      <c r="F308" s="450" t="n"/>
      <c r="G308" s="450" t="n"/>
      <c r="H308" s="450" t="n"/>
      <c r="I308" s="450" t="n"/>
      <c r="J308" s="83" t="n"/>
      <c r="K308" s="450" t="n"/>
      <c r="L308" s="450" t="n"/>
      <c r="M308" s="450" t="n"/>
      <c r="N308" s="450" t="n"/>
      <c r="O308" s="450" t="n"/>
      <c r="P308" s="450" t="n"/>
      <c r="Q308" s="450" t="n"/>
    </row>
    <row r="309" customFormat="1" s="45">
      <c r="A309" s="450" t="n"/>
      <c r="B309" s="450" t="n"/>
      <c r="C309" s="450" t="n"/>
      <c r="D309" s="450" t="n"/>
      <c r="E309" s="450" t="n"/>
      <c r="F309" s="450" t="n"/>
      <c r="G309" s="450" t="n"/>
      <c r="H309" s="450" t="n"/>
      <c r="I309" s="450" t="n"/>
      <c r="J309" s="83" t="n"/>
      <c r="K309" s="450" t="n"/>
      <c r="L309" s="450" t="n"/>
      <c r="M309" s="450" t="n"/>
      <c r="N309" s="450" t="n"/>
      <c r="O309" s="450" t="n"/>
      <c r="P309" s="450" t="n"/>
      <c r="Q309" s="450" t="n"/>
    </row>
    <row r="310" customFormat="1" s="45">
      <c r="A310" s="450" t="n"/>
      <c r="B310" s="450" t="n"/>
      <c r="C310" s="450" t="n"/>
      <c r="D310" s="450" t="n"/>
      <c r="E310" s="450" t="n"/>
      <c r="F310" s="450" t="n"/>
      <c r="G310" s="450" t="n"/>
      <c r="H310" s="450" t="n"/>
      <c r="I310" s="450" t="n"/>
      <c r="J310" s="83" t="n"/>
      <c r="K310" s="450" t="n"/>
      <c r="L310" s="450" t="n"/>
      <c r="M310" s="450" t="n"/>
      <c r="N310" s="450" t="n"/>
      <c r="O310" s="450" t="n"/>
      <c r="P310" s="450" t="n"/>
      <c r="Q310" s="450" t="n"/>
    </row>
    <row r="311" customFormat="1" s="45">
      <c r="A311" s="450" t="n"/>
      <c r="B311" s="450" t="n"/>
      <c r="C311" s="450" t="n"/>
      <c r="D311" s="450" t="n"/>
      <c r="E311" s="450" t="n"/>
      <c r="F311" s="450" t="n"/>
      <c r="G311" s="450" t="n"/>
      <c r="H311" s="450" t="n"/>
      <c r="I311" s="450" t="n"/>
      <c r="J311" s="83" t="n"/>
      <c r="K311" s="450" t="n"/>
      <c r="L311" s="450" t="n"/>
      <c r="M311" s="450" t="n"/>
      <c r="N311" s="450" t="n"/>
      <c r="O311" s="450" t="n"/>
      <c r="P311" s="450" t="n"/>
      <c r="Q311" s="450" t="n"/>
    </row>
    <row r="312" customFormat="1" s="45">
      <c r="A312" s="450" t="n"/>
      <c r="B312" s="450" t="n"/>
      <c r="C312" s="450" t="n"/>
      <c r="D312" s="450" t="n"/>
      <c r="E312" s="450" t="n"/>
      <c r="F312" s="450" t="n"/>
      <c r="G312" s="450" t="n"/>
      <c r="H312" s="450" t="n"/>
      <c r="I312" s="450" t="n"/>
      <c r="J312" s="83" t="n"/>
      <c r="K312" s="450" t="n"/>
      <c r="L312" s="450" t="n"/>
      <c r="M312" s="450" t="n"/>
      <c r="N312" s="450" t="n"/>
      <c r="O312" s="450" t="n"/>
      <c r="P312" s="450" t="n"/>
      <c r="Q312" s="450" t="n"/>
    </row>
    <row r="313" customFormat="1" s="45">
      <c r="A313" s="450" t="n"/>
      <c r="B313" s="450" t="n"/>
      <c r="C313" s="450" t="n"/>
      <c r="D313" s="450" t="n"/>
      <c r="E313" s="450" t="n"/>
      <c r="F313" s="450" t="n"/>
      <c r="G313" s="450" t="n"/>
      <c r="H313" s="450" t="n"/>
      <c r="I313" s="450" t="n"/>
      <c r="J313" s="83" t="n"/>
      <c r="K313" s="450" t="n"/>
      <c r="L313" s="450" t="n"/>
      <c r="M313" s="450" t="n"/>
      <c r="N313" s="450" t="n"/>
      <c r="O313" s="450" t="n"/>
      <c r="P313" s="450" t="n"/>
      <c r="Q313" s="450" t="n"/>
    </row>
    <row r="314" customFormat="1" s="45">
      <c r="A314" s="450" t="n"/>
      <c r="B314" s="450" t="n"/>
      <c r="C314" s="450" t="n"/>
      <c r="D314" s="450" t="n"/>
      <c r="E314" s="450" t="n"/>
      <c r="F314" s="450" t="n"/>
      <c r="G314" s="450" t="n"/>
      <c r="H314" s="450" t="n"/>
      <c r="I314" s="450" t="n"/>
      <c r="J314" s="83" t="n"/>
      <c r="K314" s="450" t="n"/>
      <c r="L314" s="450" t="n"/>
      <c r="M314" s="450" t="n"/>
      <c r="N314" s="450" t="n"/>
      <c r="O314" s="450" t="n"/>
      <c r="P314" s="450" t="n"/>
      <c r="Q314" s="450" t="n"/>
    </row>
    <row r="315" customFormat="1" s="45">
      <c r="A315" s="450" t="n"/>
      <c r="B315" s="450" t="n"/>
      <c r="C315" s="450" t="n"/>
      <c r="D315" s="450" t="n"/>
      <c r="E315" s="450" t="n"/>
      <c r="F315" s="450" t="n"/>
      <c r="G315" s="450" t="n"/>
      <c r="H315" s="450" t="n"/>
      <c r="I315" s="450" t="n"/>
      <c r="J315" s="83" t="n"/>
      <c r="K315" s="450" t="n"/>
      <c r="L315" s="450" t="n"/>
      <c r="M315" s="450" t="n"/>
      <c r="N315" s="450" t="n"/>
      <c r="O315" s="450" t="n"/>
      <c r="P315" s="450" t="n"/>
      <c r="Q315" s="450" t="n"/>
    </row>
    <row r="316" customFormat="1" s="45">
      <c r="A316" s="450" t="n"/>
      <c r="B316" s="450" t="n"/>
      <c r="C316" s="450" t="n"/>
      <c r="D316" s="450" t="n"/>
      <c r="E316" s="450" t="n"/>
      <c r="F316" s="450" t="n"/>
      <c r="G316" s="450" t="n"/>
      <c r="H316" s="450" t="n"/>
      <c r="I316" s="450" t="n"/>
      <c r="J316" s="83" t="n"/>
      <c r="K316" s="450" t="n"/>
      <c r="L316" s="450" t="n"/>
      <c r="M316" s="450" t="n"/>
      <c r="N316" s="450" t="n"/>
      <c r="O316" s="450" t="n"/>
      <c r="P316" s="450" t="n"/>
      <c r="Q316" s="450" t="n"/>
    </row>
    <row r="317" customFormat="1" s="45">
      <c r="A317" s="450" t="n"/>
      <c r="B317" s="450" t="n"/>
      <c r="C317" s="450" t="n"/>
      <c r="D317" s="450" t="n"/>
      <c r="E317" s="450" t="n"/>
      <c r="F317" s="450" t="n"/>
      <c r="G317" s="450" t="n"/>
      <c r="H317" s="450" t="n"/>
      <c r="I317" s="450" t="n"/>
      <c r="J317" s="83" t="n"/>
      <c r="K317" s="450" t="n"/>
      <c r="L317" s="450" t="n"/>
      <c r="M317" s="450" t="n"/>
      <c r="N317" s="450" t="n"/>
      <c r="O317" s="450" t="n"/>
      <c r="P317" s="450" t="n"/>
      <c r="Q317" s="450" t="n"/>
    </row>
    <row r="318" customFormat="1" s="45">
      <c r="A318" s="450" t="n"/>
      <c r="B318" s="450" t="n"/>
      <c r="C318" s="450" t="n"/>
      <c r="D318" s="450" t="n"/>
      <c r="E318" s="450" t="n"/>
      <c r="F318" s="450" t="n"/>
      <c r="G318" s="450" t="n"/>
      <c r="H318" s="450" t="n"/>
      <c r="I318" s="450" t="n"/>
      <c r="J318" s="83" t="n"/>
      <c r="K318" s="450" t="n"/>
      <c r="L318" s="450" t="n"/>
      <c r="M318" s="450" t="n"/>
      <c r="N318" s="450" t="n"/>
      <c r="O318" s="450" t="n"/>
      <c r="P318" s="450" t="n"/>
      <c r="Q318" s="450" t="n"/>
    </row>
    <row r="319" customFormat="1" s="45">
      <c r="A319" s="450" t="n"/>
      <c r="B319" s="450" t="n"/>
      <c r="C319" s="450" t="n"/>
      <c r="D319" s="450" t="n"/>
      <c r="E319" s="450" t="n"/>
      <c r="F319" s="450" t="n"/>
      <c r="G319" s="450" t="n"/>
      <c r="H319" s="450" t="n"/>
      <c r="I319" s="450" t="n"/>
      <c r="J319" s="83" t="n"/>
      <c r="K319" s="450" t="n"/>
      <c r="L319" s="450" t="n"/>
      <c r="M319" s="450" t="n"/>
      <c r="N319" s="450" t="n"/>
      <c r="O319" s="450" t="n"/>
      <c r="P319" s="450" t="n"/>
      <c r="Q319" s="450" t="n"/>
    </row>
    <row r="320" customFormat="1" s="45">
      <c r="A320" s="450" t="n"/>
      <c r="B320" s="450" t="n"/>
      <c r="C320" s="450" t="n"/>
      <c r="D320" s="450" t="n"/>
      <c r="E320" s="450" t="n"/>
      <c r="F320" s="450" t="n"/>
      <c r="G320" s="450" t="n"/>
      <c r="H320" s="450" t="n"/>
      <c r="I320" s="450" t="n"/>
      <c r="J320" s="83" t="n"/>
      <c r="K320" s="450" t="n"/>
      <c r="L320" s="450" t="n"/>
      <c r="M320" s="450" t="n"/>
      <c r="N320" s="450" t="n"/>
      <c r="O320" s="450" t="n"/>
      <c r="P320" s="450" t="n"/>
      <c r="Q320" s="450" t="n"/>
    </row>
    <row r="321" customFormat="1" s="45">
      <c r="A321" s="450" t="n"/>
      <c r="B321" s="450" t="n"/>
      <c r="C321" s="450" t="n"/>
      <c r="D321" s="450" t="n"/>
      <c r="E321" s="450" t="n"/>
      <c r="F321" s="450" t="n"/>
      <c r="G321" s="450" t="n"/>
      <c r="H321" s="450" t="n"/>
      <c r="I321" s="450" t="n"/>
      <c r="J321" s="83" t="n"/>
      <c r="K321" s="450" t="n"/>
      <c r="L321" s="450" t="n"/>
      <c r="M321" s="450" t="n"/>
      <c r="N321" s="450" t="n"/>
      <c r="O321" s="450" t="n"/>
      <c r="P321" s="450" t="n"/>
      <c r="Q321" s="450" t="n"/>
    </row>
    <row r="322" customFormat="1" s="45">
      <c r="A322" s="450" t="n"/>
      <c r="B322" s="450" t="n"/>
      <c r="C322" s="450" t="n"/>
      <c r="D322" s="450" t="n"/>
      <c r="E322" s="450" t="n"/>
      <c r="F322" s="450" t="n"/>
      <c r="G322" s="450" t="n"/>
      <c r="H322" s="450" t="n"/>
      <c r="I322" s="450" t="n"/>
      <c r="J322" s="83" t="n"/>
      <c r="K322" s="450" t="n"/>
      <c r="L322" s="450" t="n"/>
      <c r="M322" s="450" t="n"/>
      <c r="N322" s="450" t="n"/>
      <c r="O322" s="450" t="n"/>
      <c r="P322" s="450" t="n"/>
      <c r="Q322" s="450" t="n"/>
    </row>
    <row r="323" customFormat="1" s="45">
      <c r="A323" s="450" t="n"/>
      <c r="B323" s="450" t="n"/>
      <c r="C323" s="450" t="n"/>
      <c r="D323" s="450" t="n"/>
      <c r="E323" s="450" t="n"/>
      <c r="F323" s="450" t="n"/>
      <c r="G323" s="450" t="n"/>
      <c r="H323" s="450" t="n"/>
      <c r="I323" s="450" t="n"/>
      <c r="J323" s="83" t="n"/>
      <c r="K323" s="450" t="n"/>
      <c r="L323" s="450" t="n"/>
      <c r="M323" s="450" t="n"/>
      <c r="N323" s="450" t="n"/>
      <c r="O323" s="450" t="n"/>
      <c r="P323" s="450" t="n"/>
      <c r="Q323" s="450" t="n"/>
    </row>
    <row r="324" customFormat="1" s="45">
      <c r="A324" s="450" t="n"/>
      <c r="B324" s="450" t="n"/>
      <c r="C324" s="450" t="n"/>
      <c r="D324" s="450" t="n"/>
      <c r="E324" s="450" t="n"/>
      <c r="F324" s="450" t="n"/>
      <c r="G324" s="450" t="n"/>
      <c r="H324" s="450" t="n"/>
      <c r="I324" s="450" t="n"/>
      <c r="J324" s="83" t="n"/>
      <c r="K324" s="450" t="n"/>
      <c r="L324" s="450" t="n"/>
      <c r="M324" s="450" t="n"/>
      <c r="N324" s="450" t="n"/>
      <c r="O324" s="450" t="n"/>
      <c r="P324" s="450" t="n"/>
      <c r="Q324" s="450" t="n"/>
    </row>
    <row r="325" customFormat="1" s="45">
      <c r="A325" s="450" t="n"/>
      <c r="B325" s="450" t="n"/>
      <c r="C325" s="450" t="n"/>
      <c r="D325" s="450" t="n"/>
      <c r="E325" s="450" t="n"/>
      <c r="F325" s="450" t="n"/>
      <c r="G325" s="450" t="n"/>
      <c r="H325" s="450" t="n"/>
      <c r="I325" s="450" t="n"/>
      <c r="J325" s="83" t="n"/>
      <c r="K325" s="450" t="n"/>
      <c r="L325" s="450" t="n"/>
      <c r="M325" s="450" t="n"/>
      <c r="N325" s="450" t="n"/>
      <c r="O325" s="450" t="n"/>
      <c r="P325" s="450" t="n"/>
      <c r="Q325" s="450" t="n"/>
    </row>
    <row r="326" customFormat="1" s="45">
      <c r="A326" s="450" t="n"/>
      <c r="B326" s="450" t="n"/>
      <c r="C326" s="450" t="n"/>
      <c r="D326" s="450" t="n"/>
      <c r="E326" s="450" t="n"/>
      <c r="F326" s="450" t="n"/>
      <c r="G326" s="450" t="n"/>
      <c r="H326" s="450" t="n"/>
      <c r="I326" s="450" t="n"/>
      <c r="J326" s="83" t="n"/>
      <c r="K326" s="450" t="n"/>
      <c r="L326" s="450" t="n"/>
      <c r="M326" s="450" t="n"/>
      <c r="N326" s="450" t="n"/>
      <c r="O326" s="450" t="n"/>
      <c r="P326" s="450" t="n"/>
      <c r="Q326" s="450" t="n"/>
    </row>
    <row r="327" customFormat="1" s="45">
      <c r="A327" s="450" t="n"/>
      <c r="B327" s="450" t="n"/>
      <c r="C327" s="450" t="n"/>
      <c r="D327" s="450" t="n"/>
      <c r="E327" s="450" t="n"/>
      <c r="F327" s="450" t="n"/>
      <c r="G327" s="450" t="n"/>
      <c r="H327" s="450" t="n"/>
      <c r="I327" s="450" t="n"/>
      <c r="J327" s="83" t="n"/>
      <c r="K327" s="450" t="n"/>
      <c r="L327" s="450" t="n"/>
      <c r="M327" s="450" t="n"/>
      <c r="N327" s="450" t="n"/>
      <c r="O327" s="450" t="n"/>
      <c r="P327" s="450" t="n"/>
      <c r="Q327" s="450" t="n"/>
    </row>
    <row r="328" customFormat="1" s="45">
      <c r="A328" s="450" t="n"/>
      <c r="B328" s="450" t="n"/>
      <c r="C328" s="450" t="n"/>
      <c r="D328" s="450" t="n"/>
      <c r="E328" s="450" t="n"/>
      <c r="F328" s="450" t="n"/>
      <c r="G328" s="450" t="n"/>
      <c r="H328" s="450" t="n"/>
      <c r="I328" s="450" t="n"/>
      <c r="J328" s="83" t="n"/>
      <c r="K328" s="450" t="n"/>
      <c r="L328" s="450" t="n"/>
      <c r="M328" s="450" t="n"/>
      <c r="N328" s="450" t="n"/>
      <c r="O328" s="450" t="n"/>
      <c r="P328" s="450" t="n"/>
      <c r="Q328" s="450" t="n"/>
    </row>
    <row r="329" customFormat="1" s="45">
      <c r="A329" s="450" t="n"/>
      <c r="B329" s="450" t="n"/>
      <c r="C329" s="450" t="n"/>
      <c r="D329" s="450" t="n"/>
      <c r="E329" s="450" t="n"/>
      <c r="F329" s="450" t="n"/>
      <c r="G329" s="450" t="n"/>
      <c r="H329" s="450" t="n"/>
      <c r="I329" s="450" t="n"/>
      <c r="J329" s="83" t="n"/>
      <c r="K329" s="450" t="n"/>
      <c r="L329" s="450" t="n"/>
      <c r="M329" s="450" t="n"/>
      <c r="N329" s="450" t="n"/>
      <c r="O329" s="450" t="n"/>
      <c r="P329" s="450" t="n"/>
      <c r="Q329" s="450" t="n"/>
    </row>
    <row r="330" customFormat="1" s="45">
      <c r="A330" s="450" t="n"/>
      <c r="B330" s="450" t="n"/>
      <c r="C330" s="450" t="n"/>
      <c r="D330" s="450" t="n"/>
      <c r="E330" s="450" t="n"/>
      <c r="F330" s="450" t="n"/>
      <c r="G330" s="450" t="n"/>
      <c r="H330" s="450" t="n"/>
      <c r="I330" s="450" t="n"/>
      <c r="J330" s="83" t="n"/>
      <c r="K330" s="450" t="n"/>
      <c r="L330" s="450" t="n"/>
      <c r="M330" s="450" t="n"/>
      <c r="N330" s="450" t="n"/>
      <c r="O330" s="450" t="n"/>
      <c r="P330" s="450" t="n"/>
      <c r="Q330" s="450" t="n"/>
    </row>
    <row r="331" customFormat="1" s="45">
      <c r="A331" s="450" t="n"/>
      <c r="B331" s="450" t="n"/>
      <c r="C331" s="450" t="n"/>
      <c r="D331" s="450" t="n"/>
      <c r="E331" s="450" t="n"/>
      <c r="F331" s="450" t="n"/>
      <c r="G331" s="450" t="n"/>
      <c r="H331" s="450" t="n"/>
      <c r="I331" s="450" t="n"/>
      <c r="J331" s="83" t="n"/>
      <c r="K331" s="450" t="n"/>
      <c r="L331" s="450" t="n"/>
      <c r="M331" s="450" t="n"/>
      <c r="N331" s="450" t="n"/>
      <c r="O331" s="450" t="n"/>
      <c r="P331" s="450" t="n"/>
      <c r="Q331" s="450" t="n"/>
    </row>
    <row r="332" customFormat="1" s="45">
      <c r="A332" s="450" t="n"/>
      <c r="B332" s="450" t="n"/>
      <c r="C332" s="450" t="n"/>
      <c r="D332" s="450" t="n"/>
      <c r="E332" s="450" t="n"/>
      <c r="F332" s="450" t="n"/>
      <c r="G332" s="450" t="n"/>
      <c r="H332" s="450" t="n"/>
      <c r="I332" s="450" t="n"/>
      <c r="J332" s="83" t="n"/>
      <c r="K332" s="450" t="n"/>
      <c r="L332" s="450" t="n"/>
      <c r="M332" s="450" t="n"/>
      <c r="N332" s="450" t="n"/>
      <c r="O332" s="450" t="n"/>
      <c r="P332" s="450" t="n"/>
      <c r="Q332" s="450" t="n"/>
    </row>
    <row r="333" customFormat="1" s="45">
      <c r="A333" s="450" t="n"/>
      <c r="B333" s="450" t="n"/>
      <c r="C333" s="450" t="n"/>
      <c r="D333" s="450" t="n"/>
      <c r="E333" s="450" t="n"/>
      <c r="F333" s="450" t="n"/>
      <c r="G333" s="450" t="n"/>
      <c r="H333" s="450" t="n"/>
      <c r="I333" s="450" t="n"/>
      <c r="J333" s="83" t="n"/>
      <c r="K333" s="450" t="n"/>
      <c r="L333" s="450" t="n"/>
      <c r="M333" s="450" t="n"/>
      <c r="N333" s="450" t="n"/>
      <c r="O333" s="450" t="n"/>
      <c r="P333" s="450" t="n"/>
      <c r="Q333" s="450" t="n"/>
    </row>
    <row r="334" customFormat="1" s="45">
      <c r="A334" s="450" t="n"/>
      <c r="B334" s="450" t="n"/>
      <c r="C334" s="450" t="n"/>
      <c r="D334" s="450" t="n"/>
      <c r="E334" s="450" t="n"/>
      <c r="F334" s="450" t="n"/>
      <c r="G334" s="450" t="n"/>
      <c r="H334" s="450" t="n"/>
      <c r="I334" s="450" t="n"/>
      <c r="J334" s="83" t="n"/>
      <c r="K334" s="450" t="n"/>
      <c r="L334" s="450" t="n"/>
      <c r="M334" s="450" t="n"/>
      <c r="N334" s="450" t="n"/>
      <c r="O334" s="450" t="n"/>
      <c r="P334" s="450" t="n"/>
      <c r="Q334" s="450" t="n"/>
    </row>
    <row r="335" customFormat="1" s="45">
      <c r="A335" s="450" t="n"/>
      <c r="B335" s="450" t="n"/>
      <c r="C335" s="450" t="n"/>
      <c r="D335" s="450" t="n"/>
      <c r="E335" s="450" t="n"/>
      <c r="F335" s="450" t="n"/>
      <c r="G335" s="450" t="n"/>
      <c r="H335" s="450" t="n"/>
      <c r="I335" s="450" t="n"/>
      <c r="J335" s="83" t="n"/>
      <c r="K335" s="450" t="n"/>
      <c r="L335" s="450" t="n"/>
      <c r="M335" s="450" t="n"/>
      <c r="N335" s="450" t="n"/>
      <c r="O335" s="450" t="n"/>
      <c r="P335" s="450" t="n"/>
      <c r="Q335" s="450" t="n"/>
    </row>
    <row r="336" customFormat="1" s="45">
      <c r="A336" s="450" t="n"/>
      <c r="B336" s="450" t="n"/>
      <c r="C336" s="450" t="n"/>
      <c r="D336" s="450" t="n"/>
      <c r="E336" s="450" t="n"/>
      <c r="F336" s="450" t="n"/>
      <c r="G336" s="450" t="n"/>
      <c r="H336" s="450" t="n"/>
      <c r="I336" s="450" t="n"/>
      <c r="J336" s="83" t="n"/>
      <c r="K336" s="450" t="n"/>
      <c r="L336" s="450" t="n"/>
      <c r="M336" s="450" t="n"/>
      <c r="N336" s="450" t="n"/>
      <c r="O336" s="450" t="n"/>
      <c r="P336" s="450" t="n"/>
      <c r="Q336" s="450" t="n"/>
    </row>
    <row r="337" customFormat="1" s="45">
      <c r="A337" s="450" t="n"/>
      <c r="B337" s="450" t="n"/>
      <c r="C337" s="450" t="n"/>
      <c r="D337" s="450" t="n"/>
      <c r="E337" s="450" t="n"/>
      <c r="F337" s="450" t="n"/>
      <c r="G337" s="450" t="n"/>
      <c r="H337" s="450" t="n"/>
      <c r="I337" s="450" t="n"/>
      <c r="J337" s="83" t="n"/>
      <c r="K337" s="450" t="n"/>
      <c r="L337" s="450" t="n"/>
      <c r="M337" s="450" t="n"/>
      <c r="N337" s="450" t="n"/>
      <c r="O337" s="450" t="n"/>
      <c r="P337" s="450" t="n"/>
      <c r="Q337" s="450" t="n"/>
    </row>
    <row r="338" customFormat="1" s="45">
      <c r="A338" s="450" t="n"/>
      <c r="B338" s="450" t="n"/>
      <c r="C338" s="450" t="n"/>
      <c r="D338" s="450" t="n"/>
      <c r="E338" s="450" t="n"/>
      <c r="F338" s="450" t="n"/>
      <c r="G338" s="450" t="n"/>
      <c r="H338" s="450" t="n"/>
      <c r="I338" s="450" t="n"/>
      <c r="J338" s="83" t="n"/>
      <c r="K338" s="450" t="n"/>
      <c r="L338" s="450" t="n"/>
      <c r="M338" s="450" t="n"/>
      <c r="N338" s="450" t="n"/>
      <c r="O338" s="450" t="n"/>
      <c r="P338" s="450" t="n"/>
      <c r="Q338" s="450" t="n"/>
    </row>
    <row r="339" customFormat="1" s="45">
      <c r="A339" s="450" t="n"/>
      <c r="B339" s="450" t="n"/>
      <c r="C339" s="450" t="n"/>
      <c r="D339" s="450" t="n"/>
      <c r="E339" s="450" t="n"/>
      <c r="F339" s="450" t="n"/>
      <c r="G339" s="450" t="n"/>
      <c r="H339" s="450" t="n"/>
      <c r="I339" s="450" t="n"/>
      <c r="J339" s="83" t="n"/>
      <c r="K339" s="450" t="n"/>
      <c r="L339" s="450" t="n"/>
      <c r="M339" s="450" t="n"/>
      <c r="N339" s="450" t="n"/>
      <c r="O339" s="450" t="n"/>
      <c r="P339" s="450" t="n"/>
      <c r="Q339" s="450" t="n"/>
    </row>
    <row r="340" customFormat="1" s="45">
      <c r="A340" s="450" t="n"/>
      <c r="B340" s="450" t="n"/>
      <c r="C340" s="450" t="n"/>
      <c r="D340" s="450" t="n"/>
      <c r="E340" s="450" t="n"/>
      <c r="F340" s="450" t="n"/>
      <c r="G340" s="450" t="n"/>
      <c r="H340" s="450" t="n"/>
      <c r="I340" s="450" t="n"/>
      <c r="J340" s="83" t="n"/>
      <c r="K340" s="450" t="n"/>
      <c r="L340" s="450" t="n"/>
      <c r="M340" s="450" t="n"/>
      <c r="N340" s="450" t="n"/>
      <c r="O340" s="450" t="n"/>
      <c r="P340" s="450" t="n"/>
      <c r="Q340" s="450" t="n"/>
    </row>
    <row r="341" customFormat="1" s="45">
      <c r="A341" s="450" t="n"/>
      <c r="B341" s="450" t="n"/>
      <c r="C341" s="450" t="n"/>
      <c r="D341" s="450" t="n"/>
      <c r="E341" s="450" t="n"/>
      <c r="F341" s="450" t="n"/>
      <c r="G341" s="450" t="n"/>
      <c r="H341" s="450" t="n"/>
      <c r="I341" s="450" t="n"/>
      <c r="J341" s="83" t="n"/>
      <c r="K341" s="450" t="n"/>
      <c r="L341" s="450" t="n"/>
      <c r="M341" s="450" t="n"/>
      <c r="N341" s="450" t="n"/>
      <c r="O341" s="450" t="n"/>
      <c r="P341" s="450" t="n"/>
      <c r="Q341" s="450" t="n"/>
    </row>
    <row r="342" customFormat="1" s="45">
      <c r="A342" s="450" t="n"/>
      <c r="B342" s="450" t="n"/>
      <c r="C342" s="450" t="n"/>
      <c r="D342" s="450" t="n"/>
      <c r="E342" s="450" t="n"/>
      <c r="F342" s="450" t="n"/>
      <c r="G342" s="450" t="n"/>
      <c r="H342" s="450" t="n"/>
      <c r="I342" s="450" t="n"/>
      <c r="J342" s="83" t="n"/>
      <c r="K342" s="450" t="n"/>
      <c r="L342" s="450" t="n"/>
      <c r="M342" s="450" t="n"/>
      <c r="N342" s="450" t="n"/>
      <c r="O342" s="450" t="n"/>
      <c r="P342" s="450" t="n"/>
      <c r="Q342" s="450" t="n"/>
    </row>
    <row r="343" customFormat="1" s="45">
      <c r="A343" s="450" t="n"/>
      <c r="B343" s="450" t="n"/>
      <c r="C343" s="450" t="n"/>
      <c r="D343" s="450" t="n"/>
      <c r="E343" s="450" t="n"/>
      <c r="F343" s="450" t="n"/>
      <c r="G343" s="450" t="n"/>
      <c r="H343" s="450" t="n"/>
      <c r="I343" s="450" t="n"/>
      <c r="J343" s="83" t="n"/>
      <c r="K343" s="450" t="n"/>
      <c r="L343" s="450" t="n"/>
      <c r="M343" s="450" t="n"/>
      <c r="N343" s="450" t="n"/>
      <c r="O343" s="450" t="n"/>
      <c r="P343" s="450" t="n"/>
      <c r="Q343" s="450" t="n"/>
    </row>
    <row r="344" customFormat="1" s="45">
      <c r="A344" s="450" t="n"/>
      <c r="B344" s="450" t="n"/>
      <c r="C344" s="450" t="n"/>
      <c r="D344" s="450" t="n"/>
      <c r="E344" s="450" t="n"/>
      <c r="F344" s="450" t="n"/>
      <c r="G344" s="450" t="n"/>
      <c r="H344" s="450" t="n"/>
      <c r="I344" s="450" t="n"/>
      <c r="J344" s="83" t="n"/>
      <c r="K344" s="450" t="n"/>
      <c r="L344" s="450" t="n"/>
      <c r="M344" s="450" t="n"/>
      <c r="N344" s="450" t="n"/>
      <c r="O344" s="450" t="n"/>
      <c r="P344" s="450" t="n"/>
      <c r="Q344" s="450" t="n"/>
    </row>
    <row r="345" customFormat="1" s="45">
      <c r="A345" s="450" t="n"/>
      <c r="B345" s="450" t="n"/>
      <c r="C345" s="450" t="n"/>
      <c r="D345" s="450" t="n"/>
      <c r="E345" s="450" t="n"/>
      <c r="F345" s="450" t="n"/>
      <c r="G345" s="450" t="n"/>
      <c r="H345" s="450" t="n"/>
      <c r="I345" s="450" t="n"/>
      <c r="J345" s="83" t="n"/>
      <c r="K345" s="450" t="n"/>
      <c r="L345" s="450" t="n"/>
      <c r="M345" s="450" t="n"/>
      <c r="N345" s="450" t="n"/>
      <c r="O345" s="450" t="n"/>
      <c r="P345" s="450" t="n"/>
      <c r="Q345" s="450" t="n"/>
    </row>
    <row r="346" customFormat="1" s="45">
      <c r="A346" s="450" t="n"/>
      <c r="B346" s="450" t="n"/>
      <c r="C346" s="450" t="n"/>
      <c r="D346" s="450" t="n"/>
      <c r="E346" s="450" t="n"/>
      <c r="F346" s="450" t="n"/>
      <c r="G346" s="450" t="n"/>
      <c r="H346" s="450" t="n"/>
      <c r="I346" s="450" t="n"/>
      <c r="J346" s="83" t="n"/>
      <c r="K346" s="450" t="n"/>
      <c r="L346" s="450" t="n"/>
      <c r="M346" s="450" t="n"/>
      <c r="N346" s="450" t="n"/>
      <c r="O346" s="450" t="n"/>
      <c r="P346" s="450" t="n"/>
      <c r="Q346" s="450" t="n"/>
    </row>
    <row r="347" customFormat="1" s="45">
      <c r="A347" s="450" t="n"/>
      <c r="B347" s="450" t="n"/>
      <c r="C347" s="450" t="n"/>
      <c r="D347" s="450" t="n"/>
      <c r="E347" s="450" t="n"/>
      <c r="F347" s="450" t="n"/>
      <c r="G347" s="450" t="n"/>
      <c r="H347" s="450" t="n"/>
      <c r="I347" s="450" t="n"/>
      <c r="J347" s="83" t="n"/>
      <c r="K347" s="450" t="n"/>
      <c r="L347" s="450" t="n"/>
      <c r="M347" s="450" t="n"/>
      <c r="N347" s="450" t="n"/>
      <c r="O347" s="450" t="n"/>
      <c r="P347" s="450" t="n"/>
      <c r="Q347" s="450" t="n"/>
    </row>
    <row r="348" customFormat="1" s="45">
      <c r="A348" s="450" t="n"/>
      <c r="B348" s="450" t="n"/>
      <c r="C348" s="450" t="n"/>
      <c r="D348" s="450" t="n"/>
      <c r="E348" s="450" t="n"/>
      <c r="F348" s="450" t="n"/>
      <c r="G348" s="450" t="n"/>
      <c r="H348" s="450" t="n"/>
      <c r="I348" s="450" t="n"/>
      <c r="J348" s="83" t="n"/>
      <c r="K348" s="450" t="n"/>
      <c r="L348" s="450" t="n"/>
      <c r="M348" s="450" t="n"/>
      <c r="N348" s="450" t="n"/>
      <c r="O348" s="450" t="n"/>
      <c r="P348" s="450" t="n"/>
      <c r="Q348" s="450" t="n"/>
    </row>
    <row r="349" customFormat="1" s="45">
      <c r="A349" s="450" t="n"/>
      <c r="B349" s="450" t="n"/>
      <c r="C349" s="450" t="n"/>
      <c r="D349" s="450" t="n"/>
      <c r="E349" s="450" t="n"/>
      <c r="F349" s="450" t="n"/>
      <c r="G349" s="450" t="n"/>
      <c r="H349" s="450" t="n"/>
      <c r="I349" s="450" t="n"/>
      <c r="J349" s="83" t="n"/>
      <c r="K349" s="450" t="n"/>
      <c r="L349" s="450" t="n"/>
      <c r="M349" s="450" t="n"/>
      <c r="N349" s="450" t="n"/>
      <c r="O349" s="450" t="n"/>
      <c r="P349" s="450" t="n"/>
      <c r="Q349" s="450" t="n"/>
    </row>
    <row r="350" customFormat="1" s="45">
      <c r="A350" s="450" t="n"/>
      <c r="B350" s="450" t="n"/>
      <c r="C350" s="450" t="n"/>
      <c r="D350" s="450" t="n"/>
      <c r="E350" s="450" t="n"/>
      <c r="F350" s="450" t="n"/>
      <c r="G350" s="450" t="n"/>
      <c r="H350" s="450" t="n"/>
      <c r="I350" s="450" t="n"/>
      <c r="J350" s="83" t="n"/>
      <c r="K350" s="450" t="n"/>
      <c r="L350" s="450" t="n"/>
      <c r="M350" s="450" t="n"/>
      <c r="N350" s="450" t="n"/>
      <c r="O350" s="450" t="n"/>
      <c r="P350" s="450" t="n"/>
      <c r="Q350" s="450" t="n"/>
    </row>
    <row r="351" customFormat="1" s="45">
      <c r="A351" s="450" t="n"/>
      <c r="B351" s="450" t="n"/>
      <c r="C351" s="450" t="n"/>
      <c r="D351" s="450" t="n"/>
      <c r="E351" s="450" t="n"/>
      <c r="F351" s="450" t="n"/>
      <c r="G351" s="450" t="n"/>
      <c r="H351" s="450" t="n"/>
      <c r="I351" s="450" t="n"/>
      <c r="J351" s="83" t="n"/>
      <c r="K351" s="450" t="n"/>
      <c r="L351" s="450" t="n"/>
      <c r="M351" s="450" t="n"/>
      <c r="N351" s="450" t="n"/>
      <c r="O351" s="450" t="n"/>
      <c r="P351" s="450" t="n"/>
      <c r="Q351" s="450" t="n"/>
    </row>
    <row r="352" customFormat="1" s="45">
      <c r="A352" s="450" t="n"/>
      <c r="B352" s="450" t="n"/>
      <c r="C352" s="450" t="n"/>
      <c r="D352" s="450" t="n"/>
      <c r="E352" s="450" t="n"/>
      <c r="F352" s="450" t="n"/>
      <c r="G352" s="450" t="n"/>
      <c r="H352" s="450" t="n"/>
      <c r="I352" s="450" t="n"/>
      <c r="J352" s="83" t="n"/>
      <c r="K352" s="450" t="n"/>
      <c r="L352" s="450" t="n"/>
      <c r="M352" s="450" t="n"/>
      <c r="N352" s="450" t="n"/>
      <c r="O352" s="450" t="n"/>
      <c r="P352" s="450" t="n"/>
      <c r="Q352" s="450" t="n"/>
    </row>
    <row r="353" customFormat="1" s="45">
      <c r="A353" s="450" t="n"/>
      <c r="B353" s="450" t="n"/>
      <c r="C353" s="450" t="n"/>
      <c r="D353" s="450" t="n"/>
      <c r="E353" s="450" t="n"/>
      <c r="F353" s="450" t="n"/>
      <c r="G353" s="450" t="n"/>
      <c r="H353" s="450" t="n"/>
      <c r="I353" s="450" t="n"/>
      <c r="J353" s="83" t="n"/>
      <c r="K353" s="450" t="n"/>
      <c r="L353" s="450" t="n"/>
      <c r="M353" s="450" t="n"/>
      <c r="N353" s="450" t="n"/>
      <c r="O353" s="450" t="n"/>
      <c r="P353" s="450" t="n"/>
      <c r="Q353" s="450" t="n"/>
    </row>
    <row r="354" customFormat="1" s="45">
      <c r="A354" s="450" t="n"/>
      <c r="B354" s="450" t="n"/>
      <c r="C354" s="450" t="n"/>
      <c r="D354" s="450" t="n"/>
      <c r="E354" s="450" t="n"/>
      <c r="F354" s="450" t="n"/>
      <c r="G354" s="450" t="n"/>
      <c r="H354" s="450" t="n"/>
      <c r="I354" s="450" t="n"/>
      <c r="J354" s="83" t="n"/>
      <c r="K354" s="450" t="n"/>
      <c r="L354" s="450" t="n"/>
      <c r="M354" s="450" t="n"/>
      <c r="N354" s="450" t="n"/>
      <c r="O354" s="450" t="n"/>
      <c r="P354" s="450" t="n"/>
      <c r="Q354" s="450" t="n"/>
    </row>
    <row r="355" customFormat="1" s="45">
      <c r="A355" s="450" t="n"/>
      <c r="B355" s="450" t="n"/>
      <c r="C355" s="450" t="n"/>
      <c r="D355" s="450" t="n"/>
      <c r="E355" s="450" t="n"/>
      <c r="F355" s="450" t="n"/>
      <c r="G355" s="450" t="n"/>
      <c r="H355" s="450" t="n"/>
      <c r="I355" s="450" t="n"/>
      <c r="J355" s="83" t="n"/>
      <c r="K355" s="450" t="n"/>
      <c r="L355" s="450" t="n"/>
      <c r="M355" s="450" t="n"/>
      <c r="N355" s="450" t="n"/>
      <c r="O355" s="450" t="n"/>
      <c r="P355" s="450" t="n"/>
      <c r="Q355" s="450" t="n"/>
    </row>
    <row r="356" customFormat="1" s="45">
      <c r="A356" s="450" t="n"/>
      <c r="B356" s="450" t="n"/>
      <c r="C356" s="450" t="n"/>
      <c r="D356" s="450" t="n"/>
      <c r="E356" s="450" t="n"/>
      <c r="F356" s="450" t="n"/>
      <c r="G356" s="450" t="n"/>
      <c r="H356" s="450" t="n"/>
      <c r="I356" s="450" t="n"/>
      <c r="J356" s="83" t="n"/>
      <c r="K356" s="450" t="n"/>
      <c r="L356" s="450" t="n"/>
      <c r="M356" s="450" t="n"/>
      <c r="N356" s="450" t="n"/>
      <c r="O356" s="450" t="n"/>
      <c r="P356" s="450" t="n"/>
      <c r="Q356" s="450" t="n"/>
    </row>
    <row r="357" customFormat="1" s="45">
      <c r="A357" s="450" t="n"/>
      <c r="B357" s="450" t="n"/>
      <c r="C357" s="450" t="n"/>
      <c r="D357" s="450" t="n"/>
      <c r="E357" s="450" t="n"/>
      <c r="F357" s="450" t="n"/>
      <c r="G357" s="450" t="n"/>
      <c r="H357" s="450" t="n"/>
      <c r="I357" s="450" t="n"/>
      <c r="J357" s="83" t="n"/>
      <c r="K357" s="450" t="n"/>
      <c r="L357" s="450" t="n"/>
      <c r="M357" s="450" t="n"/>
      <c r="N357" s="450" t="n"/>
      <c r="O357" s="450" t="n"/>
      <c r="P357" s="450" t="n"/>
      <c r="Q357" s="450" t="n"/>
    </row>
    <row r="358" customFormat="1" s="45">
      <c r="A358" s="450" t="n"/>
      <c r="B358" s="450" t="n"/>
      <c r="C358" s="450" t="n"/>
      <c r="D358" s="450" t="n"/>
      <c r="E358" s="450" t="n"/>
      <c r="F358" s="450" t="n"/>
      <c r="G358" s="450" t="n"/>
      <c r="H358" s="450" t="n"/>
      <c r="I358" s="450" t="n"/>
      <c r="J358" s="83" t="n"/>
      <c r="K358" s="450" t="n"/>
      <c r="L358" s="450" t="n"/>
      <c r="M358" s="450" t="n"/>
      <c r="N358" s="450" t="n"/>
      <c r="O358" s="450" t="n"/>
      <c r="P358" s="450" t="n"/>
      <c r="Q358" s="450" t="n"/>
    </row>
    <row r="359" customFormat="1" s="45">
      <c r="A359" s="450" t="n"/>
      <c r="B359" s="450" t="n"/>
      <c r="C359" s="450" t="n"/>
      <c r="D359" s="450" t="n"/>
      <c r="E359" s="450" t="n"/>
      <c r="F359" s="450" t="n"/>
      <c r="G359" s="450" t="n"/>
      <c r="H359" s="450" t="n"/>
      <c r="I359" s="450" t="n"/>
      <c r="J359" s="83" t="n"/>
      <c r="K359" s="450" t="n"/>
      <c r="L359" s="450" t="n"/>
      <c r="M359" s="450" t="n"/>
      <c r="N359" s="450" t="n"/>
      <c r="O359" s="450" t="n"/>
      <c r="P359" s="450" t="n"/>
      <c r="Q359" s="450" t="n"/>
    </row>
    <row r="360" customFormat="1" s="45">
      <c r="A360" s="450" t="n"/>
      <c r="B360" s="450" t="n"/>
      <c r="C360" s="450" t="n"/>
      <c r="D360" s="450" t="n"/>
      <c r="E360" s="450" t="n"/>
      <c r="F360" s="450" t="n"/>
      <c r="G360" s="450" t="n"/>
      <c r="H360" s="450" t="n"/>
      <c r="I360" s="450" t="n"/>
      <c r="J360" s="83" t="n"/>
      <c r="K360" s="450" t="n"/>
      <c r="L360" s="450" t="n"/>
      <c r="M360" s="450" t="n"/>
      <c r="N360" s="450" t="n"/>
      <c r="O360" s="450" t="n"/>
      <c r="P360" s="450" t="n"/>
      <c r="Q360" s="450" t="n"/>
    </row>
    <row r="361" customFormat="1" s="45">
      <c r="A361" s="450" t="n"/>
      <c r="B361" s="450" t="n"/>
      <c r="C361" s="450" t="n"/>
      <c r="D361" s="450" t="n"/>
      <c r="E361" s="450" t="n"/>
      <c r="F361" s="450" t="n"/>
      <c r="G361" s="450" t="n"/>
      <c r="H361" s="450" t="n"/>
      <c r="I361" s="450" t="n"/>
      <c r="J361" s="83" t="n"/>
      <c r="K361" s="450" t="n"/>
      <c r="L361" s="450" t="n"/>
      <c r="M361" s="450" t="n"/>
      <c r="N361" s="450" t="n"/>
      <c r="O361" s="450" t="n"/>
      <c r="P361" s="450" t="n"/>
      <c r="Q361" s="450" t="n"/>
    </row>
    <row r="362" customFormat="1" s="45">
      <c r="A362" s="450" t="n"/>
      <c r="B362" s="450" t="n"/>
      <c r="C362" s="450" t="n"/>
      <c r="D362" s="450" t="n"/>
      <c r="E362" s="450" t="n"/>
      <c r="F362" s="450" t="n"/>
      <c r="G362" s="450" t="n"/>
      <c r="H362" s="450" t="n"/>
      <c r="I362" s="450" t="n"/>
      <c r="J362" s="83" t="n"/>
      <c r="K362" s="450" t="n"/>
      <c r="L362" s="450" t="n"/>
      <c r="M362" s="450" t="n"/>
      <c r="N362" s="450" t="n"/>
      <c r="O362" s="450" t="n"/>
      <c r="P362" s="450" t="n"/>
      <c r="Q362" s="450" t="n"/>
    </row>
    <row r="363" customFormat="1" s="45">
      <c r="A363" s="450" t="n"/>
      <c r="B363" s="450" t="n"/>
      <c r="C363" s="450" t="n"/>
      <c r="D363" s="450" t="n"/>
      <c r="E363" s="450" t="n"/>
      <c r="F363" s="450" t="n"/>
      <c r="G363" s="450" t="n"/>
      <c r="H363" s="450" t="n"/>
      <c r="I363" s="450" t="n"/>
      <c r="J363" s="83" t="n"/>
      <c r="K363" s="450" t="n"/>
      <c r="L363" s="450" t="n"/>
      <c r="M363" s="450" t="n"/>
      <c r="N363" s="450" t="n"/>
      <c r="O363" s="450" t="n"/>
      <c r="P363" s="450" t="n"/>
      <c r="Q363" s="450" t="n"/>
    </row>
    <row r="364" customFormat="1" s="45">
      <c r="A364" s="450" t="n"/>
      <c r="B364" s="450" t="n"/>
      <c r="C364" s="450" t="n"/>
      <c r="D364" s="450" t="n"/>
      <c r="E364" s="450" t="n"/>
      <c r="F364" s="450" t="n"/>
      <c r="G364" s="450" t="n"/>
      <c r="H364" s="450" t="n"/>
      <c r="I364" s="450" t="n"/>
      <c r="J364" s="83" t="n"/>
      <c r="K364" s="450" t="n"/>
      <c r="L364" s="450" t="n"/>
      <c r="M364" s="450" t="n"/>
      <c r="N364" s="450" t="n"/>
      <c r="O364" s="450" t="n"/>
      <c r="P364" s="450" t="n"/>
      <c r="Q364" s="450" t="n"/>
    </row>
    <row r="365" customFormat="1" s="45">
      <c r="A365" s="450" t="n"/>
      <c r="B365" s="450" t="n"/>
      <c r="C365" s="450" t="n"/>
      <c r="D365" s="450" t="n"/>
      <c r="E365" s="450" t="n"/>
      <c r="F365" s="450" t="n"/>
      <c r="G365" s="450" t="n"/>
      <c r="H365" s="450" t="n"/>
      <c r="I365" s="450" t="n"/>
      <c r="J365" s="83" t="n"/>
      <c r="K365" s="450" t="n"/>
      <c r="L365" s="450" t="n"/>
      <c r="M365" s="450" t="n"/>
      <c r="N365" s="450" t="n"/>
      <c r="O365" s="450" t="n"/>
      <c r="P365" s="450" t="n"/>
      <c r="Q365" s="450" t="n"/>
    </row>
    <row r="366" customFormat="1" s="45">
      <c r="A366" s="450" t="n"/>
      <c r="B366" s="450" t="n"/>
      <c r="C366" s="450" t="n"/>
      <c r="D366" s="450" t="n"/>
      <c r="E366" s="450" t="n"/>
      <c r="F366" s="450" t="n"/>
      <c r="G366" s="450" t="n"/>
      <c r="H366" s="450" t="n"/>
      <c r="I366" s="450" t="n"/>
      <c r="J366" s="83" t="n"/>
      <c r="K366" s="450" t="n"/>
      <c r="L366" s="450" t="n"/>
      <c r="M366" s="450" t="n"/>
      <c r="N366" s="450" t="n"/>
      <c r="O366" s="450" t="n"/>
      <c r="P366" s="450" t="n"/>
      <c r="Q366" s="450" t="n"/>
    </row>
    <row r="367" customFormat="1" s="45">
      <c r="A367" s="450" t="n"/>
      <c r="B367" s="450" t="n"/>
      <c r="C367" s="450" t="n"/>
      <c r="D367" s="450" t="n"/>
      <c r="E367" s="450" t="n"/>
      <c r="F367" s="450" t="n"/>
      <c r="G367" s="450" t="n"/>
      <c r="H367" s="450" t="n"/>
      <c r="I367" s="450" t="n"/>
      <c r="J367" s="83" t="n"/>
      <c r="K367" s="450" t="n"/>
      <c r="L367" s="450" t="n"/>
      <c r="M367" s="450" t="n"/>
      <c r="N367" s="450" t="n"/>
      <c r="O367" s="450" t="n"/>
      <c r="P367" s="450" t="n"/>
      <c r="Q367" s="450" t="n"/>
    </row>
    <row r="368" customFormat="1" s="45">
      <c r="A368" s="450" t="n"/>
      <c r="B368" s="450" t="n"/>
      <c r="C368" s="450" t="n"/>
      <c r="D368" s="450" t="n"/>
      <c r="E368" s="450" t="n"/>
      <c r="F368" s="450" t="n"/>
      <c r="G368" s="450" t="n"/>
      <c r="H368" s="450" t="n"/>
      <c r="I368" s="450" t="n"/>
      <c r="J368" s="83" t="n"/>
      <c r="K368" s="450" t="n"/>
      <c r="L368" s="450" t="n"/>
      <c r="M368" s="450" t="n"/>
      <c r="N368" s="450" t="n"/>
      <c r="O368" s="450" t="n"/>
      <c r="P368" s="450" t="n"/>
      <c r="Q368" s="450" t="n"/>
    </row>
    <row r="369" customFormat="1" s="45">
      <c r="A369" s="450" t="n"/>
      <c r="B369" s="450" t="n"/>
      <c r="C369" s="450" t="n"/>
      <c r="D369" s="450" t="n"/>
      <c r="E369" s="450" t="n"/>
      <c r="F369" s="450" t="n"/>
      <c r="G369" s="450" t="n"/>
      <c r="H369" s="450" t="n"/>
      <c r="I369" s="450" t="n"/>
      <c r="J369" s="83" t="n"/>
      <c r="K369" s="450" t="n"/>
      <c r="L369" s="450" t="n"/>
      <c r="M369" s="450" t="n"/>
      <c r="N369" s="450" t="n"/>
      <c r="O369" s="450" t="n"/>
      <c r="P369" s="450" t="n"/>
      <c r="Q369" s="450" t="n"/>
    </row>
    <row r="370" customFormat="1" s="45">
      <c r="A370" s="450" t="n"/>
      <c r="B370" s="450" t="n"/>
      <c r="C370" s="450" t="n"/>
      <c r="D370" s="450" t="n"/>
      <c r="E370" s="450" t="n"/>
      <c r="F370" s="450" t="n"/>
      <c r="G370" s="450" t="n"/>
      <c r="H370" s="450" t="n"/>
      <c r="I370" s="450" t="n"/>
      <c r="J370" s="83" t="n"/>
      <c r="K370" s="450" t="n"/>
      <c r="L370" s="450" t="n"/>
      <c r="M370" s="450" t="n"/>
      <c r="N370" s="450" t="n"/>
      <c r="O370" s="450" t="n"/>
      <c r="P370" s="450" t="n"/>
      <c r="Q370" s="450" t="n"/>
    </row>
    <row r="371" customFormat="1" s="45">
      <c r="A371" s="450" t="n"/>
      <c r="B371" s="450" t="n"/>
      <c r="C371" s="450" t="n"/>
      <c r="D371" s="450" t="n"/>
      <c r="E371" s="450" t="n"/>
      <c r="F371" s="450" t="n"/>
      <c r="G371" s="450" t="n"/>
      <c r="H371" s="450" t="n"/>
      <c r="I371" s="450" t="n"/>
      <c r="J371" s="83" t="n"/>
      <c r="K371" s="450" t="n"/>
      <c r="L371" s="450" t="n"/>
      <c r="M371" s="450" t="n"/>
      <c r="N371" s="450" t="n"/>
      <c r="O371" s="450" t="n"/>
      <c r="P371" s="450" t="n"/>
      <c r="Q371" s="450" t="n"/>
    </row>
    <row r="372" customFormat="1" s="45">
      <c r="A372" s="450" t="n"/>
      <c r="B372" s="450" t="n"/>
      <c r="C372" s="450" t="n"/>
      <c r="D372" s="450" t="n"/>
      <c r="E372" s="450" t="n"/>
      <c r="F372" s="450" t="n"/>
      <c r="G372" s="450" t="n"/>
      <c r="H372" s="450" t="n"/>
      <c r="I372" s="450" t="n"/>
      <c r="J372" s="83" t="n"/>
      <c r="K372" s="450" t="n"/>
      <c r="L372" s="450" t="n"/>
      <c r="M372" s="450" t="n"/>
      <c r="N372" s="450" t="n"/>
      <c r="O372" s="450" t="n"/>
      <c r="P372" s="450" t="n"/>
      <c r="Q372" s="450" t="n"/>
    </row>
    <row r="373" customFormat="1" s="45">
      <c r="A373" s="450" t="n"/>
      <c r="B373" s="450" t="n"/>
      <c r="C373" s="450" t="n"/>
      <c r="D373" s="450" t="n"/>
      <c r="E373" s="450" t="n"/>
      <c r="F373" s="450" t="n"/>
      <c r="G373" s="450" t="n"/>
      <c r="H373" s="450" t="n"/>
      <c r="I373" s="450" t="n"/>
      <c r="J373" s="83" t="n"/>
      <c r="K373" s="450" t="n"/>
      <c r="L373" s="450" t="n"/>
      <c r="M373" s="450" t="n"/>
      <c r="N373" s="450" t="n"/>
      <c r="O373" s="450" t="n"/>
      <c r="P373" s="450" t="n"/>
      <c r="Q373" s="450" t="n"/>
    </row>
    <row r="374" customFormat="1" s="45">
      <c r="A374" s="450" t="n"/>
      <c r="B374" s="450" t="n"/>
      <c r="C374" s="450" t="n"/>
      <c r="D374" s="450" t="n"/>
      <c r="E374" s="450" t="n"/>
      <c r="F374" s="450" t="n"/>
      <c r="G374" s="450" t="n"/>
      <c r="H374" s="450" t="n"/>
      <c r="I374" s="450" t="n"/>
      <c r="J374" s="83" t="n"/>
      <c r="K374" s="450" t="n"/>
      <c r="L374" s="450" t="n"/>
      <c r="M374" s="450" t="n"/>
      <c r="N374" s="450" t="n"/>
      <c r="O374" s="450" t="n"/>
      <c r="P374" s="450" t="n"/>
      <c r="Q374" s="450" t="n"/>
    </row>
    <row r="375" customFormat="1" s="45">
      <c r="A375" s="450" t="n"/>
      <c r="B375" s="450" t="n"/>
      <c r="C375" s="450" t="n"/>
      <c r="D375" s="450" t="n"/>
      <c r="E375" s="450" t="n"/>
      <c r="F375" s="450" t="n"/>
      <c r="G375" s="450" t="n"/>
      <c r="H375" s="450" t="n"/>
      <c r="I375" s="450" t="n"/>
      <c r="J375" s="83" t="n"/>
      <c r="K375" s="450" t="n"/>
      <c r="L375" s="450" t="n"/>
      <c r="M375" s="450" t="n"/>
      <c r="N375" s="450" t="n"/>
      <c r="O375" s="450" t="n"/>
      <c r="P375" s="450" t="n"/>
      <c r="Q375" s="450" t="n"/>
    </row>
    <row r="376" customFormat="1" s="45">
      <c r="A376" s="450" t="n"/>
      <c r="B376" s="450" t="n"/>
      <c r="C376" s="450" t="n"/>
      <c r="D376" s="450" t="n"/>
      <c r="E376" s="450" t="n"/>
      <c r="F376" s="450" t="n"/>
      <c r="G376" s="450" t="n"/>
      <c r="H376" s="450" t="n"/>
      <c r="I376" s="450" t="n"/>
      <c r="J376" s="83" t="n"/>
      <c r="K376" s="450" t="n"/>
      <c r="L376" s="450" t="n"/>
      <c r="M376" s="450" t="n"/>
      <c r="N376" s="450" t="n"/>
      <c r="O376" s="450" t="n"/>
      <c r="P376" s="450" t="n"/>
      <c r="Q376" s="450" t="n"/>
    </row>
    <row r="377" customFormat="1" s="45">
      <c r="A377" s="450" t="n"/>
      <c r="B377" s="450" t="n"/>
      <c r="C377" s="450" t="n"/>
      <c r="D377" s="450" t="n"/>
      <c r="E377" s="450" t="n"/>
      <c r="F377" s="450" t="n"/>
      <c r="G377" s="450" t="n"/>
      <c r="H377" s="450" t="n"/>
      <c r="I377" s="450" t="n"/>
      <c r="J377" s="83" t="n"/>
      <c r="K377" s="450" t="n"/>
      <c r="L377" s="450" t="n"/>
      <c r="M377" s="450" t="n"/>
      <c r="N377" s="450" t="n"/>
      <c r="O377" s="450" t="n"/>
      <c r="P377" s="450" t="n"/>
      <c r="Q377" s="450" t="n"/>
    </row>
    <row r="378" customFormat="1" s="45">
      <c r="A378" s="450" t="n"/>
      <c r="B378" s="450" t="n"/>
      <c r="C378" s="450" t="n"/>
      <c r="D378" s="450" t="n"/>
      <c r="E378" s="450" t="n"/>
      <c r="F378" s="450" t="n"/>
      <c r="G378" s="450" t="n"/>
      <c r="H378" s="450" t="n"/>
      <c r="I378" s="450" t="n"/>
      <c r="J378" s="83" t="n"/>
      <c r="K378" s="450" t="n"/>
      <c r="L378" s="450" t="n"/>
      <c r="M378" s="450" t="n"/>
      <c r="N378" s="450" t="n"/>
      <c r="O378" s="450" t="n"/>
      <c r="P378" s="450" t="n"/>
      <c r="Q378" s="450" t="n"/>
    </row>
    <row r="379" customFormat="1" s="45">
      <c r="A379" s="450" t="n"/>
      <c r="B379" s="450" t="n"/>
      <c r="C379" s="450" t="n"/>
      <c r="D379" s="450" t="n"/>
      <c r="E379" s="450" t="n"/>
      <c r="F379" s="450" t="n"/>
      <c r="G379" s="450" t="n"/>
      <c r="H379" s="450" t="n"/>
      <c r="I379" s="450" t="n"/>
      <c r="J379" s="83" t="n"/>
      <c r="K379" s="450" t="n"/>
      <c r="L379" s="450" t="n"/>
      <c r="M379" s="450" t="n"/>
      <c r="N379" s="450" t="n"/>
      <c r="O379" s="450" t="n"/>
      <c r="P379" s="450" t="n"/>
      <c r="Q379" s="450" t="n"/>
    </row>
    <row r="380" customFormat="1" s="45">
      <c r="A380" s="450" t="n"/>
      <c r="B380" s="450" t="n"/>
      <c r="C380" s="450" t="n"/>
      <c r="D380" s="450" t="n"/>
      <c r="E380" s="450" t="n"/>
      <c r="F380" s="450" t="n"/>
      <c r="G380" s="450" t="n"/>
      <c r="H380" s="450" t="n"/>
      <c r="I380" s="450" t="n"/>
      <c r="J380" s="83" t="n"/>
      <c r="K380" s="450" t="n"/>
      <c r="L380" s="450" t="n"/>
      <c r="M380" s="450" t="n"/>
      <c r="N380" s="450" t="n"/>
      <c r="O380" s="450" t="n"/>
      <c r="P380" s="450" t="n"/>
      <c r="Q380" s="450" t="n"/>
    </row>
    <row r="381" customFormat="1" s="45">
      <c r="A381" s="450" t="n"/>
      <c r="B381" s="450" t="n"/>
      <c r="C381" s="450" t="n"/>
      <c r="D381" s="450" t="n"/>
      <c r="E381" s="450" t="n"/>
      <c r="F381" s="450" t="n"/>
      <c r="G381" s="450" t="n"/>
      <c r="H381" s="450" t="n"/>
      <c r="I381" s="450" t="n"/>
      <c r="J381" s="83" t="n"/>
      <c r="K381" s="450" t="n"/>
      <c r="L381" s="450" t="n"/>
      <c r="M381" s="450" t="n"/>
      <c r="N381" s="450" t="n"/>
      <c r="O381" s="450" t="n"/>
      <c r="P381" s="450" t="n"/>
      <c r="Q381" s="450" t="n"/>
    </row>
    <row r="382" customFormat="1" s="45">
      <c r="A382" s="450" t="n"/>
      <c r="B382" s="450" t="n"/>
      <c r="C382" s="450" t="n"/>
      <c r="D382" s="450" t="n"/>
      <c r="E382" s="450" t="n"/>
      <c r="F382" s="450" t="n"/>
      <c r="G382" s="450" t="n"/>
      <c r="H382" s="450" t="n"/>
      <c r="I382" s="450" t="n"/>
      <c r="J382" s="83" t="n"/>
      <c r="K382" s="450" t="n"/>
      <c r="L382" s="450" t="n"/>
      <c r="M382" s="450" t="n"/>
      <c r="N382" s="450" t="n"/>
      <c r="O382" s="450" t="n"/>
      <c r="P382" s="450" t="n"/>
      <c r="Q382" s="450" t="n"/>
    </row>
    <row r="383" customFormat="1" s="45">
      <c r="A383" s="450" t="n"/>
      <c r="B383" s="450" t="n"/>
      <c r="C383" s="450" t="n"/>
      <c r="D383" s="450" t="n"/>
      <c r="E383" s="450" t="n"/>
      <c r="F383" s="450" t="n"/>
      <c r="G383" s="450" t="n"/>
      <c r="H383" s="450" t="n"/>
      <c r="I383" s="450" t="n"/>
      <c r="J383" s="83" t="n"/>
      <c r="K383" s="450" t="n"/>
      <c r="L383" s="450" t="n"/>
      <c r="M383" s="450" t="n"/>
      <c r="N383" s="450" t="n"/>
      <c r="O383" s="450" t="n"/>
      <c r="P383" s="450" t="n"/>
      <c r="Q383" s="450" t="n"/>
    </row>
    <row r="384" customFormat="1" s="45">
      <c r="A384" s="450" t="n"/>
      <c r="B384" s="450" t="n"/>
      <c r="C384" s="450" t="n"/>
      <c r="D384" s="450" t="n"/>
      <c r="E384" s="450" t="n"/>
      <c r="F384" s="450" t="n"/>
      <c r="G384" s="450" t="n"/>
      <c r="H384" s="450" t="n"/>
      <c r="I384" s="450" t="n"/>
      <c r="J384" s="83" t="n"/>
      <c r="K384" s="450" t="n"/>
      <c r="L384" s="450" t="n"/>
      <c r="M384" s="450" t="n"/>
      <c r="N384" s="450" t="n"/>
      <c r="O384" s="450" t="n"/>
      <c r="P384" s="450" t="n"/>
      <c r="Q384" s="450" t="n"/>
    </row>
    <row r="385" customFormat="1" s="45">
      <c r="A385" s="450" t="n"/>
      <c r="B385" s="450" t="n"/>
      <c r="C385" s="450" t="n"/>
      <c r="D385" s="450" t="n"/>
      <c r="E385" s="450" t="n"/>
      <c r="F385" s="450" t="n"/>
      <c r="G385" s="450" t="n"/>
      <c r="H385" s="450" t="n"/>
      <c r="I385" s="450" t="n"/>
      <c r="J385" s="83" t="n"/>
      <c r="K385" s="450" t="n"/>
      <c r="L385" s="450" t="n"/>
      <c r="M385" s="450" t="n"/>
      <c r="N385" s="450" t="n"/>
      <c r="O385" s="450" t="n"/>
      <c r="P385" s="450" t="n"/>
      <c r="Q385" s="450" t="n"/>
    </row>
    <row r="386" customFormat="1" s="45">
      <c r="A386" s="450" t="n"/>
      <c r="B386" s="450" t="n"/>
      <c r="C386" s="450" t="n"/>
      <c r="D386" s="450" t="n"/>
      <c r="E386" s="450" t="n"/>
      <c r="F386" s="450" t="n"/>
      <c r="G386" s="450" t="n"/>
      <c r="H386" s="450" t="n"/>
      <c r="I386" s="450" t="n"/>
      <c r="J386" s="83" t="n"/>
      <c r="K386" s="450" t="n"/>
      <c r="L386" s="450" t="n"/>
      <c r="M386" s="450" t="n"/>
      <c r="N386" s="450" t="n"/>
      <c r="O386" s="450" t="n"/>
      <c r="P386" s="450" t="n"/>
      <c r="Q386" s="450" t="n"/>
    </row>
    <row r="387" customFormat="1" s="45">
      <c r="A387" s="450" t="n"/>
      <c r="B387" s="450" t="n"/>
      <c r="C387" s="450" t="n"/>
      <c r="D387" s="450" t="n"/>
      <c r="E387" s="450" t="n"/>
      <c r="F387" s="450" t="n"/>
      <c r="G387" s="450" t="n"/>
      <c r="H387" s="450" t="n"/>
      <c r="I387" s="450" t="n"/>
      <c r="J387" s="83" t="n"/>
      <c r="K387" s="450" t="n"/>
      <c r="L387" s="450" t="n"/>
      <c r="M387" s="450" t="n"/>
      <c r="N387" s="450" t="n"/>
      <c r="O387" s="450" t="n"/>
      <c r="P387" s="450" t="n"/>
      <c r="Q387" s="450" t="n"/>
    </row>
    <row r="388" customFormat="1" s="45">
      <c r="A388" s="450" t="n"/>
      <c r="B388" s="450" t="n"/>
      <c r="C388" s="450" t="n"/>
      <c r="D388" s="450" t="n"/>
      <c r="E388" s="450" t="n"/>
      <c r="F388" s="450" t="n"/>
      <c r="G388" s="450" t="n"/>
      <c r="H388" s="450" t="n"/>
      <c r="I388" s="450" t="n"/>
      <c r="J388" s="83" t="n"/>
      <c r="K388" s="450" t="n"/>
      <c r="L388" s="450" t="n"/>
      <c r="M388" s="450" t="n"/>
      <c r="N388" s="450" t="n"/>
      <c r="O388" s="450" t="n"/>
      <c r="P388" s="450" t="n"/>
      <c r="Q388" s="450" t="n"/>
    </row>
    <row r="389" customFormat="1" s="45">
      <c r="A389" s="450" t="n"/>
      <c r="B389" s="450" t="n"/>
      <c r="C389" s="450" t="n"/>
      <c r="D389" s="450" t="n"/>
      <c r="E389" s="450" t="n"/>
      <c r="F389" s="450" t="n"/>
      <c r="G389" s="450" t="n"/>
      <c r="H389" s="450" t="n"/>
      <c r="I389" s="450" t="n"/>
      <c r="J389" s="83" t="n"/>
      <c r="K389" s="450" t="n"/>
      <c r="L389" s="450" t="n"/>
      <c r="M389" s="450" t="n"/>
      <c r="N389" s="450" t="n"/>
      <c r="O389" s="450" t="n"/>
      <c r="P389" s="450" t="n"/>
      <c r="Q389" s="450" t="n"/>
    </row>
    <row r="390" customFormat="1" s="45">
      <c r="A390" s="450" t="n"/>
      <c r="B390" s="450" t="n"/>
      <c r="C390" s="450" t="n"/>
      <c r="D390" s="450" t="n"/>
      <c r="E390" s="450" t="n"/>
      <c r="F390" s="450" t="n"/>
      <c r="G390" s="450" t="n"/>
      <c r="H390" s="450" t="n"/>
      <c r="I390" s="450" t="n"/>
      <c r="J390" s="83" t="n"/>
      <c r="K390" s="450" t="n"/>
      <c r="L390" s="450" t="n"/>
      <c r="M390" s="450" t="n"/>
      <c r="N390" s="450" t="n"/>
      <c r="O390" s="450" t="n"/>
      <c r="P390" s="450" t="n"/>
      <c r="Q390" s="450" t="n"/>
    </row>
    <row r="391" customFormat="1" s="45">
      <c r="A391" s="450" t="n"/>
      <c r="B391" s="450" t="n"/>
      <c r="C391" s="450" t="n"/>
      <c r="D391" s="450" t="n"/>
      <c r="E391" s="450" t="n"/>
      <c r="F391" s="450" t="n"/>
      <c r="G391" s="450" t="n"/>
      <c r="H391" s="450" t="n"/>
      <c r="I391" s="450" t="n"/>
      <c r="J391" s="83" t="n"/>
      <c r="K391" s="450" t="n"/>
      <c r="L391" s="450" t="n"/>
      <c r="M391" s="450" t="n"/>
      <c r="N391" s="450" t="n"/>
      <c r="O391" s="450" t="n"/>
      <c r="P391" s="450" t="n"/>
      <c r="Q391" s="450" t="n"/>
    </row>
    <row r="392" customFormat="1" s="45">
      <c r="A392" s="450" t="n"/>
      <c r="B392" s="450" t="n"/>
      <c r="C392" s="450" t="n"/>
      <c r="D392" s="450" t="n"/>
      <c r="E392" s="450" t="n"/>
      <c r="F392" s="450" t="n"/>
      <c r="G392" s="450" t="n"/>
      <c r="H392" s="450" t="n"/>
      <c r="I392" s="450" t="n"/>
      <c r="J392" s="83" t="n"/>
      <c r="K392" s="450" t="n"/>
      <c r="L392" s="450" t="n"/>
      <c r="M392" s="450" t="n"/>
      <c r="N392" s="450" t="n"/>
      <c r="O392" s="450" t="n"/>
      <c r="P392" s="450" t="n"/>
      <c r="Q392" s="450" t="n"/>
    </row>
    <row r="393" customFormat="1" s="45">
      <c r="A393" s="450" t="n"/>
      <c r="B393" s="450" t="n"/>
      <c r="C393" s="450" t="n"/>
      <c r="D393" s="450" t="n"/>
      <c r="E393" s="450" t="n"/>
      <c r="F393" s="450" t="n"/>
      <c r="G393" s="450" t="n"/>
      <c r="H393" s="450" t="n"/>
      <c r="I393" s="450" t="n"/>
      <c r="J393" s="83" t="n"/>
      <c r="K393" s="450" t="n"/>
      <c r="L393" s="450" t="n"/>
      <c r="M393" s="450" t="n"/>
      <c r="N393" s="450" t="n"/>
      <c r="O393" s="450" t="n"/>
      <c r="P393" s="450" t="n"/>
      <c r="Q393" s="450" t="n"/>
    </row>
    <row r="394" customFormat="1" s="45">
      <c r="A394" s="450" t="n"/>
      <c r="B394" s="450" t="n"/>
      <c r="C394" s="450" t="n"/>
      <c r="D394" s="450" t="n"/>
      <c r="E394" s="450" t="n"/>
      <c r="F394" s="450" t="n"/>
      <c r="G394" s="450" t="n"/>
      <c r="H394" s="450" t="n"/>
      <c r="I394" s="450" t="n"/>
      <c r="J394" s="83" t="n"/>
      <c r="K394" s="450" t="n"/>
      <c r="L394" s="450" t="n"/>
      <c r="M394" s="450" t="n"/>
      <c r="N394" s="450" t="n"/>
      <c r="O394" s="450" t="n"/>
      <c r="P394" s="450" t="n"/>
      <c r="Q394" s="450" t="n"/>
    </row>
    <row r="395" customFormat="1" s="45">
      <c r="A395" s="450" t="n"/>
      <c r="B395" s="450" t="n"/>
      <c r="C395" s="450" t="n"/>
      <c r="D395" s="450" t="n"/>
      <c r="E395" s="450" t="n"/>
      <c r="F395" s="450" t="n"/>
      <c r="G395" s="450" t="n"/>
      <c r="H395" s="450" t="n"/>
      <c r="I395" s="450" t="n"/>
      <c r="J395" s="83" t="n"/>
      <c r="K395" s="450" t="n"/>
      <c r="L395" s="450" t="n"/>
      <c r="M395" s="450" t="n"/>
      <c r="N395" s="450" t="n"/>
      <c r="O395" s="450" t="n"/>
      <c r="P395" s="450" t="n"/>
      <c r="Q395" s="450" t="n"/>
    </row>
    <row r="396" customFormat="1" s="45">
      <c r="A396" s="450" t="n"/>
      <c r="B396" s="450" t="n"/>
      <c r="C396" s="450" t="n"/>
      <c r="D396" s="450" t="n"/>
      <c r="E396" s="450" t="n"/>
      <c r="F396" s="450" t="n"/>
      <c r="G396" s="450" t="n"/>
      <c r="H396" s="450" t="n"/>
      <c r="I396" s="450" t="n"/>
      <c r="J396" s="83" t="n"/>
      <c r="K396" s="450" t="n"/>
      <c r="L396" s="450" t="n"/>
      <c r="M396" s="450" t="n"/>
      <c r="N396" s="450" t="n"/>
      <c r="O396" s="450" t="n"/>
      <c r="P396" s="450" t="n"/>
      <c r="Q396" s="450" t="n"/>
    </row>
    <row r="397" customFormat="1" s="45">
      <c r="A397" s="450" t="n"/>
      <c r="B397" s="450" t="n"/>
      <c r="C397" s="450" t="n"/>
      <c r="D397" s="450" t="n"/>
      <c r="E397" s="450" t="n"/>
      <c r="F397" s="450" t="n"/>
      <c r="G397" s="450" t="n"/>
      <c r="H397" s="450" t="n"/>
      <c r="I397" s="450" t="n"/>
      <c r="J397" s="83" t="n"/>
      <c r="K397" s="450" t="n"/>
      <c r="L397" s="450" t="n"/>
      <c r="M397" s="450" t="n"/>
      <c r="N397" s="450" t="n"/>
      <c r="O397" s="450" t="n"/>
      <c r="P397" s="450" t="n"/>
      <c r="Q397" s="450" t="n"/>
    </row>
    <row r="398" customFormat="1" s="45">
      <c r="A398" s="450" t="n"/>
      <c r="B398" s="450" t="n"/>
      <c r="C398" s="450" t="n"/>
      <c r="D398" s="450" t="n"/>
      <c r="E398" s="450" t="n"/>
      <c r="F398" s="450" t="n"/>
      <c r="G398" s="450" t="n"/>
      <c r="H398" s="450" t="n"/>
      <c r="I398" s="450" t="n"/>
      <c r="J398" s="83" t="n"/>
      <c r="K398" s="450" t="n"/>
      <c r="L398" s="450" t="n"/>
      <c r="M398" s="450" t="n"/>
      <c r="N398" s="450" t="n"/>
      <c r="O398" s="450" t="n"/>
      <c r="P398" s="450" t="n"/>
      <c r="Q398" s="450" t="n"/>
    </row>
    <row r="399" customFormat="1" s="45">
      <c r="A399" s="450" t="n"/>
      <c r="B399" s="450" t="n"/>
      <c r="C399" s="450" t="n"/>
      <c r="D399" s="450" t="n"/>
      <c r="E399" s="450" t="n"/>
      <c r="F399" s="450" t="n"/>
      <c r="G399" s="450" t="n"/>
      <c r="H399" s="450" t="n"/>
      <c r="I399" s="450" t="n"/>
      <c r="J399" s="83" t="n"/>
      <c r="K399" s="450" t="n"/>
      <c r="L399" s="450" t="n"/>
      <c r="M399" s="450" t="n"/>
      <c r="N399" s="450" t="n"/>
      <c r="O399" s="450" t="n"/>
      <c r="P399" s="450" t="n"/>
      <c r="Q399" s="450" t="n"/>
    </row>
    <row r="400" customFormat="1" s="45">
      <c r="A400" s="450" t="n"/>
      <c r="B400" s="450" t="n"/>
      <c r="C400" s="450" t="n"/>
      <c r="D400" s="450" t="n"/>
      <c r="E400" s="450" t="n"/>
      <c r="F400" s="450" t="n"/>
      <c r="G400" s="450" t="n"/>
      <c r="H400" s="450" t="n"/>
      <c r="I400" s="450" t="n"/>
      <c r="J400" s="83" t="n"/>
      <c r="K400" s="450" t="n"/>
      <c r="L400" s="450" t="n"/>
      <c r="M400" s="450" t="n"/>
      <c r="N400" s="450" t="n"/>
      <c r="O400" s="450" t="n"/>
      <c r="P400" s="450" t="n"/>
      <c r="Q400" s="450" t="n"/>
    </row>
    <row r="401" customFormat="1" s="45">
      <c r="A401" s="450" t="n"/>
      <c r="B401" s="450" t="n"/>
      <c r="C401" s="450" t="n"/>
      <c r="D401" s="450" t="n"/>
      <c r="E401" s="450" t="n"/>
      <c r="F401" s="450" t="n"/>
      <c r="G401" s="450" t="n"/>
      <c r="H401" s="450" t="n"/>
      <c r="I401" s="450" t="n"/>
      <c r="J401" s="83" t="n"/>
      <c r="K401" s="450" t="n"/>
      <c r="L401" s="450" t="n"/>
      <c r="M401" s="450" t="n"/>
      <c r="N401" s="450" t="n"/>
      <c r="O401" s="450" t="n"/>
      <c r="P401" s="450" t="n"/>
      <c r="Q401" s="450" t="n"/>
    </row>
    <row r="402" customFormat="1" s="45">
      <c r="A402" s="450" t="n"/>
      <c r="B402" s="450" t="n"/>
      <c r="C402" s="450" t="n"/>
      <c r="D402" s="450" t="n"/>
      <c r="E402" s="450" t="n"/>
      <c r="F402" s="450" t="n"/>
      <c r="G402" s="450" t="n"/>
      <c r="H402" s="450" t="n"/>
      <c r="I402" s="450" t="n"/>
      <c r="J402" s="83" t="n"/>
      <c r="K402" s="450" t="n"/>
      <c r="L402" s="450" t="n"/>
      <c r="M402" s="450" t="n"/>
      <c r="N402" s="450" t="n"/>
      <c r="O402" s="450" t="n"/>
      <c r="P402" s="450" t="n"/>
      <c r="Q402" s="450" t="n"/>
    </row>
    <row r="403" customFormat="1" s="45">
      <c r="A403" s="450" t="n"/>
      <c r="B403" s="450" t="n"/>
      <c r="C403" s="450" t="n"/>
      <c r="D403" s="450" t="n"/>
      <c r="E403" s="450" t="n"/>
      <c r="F403" s="450" t="n"/>
      <c r="G403" s="450" t="n"/>
      <c r="H403" s="450" t="n"/>
      <c r="I403" s="450" t="n"/>
      <c r="J403" s="83" t="n"/>
      <c r="K403" s="450" t="n"/>
      <c r="L403" s="450" t="n"/>
      <c r="M403" s="450" t="n"/>
      <c r="N403" s="450" t="n"/>
      <c r="O403" s="450" t="n"/>
      <c r="P403" s="450" t="n"/>
      <c r="Q403" s="450" t="n"/>
    </row>
    <row r="404" customFormat="1" s="45">
      <c r="A404" s="450" t="n"/>
      <c r="B404" s="450" t="n"/>
      <c r="C404" s="450" t="n"/>
      <c r="D404" s="450" t="n"/>
      <c r="E404" s="450" t="n"/>
      <c r="F404" s="450" t="n"/>
      <c r="G404" s="450" t="n"/>
      <c r="H404" s="450" t="n"/>
      <c r="I404" s="450" t="n"/>
      <c r="J404" s="83" t="n"/>
      <c r="K404" s="450" t="n"/>
      <c r="L404" s="450" t="n"/>
      <c r="M404" s="450" t="n"/>
      <c r="N404" s="450" t="n"/>
      <c r="O404" s="450" t="n"/>
      <c r="P404" s="450" t="n"/>
      <c r="Q404" s="450" t="n"/>
    </row>
    <row r="405" customFormat="1" s="45">
      <c r="A405" s="450" t="n"/>
      <c r="B405" s="450" t="n"/>
      <c r="C405" s="450" t="n"/>
      <c r="D405" s="450" t="n"/>
      <c r="E405" s="450" t="n"/>
      <c r="F405" s="450" t="n"/>
      <c r="G405" s="450" t="n"/>
      <c r="H405" s="450" t="n"/>
      <c r="I405" s="450" t="n"/>
      <c r="J405" s="83" t="n"/>
      <c r="K405" s="450" t="n"/>
      <c r="L405" s="450" t="n"/>
      <c r="M405" s="450" t="n"/>
      <c r="N405" s="450" t="n"/>
      <c r="O405" s="450" t="n"/>
      <c r="P405" s="450" t="n"/>
      <c r="Q405" s="450" t="n"/>
    </row>
    <row r="406" customFormat="1" s="45">
      <c r="A406" s="450" t="n"/>
      <c r="B406" s="450" t="n"/>
      <c r="C406" s="450" t="n"/>
      <c r="D406" s="450" t="n"/>
      <c r="E406" s="450" t="n"/>
      <c r="F406" s="450" t="n"/>
      <c r="G406" s="450" t="n"/>
      <c r="H406" s="450" t="n"/>
      <c r="I406" s="450" t="n"/>
      <c r="J406" s="83" t="n"/>
      <c r="K406" s="450" t="n"/>
      <c r="L406" s="450" t="n"/>
      <c r="M406" s="450" t="n"/>
      <c r="N406" s="450" t="n"/>
      <c r="O406" s="450" t="n"/>
      <c r="P406" s="450" t="n"/>
      <c r="Q406" s="450" t="n"/>
    </row>
    <row r="407" customFormat="1" s="45">
      <c r="A407" s="450" t="n"/>
      <c r="B407" s="450" t="n"/>
      <c r="C407" s="450" t="n"/>
      <c r="D407" s="450" t="n"/>
      <c r="E407" s="450" t="n"/>
      <c r="F407" s="450" t="n"/>
      <c r="G407" s="450" t="n"/>
      <c r="H407" s="450" t="n"/>
      <c r="I407" s="450" t="n"/>
      <c r="J407" s="83" t="n"/>
      <c r="K407" s="450" t="n"/>
      <c r="L407" s="450" t="n"/>
      <c r="M407" s="450" t="n"/>
      <c r="N407" s="450" t="n"/>
      <c r="O407" s="450" t="n"/>
      <c r="P407" s="450" t="n"/>
      <c r="Q407" s="450" t="n"/>
    </row>
    <row r="408" customFormat="1" s="45">
      <c r="A408" s="450" t="n"/>
      <c r="B408" s="450" t="n"/>
      <c r="C408" s="450" t="n"/>
      <c r="D408" s="450" t="n"/>
      <c r="E408" s="450" t="n"/>
      <c r="F408" s="450" t="n"/>
      <c r="G408" s="450" t="n"/>
      <c r="H408" s="450" t="n"/>
      <c r="I408" s="450" t="n"/>
      <c r="J408" s="83" t="n"/>
      <c r="K408" s="450" t="n"/>
      <c r="L408" s="450" t="n"/>
      <c r="M408" s="450" t="n"/>
      <c r="N408" s="450" t="n"/>
      <c r="O408" s="450" t="n"/>
      <c r="P408" s="450" t="n"/>
      <c r="Q408" s="450" t="n"/>
    </row>
    <row r="409" customFormat="1" s="45">
      <c r="A409" s="450" t="n"/>
      <c r="B409" s="450" t="n"/>
      <c r="C409" s="450" t="n"/>
      <c r="D409" s="450" t="n"/>
      <c r="E409" s="450" t="n"/>
      <c r="F409" s="450" t="n"/>
      <c r="G409" s="450" t="n"/>
      <c r="H409" s="450" t="n"/>
      <c r="I409" s="450" t="n"/>
      <c r="J409" s="83" t="n"/>
      <c r="K409" s="450" t="n"/>
      <c r="L409" s="450" t="n"/>
      <c r="M409" s="450" t="n"/>
      <c r="N409" s="450" t="n"/>
      <c r="O409" s="450" t="n"/>
      <c r="P409" s="450" t="n"/>
      <c r="Q409" s="450" t="n"/>
    </row>
    <row r="410" customFormat="1" s="45">
      <c r="A410" s="450" t="n"/>
      <c r="B410" s="450" t="n"/>
      <c r="C410" s="450" t="n"/>
      <c r="D410" s="450" t="n"/>
      <c r="E410" s="450" t="n"/>
      <c r="F410" s="450" t="n"/>
      <c r="G410" s="450" t="n"/>
      <c r="H410" s="450" t="n"/>
      <c r="I410" s="450" t="n"/>
      <c r="J410" s="83" t="n"/>
      <c r="K410" s="450" t="n"/>
      <c r="L410" s="450" t="n"/>
      <c r="M410" s="450" t="n"/>
      <c r="N410" s="450" t="n"/>
      <c r="O410" s="450" t="n"/>
      <c r="P410" s="450" t="n"/>
      <c r="Q410" s="450" t="n"/>
    </row>
    <row r="411" customFormat="1" s="45">
      <c r="A411" s="450" t="n"/>
      <c r="B411" s="450" t="n"/>
      <c r="C411" s="450" t="n"/>
      <c r="D411" s="450" t="n"/>
      <c r="E411" s="450" t="n"/>
      <c r="F411" s="450" t="n"/>
      <c r="G411" s="450" t="n"/>
      <c r="H411" s="450" t="n"/>
      <c r="I411" s="450" t="n"/>
      <c r="J411" s="83" t="n"/>
      <c r="K411" s="450" t="n"/>
      <c r="L411" s="450" t="n"/>
      <c r="M411" s="450" t="n"/>
      <c r="N411" s="450" t="n"/>
      <c r="O411" s="450" t="n"/>
      <c r="P411" s="450" t="n"/>
      <c r="Q411" s="450" t="n"/>
    </row>
    <row r="412" customFormat="1" s="45">
      <c r="A412" s="450" t="n"/>
      <c r="B412" s="450" t="n"/>
      <c r="C412" s="450" t="n"/>
      <c r="D412" s="450" t="n"/>
      <c r="E412" s="450" t="n"/>
      <c r="F412" s="450" t="n"/>
      <c r="G412" s="450" t="n"/>
      <c r="H412" s="450" t="n"/>
      <c r="I412" s="450" t="n"/>
      <c r="J412" s="83" t="n"/>
      <c r="K412" s="450" t="n"/>
      <c r="L412" s="450" t="n"/>
      <c r="M412" s="450" t="n"/>
      <c r="N412" s="450" t="n"/>
      <c r="O412" s="450" t="n"/>
      <c r="P412" s="450" t="n"/>
      <c r="Q412" s="450" t="n"/>
    </row>
    <row r="413" customFormat="1" s="45">
      <c r="A413" s="450" t="n"/>
      <c r="B413" s="450" t="n"/>
      <c r="C413" s="450" t="n"/>
      <c r="D413" s="450" t="n"/>
      <c r="E413" s="450" t="n"/>
      <c r="F413" s="450" t="n"/>
      <c r="G413" s="450" t="n"/>
      <c r="H413" s="450" t="n"/>
      <c r="I413" s="450" t="n"/>
      <c r="J413" s="83" t="n"/>
      <c r="K413" s="450" t="n"/>
      <c r="L413" s="450" t="n"/>
      <c r="M413" s="450" t="n"/>
      <c r="N413" s="450" t="n"/>
      <c r="O413" s="450" t="n"/>
      <c r="P413" s="450" t="n"/>
      <c r="Q413" s="450" t="n"/>
    </row>
    <row r="414" customFormat="1" s="45">
      <c r="A414" s="450" t="n"/>
      <c r="B414" s="450" t="n"/>
      <c r="C414" s="450" t="n"/>
      <c r="D414" s="450" t="n"/>
      <c r="E414" s="450" t="n"/>
      <c r="F414" s="450" t="n"/>
      <c r="G414" s="450" t="n"/>
      <c r="H414" s="450" t="n"/>
      <c r="I414" s="450" t="n"/>
      <c r="J414" s="83" t="n"/>
      <c r="K414" s="450" t="n"/>
      <c r="L414" s="450" t="n"/>
      <c r="M414" s="450" t="n"/>
      <c r="N414" s="450" t="n"/>
      <c r="O414" s="450" t="n"/>
      <c r="P414" s="450" t="n"/>
      <c r="Q414" s="450" t="n"/>
    </row>
    <row r="415" customFormat="1" s="45">
      <c r="A415" s="450" t="n"/>
      <c r="B415" s="450" t="n"/>
      <c r="C415" s="450" t="n"/>
      <c r="D415" s="450" t="n"/>
      <c r="E415" s="450" t="n"/>
      <c r="F415" s="450" t="n"/>
      <c r="G415" s="450" t="n"/>
      <c r="H415" s="450" t="n"/>
      <c r="I415" s="450" t="n"/>
      <c r="J415" s="83" t="n"/>
      <c r="K415" s="450" t="n"/>
      <c r="L415" s="450" t="n"/>
      <c r="M415" s="450" t="n"/>
      <c r="N415" s="450" t="n"/>
      <c r="O415" s="450" t="n"/>
      <c r="P415" s="450" t="n"/>
      <c r="Q415" s="450" t="n"/>
    </row>
    <row r="416" customFormat="1" s="45">
      <c r="A416" s="450" t="n"/>
      <c r="B416" s="450" t="n"/>
      <c r="C416" s="450" t="n"/>
      <c r="D416" s="450" t="n"/>
      <c r="E416" s="450" t="n"/>
      <c r="F416" s="450" t="n"/>
      <c r="G416" s="450" t="n"/>
      <c r="H416" s="450" t="n"/>
      <c r="I416" s="450" t="n"/>
      <c r="J416" s="83" t="n"/>
      <c r="K416" s="450" t="n"/>
      <c r="L416" s="450" t="n"/>
      <c r="M416" s="450" t="n"/>
      <c r="N416" s="450" t="n"/>
      <c r="O416" s="450" t="n"/>
      <c r="P416" s="450" t="n"/>
      <c r="Q416" s="450" t="n"/>
    </row>
    <row r="417" customFormat="1" s="45">
      <c r="A417" s="450" t="n"/>
      <c r="B417" s="450" t="n"/>
      <c r="C417" s="450" t="n"/>
      <c r="D417" s="450" t="n"/>
      <c r="E417" s="450" t="n"/>
      <c r="F417" s="450" t="n"/>
      <c r="G417" s="450" t="n"/>
      <c r="H417" s="450" t="n"/>
      <c r="I417" s="450" t="n"/>
      <c r="J417" s="83" t="n"/>
      <c r="K417" s="450" t="n"/>
      <c r="L417" s="450" t="n"/>
      <c r="M417" s="450" t="n"/>
      <c r="N417" s="450" t="n"/>
      <c r="O417" s="450" t="n"/>
      <c r="P417" s="450" t="n"/>
      <c r="Q417" s="450" t="n"/>
    </row>
    <row r="418" customFormat="1" s="45">
      <c r="A418" s="450" t="n"/>
      <c r="B418" s="450" t="n"/>
      <c r="C418" s="450" t="n"/>
      <c r="D418" s="450" t="n"/>
      <c r="E418" s="450" t="n"/>
      <c r="F418" s="450" t="n"/>
      <c r="G418" s="450" t="n"/>
      <c r="H418" s="450" t="n"/>
      <c r="I418" s="450" t="n"/>
      <c r="J418" s="83" t="n"/>
      <c r="K418" s="450" t="n"/>
      <c r="L418" s="450" t="n"/>
      <c r="M418" s="450" t="n"/>
      <c r="N418" s="450" t="n"/>
      <c r="O418" s="450" t="n"/>
      <c r="P418" s="450" t="n"/>
      <c r="Q418" s="450" t="n"/>
    </row>
    <row r="419" customFormat="1" s="45">
      <c r="A419" s="450" t="n"/>
      <c r="B419" s="450" t="n"/>
      <c r="C419" s="450" t="n"/>
      <c r="D419" s="450" t="n"/>
      <c r="E419" s="450" t="n"/>
      <c r="F419" s="450" t="n"/>
      <c r="G419" s="450" t="n"/>
      <c r="H419" s="450" t="n"/>
      <c r="I419" s="450" t="n"/>
      <c r="J419" s="83" t="n"/>
      <c r="K419" s="450" t="n"/>
      <c r="L419" s="450" t="n"/>
      <c r="M419" s="450" t="n"/>
      <c r="N419" s="450" t="n"/>
      <c r="O419" s="450" t="n"/>
      <c r="P419" s="450" t="n"/>
      <c r="Q419" s="450" t="n"/>
    </row>
    <row r="420" customFormat="1" s="45">
      <c r="A420" s="450" t="n"/>
      <c r="B420" s="450" t="n"/>
      <c r="C420" s="450" t="n"/>
      <c r="D420" s="450" t="n"/>
      <c r="E420" s="450" t="n"/>
      <c r="F420" s="450" t="n"/>
      <c r="G420" s="450" t="n"/>
      <c r="H420" s="450" t="n"/>
      <c r="I420" s="450" t="n"/>
      <c r="J420" s="83" t="n"/>
      <c r="K420" s="450" t="n"/>
      <c r="L420" s="450" t="n"/>
      <c r="M420" s="450" t="n"/>
      <c r="N420" s="450" t="n"/>
      <c r="O420" s="450" t="n"/>
      <c r="P420" s="450" t="n"/>
      <c r="Q420" s="450" t="n"/>
    </row>
    <row r="421" customFormat="1" s="45">
      <c r="A421" s="450" t="n"/>
      <c r="B421" s="450" t="n"/>
      <c r="C421" s="450" t="n"/>
      <c r="D421" s="450" t="n"/>
      <c r="E421" s="450" t="n"/>
      <c r="F421" s="450" t="n"/>
      <c r="G421" s="450" t="n"/>
      <c r="H421" s="450" t="n"/>
      <c r="I421" s="450" t="n"/>
      <c r="J421" s="83" t="n"/>
      <c r="K421" s="450" t="n"/>
      <c r="L421" s="450" t="n"/>
      <c r="M421" s="450" t="n"/>
      <c r="N421" s="450" t="n"/>
      <c r="O421" s="450" t="n"/>
      <c r="P421" s="450" t="n"/>
      <c r="Q421" s="450" t="n"/>
    </row>
    <row r="422" customFormat="1" s="45">
      <c r="A422" s="450" t="n"/>
      <c r="B422" s="450" t="n"/>
      <c r="C422" s="450" t="n"/>
      <c r="D422" s="450" t="n"/>
      <c r="E422" s="450" t="n"/>
      <c r="F422" s="450" t="n"/>
      <c r="G422" s="450" t="n"/>
      <c r="H422" s="450" t="n"/>
      <c r="I422" s="450" t="n"/>
      <c r="J422" s="83" t="n"/>
      <c r="K422" s="450" t="n"/>
      <c r="L422" s="450" t="n"/>
      <c r="M422" s="450" t="n"/>
      <c r="N422" s="450" t="n"/>
      <c r="O422" s="450" t="n"/>
      <c r="P422" s="450" t="n"/>
      <c r="Q422" s="450" t="n"/>
    </row>
    <row r="423" customFormat="1" s="45">
      <c r="A423" s="450" t="n"/>
      <c r="B423" s="450" t="n"/>
      <c r="C423" s="450" t="n"/>
      <c r="D423" s="450" t="n"/>
      <c r="E423" s="450" t="n"/>
      <c r="F423" s="450" t="n"/>
      <c r="G423" s="450" t="n"/>
      <c r="H423" s="450" t="n"/>
      <c r="I423" s="450" t="n"/>
      <c r="J423" s="83" t="n"/>
      <c r="K423" s="450" t="n"/>
      <c r="L423" s="450" t="n"/>
      <c r="M423" s="450" t="n"/>
      <c r="N423" s="450" t="n"/>
      <c r="O423" s="450" t="n"/>
      <c r="P423" s="450" t="n"/>
      <c r="Q423" s="450" t="n"/>
    </row>
    <row r="424" customFormat="1" s="45">
      <c r="A424" s="450" t="n"/>
      <c r="B424" s="450" t="n"/>
      <c r="C424" s="450" t="n"/>
      <c r="D424" s="450" t="n"/>
      <c r="E424" s="450" t="n"/>
      <c r="F424" s="450" t="n"/>
      <c r="G424" s="450" t="n"/>
      <c r="H424" s="450" t="n"/>
      <c r="I424" s="450" t="n"/>
      <c r="J424" s="83" t="n"/>
      <c r="K424" s="450" t="n"/>
      <c r="L424" s="450" t="n"/>
      <c r="M424" s="450" t="n"/>
      <c r="N424" s="450" t="n"/>
      <c r="O424" s="450" t="n"/>
      <c r="P424" s="450" t="n"/>
      <c r="Q424" s="450" t="n"/>
    </row>
    <row r="425" customFormat="1" s="45">
      <c r="A425" s="450" t="n"/>
      <c r="B425" s="450" t="n"/>
      <c r="C425" s="450" t="n"/>
      <c r="D425" s="450" t="n"/>
      <c r="E425" s="450" t="n"/>
      <c r="F425" s="450" t="n"/>
      <c r="G425" s="450" t="n"/>
      <c r="H425" s="450" t="n"/>
      <c r="I425" s="450" t="n"/>
      <c r="J425" s="83" t="n"/>
      <c r="K425" s="450" t="n"/>
      <c r="L425" s="450" t="n"/>
      <c r="M425" s="450" t="n"/>
      <c r="N425" s="450" t="n"/>
      <c r="O425" s="450" t="n"/>
      <c r="P425" s="450" t="n"/>
      <c r="Q425" s="450" t="n"/>
    </row>
    <row r="426" customFormat="1" s="45">
      <c r="A426" s="450" t="n"/>
      <c r="B426" s="450" t="n"/>
      <c r="C426" s="450" t="n"/>
      <c r="D426" s="450" t="n"/>
      <c r="E426" s="450" t="n"/>
      <c r="F426" s="450" t="n"/>
      <c r="G426" s="450" t="n"/>
      <c r="H426" s="450" t="n"/>
      <c r="I426" s="450" t="n"/>
      <c r="J426" s="83" t="n"/>
      <c r="K426" s="450" t="n"/>
      <c r="L426" s="450" t="n"/>
      <c r="M426" s="450" t="n"/>
      <c r="N426" s="450" t="n"/>
      <c r="O426" s="450" t="n"/>
      <c r="P426" s="450" t="n"/>
      <c r="Q426" s="450" t="n"/>
    </row>
    <row r="427" customFormat="1" s="45">
      <c r="A427" s="450" t="n"/>
      <c r="B427" s="450" t="n"/>
      <c r="C427" s="450" t="n"/>
      <c r="D427" s="450" t="n"/>
      <c r="E427" s="450" t="n"/>
      <c r="F427" s="450" t="n"/>
      <c r="G427" s="450" t="n"/>
      <c r="H427" s="450" t="n"/>
      <c r="I427" s="450" t="n"/>
      <c r="J427" s="83" t="n"/>
      <c r="K427" s="450" t="n"/>
      <c r="L427" s="450" t="n"/>
      <c r="M427" s="450" t="n"/>
      <c r="N427" s="450" t="n"/>
      <c r="O427" s="450" t="n"/>
      <c r="P427" s="450" t="n"/>
      <c r="Q427" s="450" t="n"/>
    </row>
    <row r="428" customFormat="1" s="45">
      <c r="A428" s="450" t="n"/>
      <c r="B428" s="450" t="n"/>
      <c r="C428" s="450" t="n"/>
      <c r="D428" s="450" t="n"/>
      <c r="E428" s="450" t="n"/>
      <c r="F428" s="450" t="n"/>
      <c r="G428" s="450" t="n"/>
      <c r="H428" s="450" t="n"/>
      <c r="I428" s="450" t="n"/>
      <c r="J428" s="83" t="n"/>
      <c r="K428" s="450" t="n"/>
      <c r="L428" s="450" t="n"/>
      <c r="M428" s="450" t="n"/>
      <c r="N428" s="450" t="n"/>
      <c r="O428" s="450" t="n"/>
      <c r="P428" s="450" t="n"/>
      <c r="Q428" s="450" t="n"/>
    </row>
    <row r="429" customFormat="1" s="45">
      <c r="A429" s="450" t="n"/>
      <c r="B429" s="450" t="n"/>
      <c r="C429" s="450" t="n"/>
      <c r="D429" s="450" t="n"/>
      <c r="E429" s="450" t="n"/>
      <c r="F429" s="450" t="n"/>
      <c r="G429" s="450" t="n"/>
      <c r="H429" s="450" t="n"/>
      <c r="I429" s="450" t="n"/>
      <c r="J429" s="83" t="n"/>
      <c r="K429" s="450" t="n"/>
      <c r="L429" s="450" t="n"/>
      <c r="M429" s="450" t="n"/>
      <c r="N429" s="450" t="n"/>
      <c r="O429" s="450" t="n"/>
      <c r="P429" s="450" t="n"/>
      <c r="Q429" s="450" t="n"/>
    </row>
    <row r="430" customFormat="1" s="45">
      <c r="A430" s="450" t="n"/>
      <c r="B430" s="450" t="n"/>
      <c r="C430" s="450" t="n"/>
      <c r="D430" s="450" t="n"/>
      <c r="E430" s="450" t="n"/>
      <c r="F430" s="450" t="n"/>
      <c r="G430" s="450" t="n"/>
      <c r="H430" s="450" t="n"/>
      <c r="I430" s="450" t="n"/>
      <c r="J430" s="83" t="n"/>
      <c r="K430" s="450" t="n"/>
      <c r="L430" s="450" t="n"/>
      <c r="M430" s="450" t="n"/>
      <c r="N430" s="450" t="n"/>
      <c r="O430" s="450" t="n"/>
      <c r="P430" s="450" t="n"/>
      <c r="Q430" s="450" t="n"/>
    </row>
    <row r="431" customFormat="1" s="45">
      <c r="A431" s="450" t="n"/>
      <c r="B431" s="450" t="n"/>
      <c r="C431" s="450" t="n"/>
      <c r="D431" s="450" t="n"/>
      <c r="E431" s="450" t="n"/>
      <c r="F431" s="450" t="n"/>
      <c r="G431" s="450" t="n"/>
      <c r="H431" s="450" t="n"/>
      <c r="I431" s="450" t="n"/>
      <c r="J431" s="83" t="n"/>
      <c r="K431" s="450" t="n"/>
      <c r="L431" s="450" t="n"/>
      <c r="M431" s="450" t="n"/>
      <c r="N431" s="450" t="n"/>
      <c r="O431" s="450" t="n"/>
      <c r="P431" s="450" t="n"/>
      <c r="Q431" s="450" t="n"/>
    </row>
    <row r="432" customFormat="1" s="45">
      <c r="A432" s="450" t="n"/>
      <c r="B432" s="450" t="n"/>
      <c r="C432" s="450" t="n"/>
      <c r="D432" s="450" t="n"/>
      <c r="E432" s="450" t="n"/>
      <c r="F432" s="450" t="n"/>
      <c r="G432" s="450" t="n"/>
      <c r="H432" s="450" t="n"/>
      <c r="I432" s="450" t="n"/>
      <c r="J432" s="83" t="n"/>
      <c r="K432" s="450" t="n"/>
      <c r="L432" s="450" t="n"/>
      <c r="M432" s="450" t="n"/>
      <c r="N432" s="450" t="n"/>
      <c r="O432" s="450" t="n"/>
      <c r="P432" s="450" t="n"/>
      <c r="Q432" s="450" t="n"/>
    </row>
    <row r="433" customFormat="1" s="45">
      <c r="A433" s="450" t="n"/>
      <c r="B433" s="450" t="n"/>
      <c r="C433" s="450" t="n"/>
      <c r="D433" s="450" t="n"/>
      <c r="E433" s="450" t="n"/>
      <c r="F433" s="450" t="n"/>
      <c r="G433" s="450" t="n"/>
      <c r="H433" s="450" t="n"/>
      <c r="I433" s="450" t="n"/>
      <c r="J433" s="83" t="n"/>
      <c r="K433" s="450" t="n"/>
      <c r="L433" s="450" t="n"/>
      <c r="M433" s="450" t="n"/>
      <c r="N433" s="450" t="n"/>
      <c r="O433" s="450" t="n"/>
      <c r="P433" s="450" t="n"/>
      <c r="Q433" s="450" t="n"/>
    </row>
    <row r="434" customFormat="1" s="45">
      <c r="A434" s="450" t="n"/>
      <c r="B434" s="450" t="n"/>
      <c r="C434" s="450" t="n"/>
      <c r="D434" s="450" t="n"/>
      <c r="E434" s="450" t="n"/>
      <c r="F434" s="450" t="n"/>
      <c r="G434" s="450" t="n"/>
      <c r="H434" s="450" t="n"/>
      <c r="I434" s="450" t="n"/>
      <c r="J434" s="83" t="n"/>
      <c r="K434" s="450" t="n"/>
      <c r="L434" s="450" t="n"/>
      <c r="M434" s="450" t="n"/>
      <c r="N434" s="450" t="n"/>
      <c r="O434" s="450" t="n"/>
      <c r="P434" s="450" t="n"/>
      <c r="Q434" s="450" t="n"/>
    </row>
    <row r="435" customFormat="1" s="45">
      <c r="A435" s="450" t="n"/>
      <c r="B435" s="450" t="n"/>
      <c r="C435" s="450" t="n"/>
      <c r="D435" s="450" t="n"/>
      <c r="E435" s="450" t="n"/>
      <c r="F435" s="450" t="n"/>
      <c r="G435" s="450" t="n"/>
      <c r="H435" s="450" t="n"/>
      <c r="I435" s="450" t="n"/>
      <c r="J435" s="83" t="n"/>
      <c r="K435" s="450" t="n"/>
      <c r="L435" s="450" t="n"/>
      <c r="M435" s="450" t="n"/>
      <c r="N435" s="450" t="n"/>
      <c r="O435" s="450" t="n"/>
      <c r="P435" s="450" t="n"/>
      <c r="Q435" s="450" t="n"/>
    </row>
    <row r="436" customFormat="1" s="45">
      <c r="A436" s="450" t="n"/>
      <c r="B436" s="450" t="n"/>
      <c r="C436" s="450" t="n"/>
      <c r="D436" s="450" t="n"/>
      <c r="E436" s="450" t="n"/>
      <c r="F436" s="450" t="n"/>
      <c r="G436" s="450" t="n"/>
      <c r="H436" s="450" t="n"/>
      <c r="I436" s="450" t="n"/>
      <c r="J436" s="83" t="n"/>
      <c r="K436" s="450" t="n"/>
      <c r="L436" s="450" t="n"/>
      <c r="M436" s="450" t="n"/>
      <c r="N436" s="450" t="n"/>
      <c r="O436" s="450" t="n"/>
      <c r="P436" s="450" t="n"/>
      <c r="Q436" s="450" t="n"/>
    </row>
    <row r="437" customFormat="1" s="45">
      <c r="A437" s="450" t="n"/>
      <c r="B437" s="450" t="n"/>
      <c r="C437" s="450" t="n"/>
      <c r="D437" s="450" t="n"/>
      <c r="E437" s="450" t="n"/>
      <c r="F437" s="450" t="n"/>
      <c r="G437" s="450" t="n"/>
      <c r="H437" s="450" t="n"/>
      <c r="I437" s="450" t="n"/>
      <c r="J437" s="83" t="n"/>
      <c r="K437" s="450" t="n"/>
      <c r="L437" s="450" t="n"/>
      <c r="M437" s="450" t="n"/>
      <c r="N437" s="450" t="n"/>
      <c r="O437" s="450" t="n"/>
      <c r="P437" s="450" t="n"/>
      <c r="Q437" s="450" t="n"/>
    </row>
    <row r="438" customFormat="1" s="45">
      <c r="A438" s="450" t="n"/>
      <c r="B438" s="450" t="n"/>
      <c r="C438" s="450" t="n"/>
      <c r="D438" s="450" t="n"/>
      <c r="E438" s="450" t="n"/>
      <c r="F438" s="450" t="n"/>
      <c r="G438" s="450" t="n"/>
      <c r="H438" s="450" t="n"/>
      <c r="I438" s="450" t="n"/>
      <c r="J438" s="83" t="n"/>
      <c r="K438" s="450" t="n"/>
      <c r="L438" s="450" t="n"/>
      <c r="M438" s="450" t="n"/>
      <c r="N438" s="450" t="n"/>
      <c r="O438" s="450" t="n"/>
      <c r="P438" s="450" t="n"/>
      <c r="Q438" s="450" t="n"/>
    </row>
    <row r="439" customFormat="1" s="45">
      <c r="A439" s="450" t="n"/>
      <c r="B439" s="450" t="n"/>
      <c r="C439" s="450" t="n"/>
      <c r="D439" s="450" t="n"/>
      <c r="E439" s="450" t="n"/>
      <c r="F439" s="450" t="n"/>
      <c r="G439" s="450" t="n"/>
      <c r="H439" s="450" t="n"/>
      <c r="I439" s="450" t="n"/>
      <c r="J439" s="83" t="n"/>
      <c r="K439" s="450" t="n"/>
      <c r="L439" s="450" t="n"/>
      <c r="M439" s="450" t="n"/>
      <c r="N439" s="450" t="n"/>
      <c r="O439" s="450" t="n"/>
      <c r="P439" s="450" t="n"/>
      <c r="Q439" s="450" t="n"/>
    </row>
    <row r="440" customFormat="1" s="45">
      <c r="A440" s="450" t="n"/>
      <c r="B440" s="450" t="n"/>
      <c r="C440" s="450" t="n"/>
      <c r="D440" s="450" t="n"/>
      <c r="E440" s="450" t="n"/>
      <c r="F440" s="450" t="n"/>
      <c r="G440" s="450" t="n"/>
      <c r="H440" s="450" t="n"/>
      <c r="I440" s="450" t="n"/>
      <c r="J440" s="83" t="n"/>
      <c r="K440" s="450" t="n"/>
      <c r="L440" s="450" t="n"/>
      <c r="M440" s="450" t="n"/>
      <c r="N440" s="450" t="n"/>
      <c r="O440" s="450" t="n"/>
      <c r="P440" s="450" t="n"/>
      <c r="Q440" s="450" t="n"/>
    </row>
    <row r="441" customFormat="1" s="45">
      <c r="A441" s="450" t="n"/>
      <c r="B441" s="450" t="n"/>
      <c r="C441" s="450" t="n"/>
      <c r="D441" s="450" t="n"/>
      <c r="E441" s="450" t="n"/>
      <c r="F441" s="450" t="n"/>
      <c r="G441" s="450" t="n"/>
      <c r="H441" s="450" t="n"/>
      <c r="I441" s="450" t="n"/>
      <c r="J441" s="83" t="n"/>
      <c r="K441" s="450" t="n"/>
      <c r="L441" s="450" t="n"/>
      <c r="M441" s="450" t="n"/>
      <c r="N441" s="450" t="n"/>
      <c r="O441" s="450" t="n"/>
      <c r="P441" s="450" t="n"/>
      <c r="Q441" s="450" t="n"/>
    </row>
    <row r="442" customFormat="1" s="45">
      <c r="A442" s="450" t="n"/>
      <c r="B442" s="450" t="n"/>
      <c r="C442" s="450" t="n"/>
      <c r="D442" s="450" t="n"/>
      <c r="E442" s="450" t="n"/>
      <c r="F442" s="450" t="n"/>
      <c r="G442" s="450" t="n"/>
      <c r="H442" s="450" t="n"/>
      <c r="I442" s="450" t="n"/>
      <c r="J442" s="83" t="n"/>
      <c r="K442" s="450" t="n"/>
      <c r="L442" s="450" t="n"/>
      <c r="M442" s="450" t="n"/>
      <c r="N442" s="450" t="n"/>
      <c r="O442" s="450" t="n"/>
      <c r="P442" s="450" t="n"/>
      <c r="Q442" s="450" t="n"/>
    </row>
    <row r="443" customFormat="1" s="45">
      <c r="A443" s="450" t="n"/>
      <c r="B443" s="450" t="n"/>
      <c r="C443" s="450" t="n"/>
      <c r="D443" s="450" t="n"/>
      <c r="E443" s="450" t="n"/>
      <c r="F443" s="450" t="n"/>
      <c r="G443" s="450" t="n"/>
      <c r="H443" s="450" t="n"/>
      <c r="I443" s="450" t="n"/>
      <c r="J443" s="83" t="n"/>
      <c r="K443" s="450" t="n"/>
      <c r="L443" s="450" t="n"/>
      <c r="M443" s="450" t="n"/>
      <c r="N443" s="450" t="n"/>
      <c r="O443" s="450" t="n"/>
      <c r="P443" s="450" t="n"/>
      <c r="Q443" s="450" t="n"/>
    </row>
    <row r="444" customFormat="1" s="45">
      <c r="A444" s="450" t="n"/>
      <c r="B444" s="450" t="n"/>
      <c r="C444" s="450" t="n"/>
      <c r="D444" s="450" t="n"/>
      <c r="E444" s="450" t="n"/>
      <c r="F444" s="450" t="n"/>
      <c r="G444" s="450" t="n"/>
      <c r="H444" s="450" t="n"/>
      <c r="I444" s="450" t="n"/>
      <c r="J444" s="83" t="n"/>
      <c r="K444" s="450" t="n"/>
      <c r="L444" s="450" t="n"/>
      <c r="M444" s="450" t="n"/>
      <c r="N444" s="450" t="n"/>
      <c r="O444" s="450" t="n"/>
      <c r="P444" s="450" t="n"/>
      <c r="Q444" s="450" t="n"/>
    </row>
    <row r="445" customFormat="1" s="45">
      <c r="A445" s="450" t="n"/>
      <c r="B445" s="450" t="n"/>
      <c r="C445" s="450" t="n"/>
      <c r="D445" s="450" t="n"/>
      <c r="E445" s="450" t="n"/>
      <c r="F445" s="450" t="n"/>
      <c r="G445" s="450" t="n"/>
      <c r="H445" s="450" t="n"/>
      <c r="I445" s="450" t="n"/>
      <c r="J445" s="83" t="n"/>
      <c r="K445" s="450" t="n"/>
      <c r="L445" s="450" t="n"/>
      <c r="M445" s="450" t="n"/>
      <c r="N445" s="450" t="n"/>
      <c r="O445" s="450" t="n"/>
      <c r="P445" s="450" t="n"/>
      <c r="Q445" s="450" t="n"/>
    </row>
    <row r="446" customFormat="1" s="45">
      <c r="A446" s="450" t="n"/>
      <c r="B446" s="450" t="n"/>
      <c r="C446" s="450" t="n"/>
      <c r="D446" s="450" t="n"/>
      <c r="E446" s="450" t="n"/>
      <c r="F446" s="450" t="n"/>
      <c r="G446" s="450" t="n"/>
      <c r="H446" s="450" t="n"/>
      <c r="I446" s="450" t="n"/>
      <c r="J446" s="83" t="n"/>
      <c r="K446" s="450" t="n"/>
      <c r="L446" s="450" t="n"/>
      <c r="M446" s="450" t="n"/>
      <c r="N446" s="450" t="n"/>
      <c r="O446" s="450" t="n"/>
      <c r="P446" s="450" t="n"/>
      <c r="Q446" s="450" t="n"/>
    </row>
    <row r="447" customFormat="1" s="45">
      <c r="A447" s="450" t="n"/>
      <c r="B447" s="450" t="n"/>
      <c r="C447" s="450" t="n"/>
      <c r="D447" s="450" t="n"/>
      <c r="E447" s="450" t="n"/>
      <c r="F447" s="450" t="n"/>
      <c r="G447" s="450" t="n"/>
      <c r="H447" s="450" t="n"/>
      <c r="I447" s="450" t="n"/>
      <c r="J447" s="83" t="n"/>
      <c r="K447" s="450" t="n"/>
      <c r="L447" s="450" t="n"/>
      <c r="M447" s="450" t="n"/>
      <c r="N447" s="450" t="n"/>
      <c r="O447" s="450" t="n"/>
      <c r="P447" s="450" t="n"/>
      <c r="Q447" s="450" t="n"/>
    </row>
    <row r="448" customFormat="1" s="45">
      <c r="A448" s="450" t="n"/>
      <c r="B448" s="450" t="n"/>
      <c r="C448" s="450" t="n"/>
      <c r="D448" s="450" t="n"/>
      <c r="E448" s="450" t="n"/>
      <c r="F448" s="450" t="n"/>
      <c r="G448" s="450" t="n"/>
      <c r="H448" s="450" t="n"/>
      <c r="I448" s="450" t="n"/>
      <c r="J448" s="83" t="n"/>
      <c r="K448" s="450" t="n"/>
      <c r="L448" s="450" t="n"/>
      <c r="M448" s="450" t="n"/>
      <c r="N448" s="450" t="n"/>
      <c r="O448" s="450" t="n"/>
      <c r="P448" s="450" t="n"/>
      <c r="Q448" s="450" t="n"/>
    </row>
    <row r="449" customFormat="1" s="45">
      <c r="A449" s="450" t="n"/>
      <c r="B449" s="450" t="n"/>
      <c r="C449" s="450" t="n"/>
      <c r="D449" s="450" t="n"/>
      <c r="E449" s="450" t="n"/>
      <c r="F449" s="450" t="n"/>
      <c r="G449" s="450" t="n"/>
      <c r="H449" s="450" t="n"/>
      <c r="I449" s="450" t="n"/>
      <c r="J449" s="83" t="n"/>
      <c r="K449" s="450" t="n"/>
      <c r="L449" s="450" t="n"/>
      <c r="M449" s="450" t="n"/>
      <c r="N449" s="450" t="n"/>
      <c r="O449" s="450" t="n"/>
      <c r="P449" s="450" t="n"/>
      <c r="Q449" s="450" t="n"/>
    </row>
    <row r="450" customFormat="1" s="45">
      <c r="A450" s="450" t="n"/>
      <c r="B450" s="450" t="n"/>
      <c r="C450" s="450" t="n"/>
      <c r="D450" s="450" t="n"/>
      <c r="E450" s="450" t="n"/>
      <c r="F450" s="450" t="n"/>
      <c r="G450" s="450" t="n"/>
      <c r="H450" s="450" t="n"/>
      <c r="I450" s="450" t="n"/>
      <c r="J450" s="83" t="n"/>
      <c r="K450" s="450" t="n"/>
      <c r="L450" s="450" t="n"/>
      <c r="M450" s="450" t="n"/>
      <c r="N450" s="450" t="n"/>
      <c r="O450" s="450" t="n"/>
      <c r="P450" s="450" t="n"/>
      <c r="Q450" s="450" t="n"/>
    </row>
    <row r="451" customFormat="1" s="45">
      <c r="A451" s="450" t="n"/>
      <c r="B451" s="450" t="n"/>
      <c r="C451" s="450" t="n"/>
      <c r="D451" s="450" t="n"/>
      <c r="E451" s="450" t="n"/>
      <c r="F451" s="450" t="n"/>
      <c r="G451" s="450" t="n"/>
      <c r="H451" s="450" t="n"/>
      <c r="I451" s="450" t="n"/>
      <c r="J451" s="83" t="n"/>
      <c r="K451" s="450" t="n"/>
      <c r="L451" s="450" t="n"/>
      <c r="M451" s="450" t="n"/>
      <c r="N451" s="450" t="n"/>
      <c r="O451" s="450" t="n"/>
      <c r="P451" s="450" t="n"/>
      <c r="Q451" s="450" t="n"/>
    </row>
    <row r="452" customFormat="1" s="45">
      <c r="A452" s="450" t="n"/>
      <c r="B452" s="450" t="n"/>
      <c r="C452" s="450" t="n"/>
      <c r="D452" s="450" t="n"/>
      <c r="E452" s="450" t="n"/>
      <c r="F452" s="450" t="n"/>
      <c r="G452" s="450" t="n"/>
      <c r="H452" s="450" t="n"/>
      <c r="I452" s="450" t="n"/>
      <c r="J452" s="83" t="n"/>
      <c r="K452" s="450" t="n"/>
      <c r="L452" s="450" t="n"/>
      <c r="M452" s="450" t="n"/>
      <c r="N452" s="450" t="n"/>
      <c r="O452" s="450" t="n"/>
      <c r="P452" s="450" t="n"/>
      <c r="Q452" s="450" t="n"/>
    </row>
    <row r="453" customFormat="1" s="45">
      <c r="A453" s="450" t="n"/>
      <c r="B453" s="450" t="n"/>
      <c r="C453" s="450" t="n"/>
      <c r="D453" s="450" t="n"/>
      <c r="E453" s="450" t="n"/>
      <c r="F453" s="450" t="n"/>
      <c r="G453" s="450" t="n"/>
      <c r="H453" s="450" t="n"/>
      <c r="I453" s="450" t="n"/>
      <c r="J453" s="83" t="n"/>
      <c r="K453" s="450" t="n"/>
      <c r="L453" s="450" t="n"/>
      <c r="M453" s="450" t="n"/>
      <c r="N453" s="450" t="n"/>
      <c r="O453" s="450" t="n"/>
      <c r="P453" s="450" t="n"/>
      <c r="Q453" s="450" t="n"/>
    </row>
    <row r="454" customFormat="1" s="45">
      <c r="A454" s="450" t="n"/>
      <c r="B454" s="450" t="n"/>
      <c r="C454" s="450" t="n"/>
      <c r="D454" s="450" t="n"/>
      <c r="E454" s="450" t="n"/>
      <c r="F454" s="450" t="n"/>
      <c r="G454" s="450" t="n"/>
      <c r="H454" s="450" t="n"/>
      <c r="I454" s="450" t="n"/>
      <c r="J454" s="83" t="n"/>
      <c r="K454" s="450" t="n"/>
      <c r="L454" s="450" t="n"/>
      <c r="M454" s="450" t="n"/>
      <c r="N454" s="450" t="n"/>
      <c r="O454" s="450" t="n"/>
      <c r="P454" s="450" t="n"/>
      <c r="Q454" s="450" t="n"/>
    </row>
    <row r="455" customFormat="1" s="45">
      <c r="A455" s="450" t="n"/>
      <c r="B455" s="450" t="n"/>
      <c r="C455" s="450" t="n"/>
      <c r="D455" s="450" t="n"/>
      <c r="E455" s="450" t="n"/>
      <c r="F455" s="450" t="n"/>
      <c r="G455" s="450" t="n"/>
      <c r="H455" s="450" t="n"/>
      <c r="I455" s="450" t="n"/>
      <c r="J455" s="83" t="n"/>
      <c r="K455" s="450" t="n"/>
      <c r="L455" s="450" t="n"/>
      <c r="M455" s="450" t="n"/>
      <c r="N455" s="450" t="n"/>
      <c r="O455" s="450" t="n"/>
      <c r="P455" s="450" t="n"/>
      <c r="Q455" s="450" t="n"/>
    </row>
    <row r="456" customFormat="1" s="45">
      <c r="A456" s="450" t="n"/>
      <c r="B456" s="450" t="n"/>
      <c r="C456" s="450" t="n"/>
      <c r="D456" s="450" t="n"/>
      <c r="E456" s="450" t="n"/>
      <c r="F456" s="450" t="n"/>
      <c r="G456" s="450" t="n"/>
      <c r="H456" s="450" t="n"/>
      <c r="I456" s="450" t="n"/>
      <c r="J456" s="83" t="n"/>
      <c r="K456" s="450" t="n"/>
      <c r="L456" s="450" t="n"/>
      <c r="M456" s="450" t="n"/>
      <c r="N456" s="450" t="n"/>
      <c r="O456" s="450" t="n"/>
      <c r="P456" s="450" t="n"/>
      <c r="Q456" s="450" t="n"/>
    </row>
    <row r="457" customFormat="1" s="45">
      <c r="A457" s="450" t="n"/>
      <c r="B457" s="450" t="n"/>
      <c r="C457" s="450" t="n"/>
      <c r="D457" s="450" t="n"/>
      <c r="E457" s="450" t="n"/>
      <c r="F457" s="450" t="n"/>
      <c r="G457" s="450" t="n"/>
      <c r="H457" s="450" t="n"/>
      <c r="I457" s="450" t="n"/>
      <c r="J457" s="83" t="n"/>
      <c r="K457" s="450" t="n"/>
      <c r="L457" s="450" t="n"/>
      <c r="M457" s="450" t="n"/>
      <c r="N457" s="450" t="n"/>
      <c r="O457" s="450" t="n"/>
      <c r="P457" s="450" t="n"/>
      <c r="Q457" s="450" t="n"/>
    </row>
    <row r="458" customFormat="1" s="45">
      <c r="A458" s="450" t="n"/>
      <c r="B458" s="450" t="n"/>
      <c r="C458" s="450" t="n"/>
      <c r="D458" s="450" t="n"/>
      <c r="E458" s="450" t="n"/>
      <c r="F458" s="450" t="n"/>
      <c r="G458" s="450" t="n"/>
      <c r="H458" s="450" t="n"/>
      <c r="I458" s="450" t="n"/>
      <c r="J458" s="83" t="n"/>
      <c r="K458" s="450" t="n"/>
      <c r="L458" s="450" t="n"/>
      <c r="M458" s="450" t="n"/>
      <c r="N458" s="450" t="n"/>
      <c r="O458" s="450" t="n"/>
      <c r="P458" s="450" t="n"/>
      <c r="Q458" s="450" t="n"/>
    </row>
    <row r="459" customFormat="1" s="45">
      <c r="A459" s="450" t="n"/>
      <c r="B459" s="450" t="n"/>
      <c r="C459" s="450" t="n"/>
      <c r="D459" s="450" t="n"/>
      <c r="E459" s="450" t="n"/>
      <c r="F459" s="450" t="n"/>
      <c r="G459" s="450" t="n"/>
      <c r="H459" s="450" t="n"/>
      <c r="I459" s="450" t="n"/>
      <c r="J459" s="83" t="n"/>
      <c r="K459" s="450" t="n"/>
      <c r="L459" s="450" t="n"/>
      <c r="M459" s="450" t="n"/>
      <c r="N459" s="450" t="n"/>
      <c r="O459" s="450" t="n"/>
      <c r="P459" s="450" t="n"/>
      <c r="Q459" s="450" t="n"/>
    </row>
    <row r="460" customFormat="1" s="45">
      <c r="A460" s="450" t="n"/>
      <c r="B460" s="450" t="n"/>
      <c r="C460" s="450" t="n"/>
      <c r="D460" s="450" t="n"/>
      <c r="E460" s="450" t="n"/>
      <c r="F460" s="450" t="n"/>
      <c r="G460" s="450" t="n"/>
      <c r="H460" s="450" t="n"/>
      <c r="I460" s="450" t="n"/>
      <c r="J460" s="83" t="n"/>
      <c r="K460" s="450" t="n"/>
      <c r="L460" s="450" t="n"/>
      <c r="M460" s="450" t="n"/>
      <c r="N460" s="450" t="n"/>
      <c r="O460" s="450" t="n"/>
      <c r="P460" s="450" t="n"/>
      <c r="Q460" s="450" t="n"/>
    </row>
    <row r="461" customFormat="1" s="45">
      <c r="A461" s="450" t="n"/>
      <c r="B461" s="450" t="n"/>
      <c r="C461" s="450" t="n"/>
      <c r="D461" s="450" t="n"/>
      <c r="E461" s="450" t="n"/>
      <c r="F461" s="450" t="n"/>
      <c r="G461" s="450" t="n"/>
      <c r="H461" s="450" t="n"/>
      <c r="I461" s="450" t="n"/>
      <c r="J461" s="83" t="n"/>
      <c r="K461" s="450" t="n"/>
      <c r="L461" s="450" t="n"/>
      <c r="M461" s="450" t="n"/>
      <c r="N461" s="450" t="n"/>
      <c r="O461" s="450" t="n"/>
      <c r="P461" s="450" t="n"/>
      <c r="Q461" s="450" t="n"/>
    </row>
    <row r="462" customFormat="1" s="45">
      <c r="A462" s="450" t="n"/>
      <c r="B462" s="450" t="n"/>
      <c r="C462" s="450" t="n"/>
      <c r="D462" s="450" t="n"/>
      <c r="E462" s="450" t="n"/>
      <c r="F462" s="450" t="n"/>
      <c r="G462" s="450" t="n"/>
      <c r="H462" s="450" t="n"/>
      <c r="I462" s="450" t="n"/>
      <c r="J462" s="83" t="n"/>
      <c r="K462" s="450" t="n"/>
      <c r="L462" s="450" t="n"/>
      <c r="M462" s="450" t="n"/>
      <c r="N462" s="450" t="n"/>
      <c r="O462" s="450" t="n"/>
      <c r="P462" s="450" t="n"/>
      <c r="Q462" s="450" t="n"/>
    </row>
    <row r="463" customFormat="1" s="45">
      <c r="A463" s="450" t="n"/>
      <c r="B463" s="450" t="n"/>
      <c r="C463" s="450" t="n"/>
      <c r="D463" s="450" t="n"/>
      <c r="E463" s="450" t="n"/>
      <c r="F463" s="450" t="n"/>
      <c r="G463" s="450" t="n"/>
      <c r="H463" s="450" t="n"/>
      <c r="I463" s="450" t="n"/>
      <c r="J463" s="83" t="n"/>
      <c r="K463" s="450" t="n"/>
      <c r="L463" s="450" t="n"/>
      <c r="M463" s="450" t="n"/>
      <c r="N463" s="450" t="n"/>
      <c r="O463" s="450" t="n"/>
      <c r="P463" s="450" t="n"/>
      <c r="Q463" s="450" t="n"/>
    </row>
    <row r="464" customFormat="1" s="45">
      <c r="A464" s="450" t="n"/>
      <c r="B464" s="450" t="n"/>
      <c r="C464" s="450" t="n"/>
      <c r="D464" s="450" t="n"/>
      <c r="E464" s="450" t="n"/>
      <c r="F464" s="450" t="n"/>
      <c r="G464" s="450" t="n"/>
      <c r="H464" s="450" t="n"/>
      <c r="I464" s="450" t="n"/>
      <c r="J464" s="83" t="n"/>
      <c r="K464" s="450" t="n"/>
      <c r="L464" s="450" t="n"/>
      <c r="M464" s="450" t="n"/>
      <c r="N464" s="450" t="n"/>
      <c r="O464" s="450" t="n"/>
      <c r="P464" s="450" t="n"/>
      <c r="Q464" s="450" t="n"/>
    </row>
    <row r="465" customFormat="1" s="45">
      <c r="A465" s="450" t="n"/>
      <c r="B465" s="450" t="n"/>
      <c r="C465" s="450" t="n"/>
      <c r="D465" s="450" t="n"/>
      <c r="E465" s="450" t="n"/>
      <c r="F465" s="450" t="n"/>
      <c r="G465" s="450" t="n"/>
      <c r="H465" s="450" t="n"/>
      <c r="I465" s="450" t="n"/>
      <c r="J465" s="83" t="n"/>
      <c r="K465" s="450" t="n"/>
      <c r="L465" s="450" t="n"/>
      <c r="M465" s="450" t="n"/>
      <c r="N465" s="450" t="n"/>
      <c r="O465" s="450" t="n"/>
      <c r="P465" s="450" t="n"/>
      <c r="Q465" s="450" t="n"/>
    </row>
    <row r="466" customFormat="1" s="45">
      <c r="A466" s="450" t="n"/>
      <c r="B466" s="450" t="n"/>
      <c r="C466" s="450" t="n"/>
      <c r="D466" s="450" t="n"/>
      <c r="E466" s="450" t="n"/>
      <c r="F466" s="450" t="n"/>
      <c r="G466" s="450" t="n"/>
      <c r="H466" s="450" t="n"/>
      <c r="I466" s="450" t="n"/>
      <c r="J466" s="83" t="n"/>
      <c r="K466" s="450" t="n"/>
      <c r="L466" s="450" t="n"/>
      <c r="M466" s="450" t="n"/>
      <c r="N466" s="450" t="n"/>
      <c r="O466" s="450" t="n"/>
      <c r="P466" s="450" t="n"/>
      <c r="Q466" s="450" t="n"/>
    </row>
    <row r="467" customFormat="1" s="45">
      <c r="A467" s="450" t="n"/>
      <c r="B467" s="450" t="n"/>
      <c r="C467" s="450" t="n"/>
      <c r="D467" s="450" t="n"/>
      <c r="E467" s="450" t="n"/>
      <c r="F467" s="450" t="n"/>
      <c r="G467" s="450" t="n"/>
      <c r="H467" s="450" t="n"/>
      <c r="I467" s="450" t="n"/>
      <c r="J467" s="83" t="n"/>
      <c r="K467" s="450" t="n"/>
      <c r="L467" s="450" t="n"/>
      <c r="M467" s="450" t="n"/>
      <c r="N467" s="450" t="n"/>
      <c r="O467" s="450" t="n"/>
      <c r="P467" s="450" t="n"/>
      <c r="Q467" s="450" t="n"/>
    </row>
    <row r="468" customFormat="1" s="45">
      <c r="A468" s="450" t="n"/>
      <c r="B468" s="450" t="n"/>
      <c r="C468" s="450" t="n"/>
      <c r="D468" s="450" t="n"/>
      <c r="E468" s="450" t="n"/>
      <c r="F468" s="450" t="n"/>
      <c r="G468" s="450" t="n"/>
      <c r="H468" s="450" t="n"/>
      <c r="I468" s="450" t="n"/>
      <c r="J468" s="83" t="n"/>
      <c r="K468" s="450" t="n"/>
      <c r="L468" s="450" t="n"/>
      <c r="M468" s="450" t="n"/>
      <c r="N468" s="450" t="n"/>
      <c r="O468" s="450" t="n"/>
      <c r="P468" s="450" t="n"/>
      <c r="Q468" s="450" t="n"/>
    </row>
    <row r="469" customFormat="1" s="45">
      <c r="A469" s="450" t="n"/>
      <c r="B469" s="450" t="n"/>
      <c r="C469" s="450" t="n"/>
      <c r="D469" s="450" t="n"/>
      <c r="E469" s="450" t="n"/>
      <c r="F469" s="450" t="n"/>
      <c r="G469" s="450" t="n"/>
      <c r="H469" s="450" t="n"/>
      <c r="I469" s="450" t="n"/>
      <c r="J469" s="83" t="n"/>
      <c r="K469" s="450" t="n"/>
      <c r="L469" s="450" t="n"/>
      <c r="M469" s="450" t="n"/>
      <c r="N469" s="450" t="n"/>
      <c r="O469" s="450" t="n"/>
      <c r="P469" s="450" t="n"/>
      <c r="Q469" s="450" t="n"/>
    </row>
    <row r="470" customFormat="1" s="45">
      <c r="A470" s="450" t="n"/>
      <c r="B470" s="450" t="n"/>
      <c r="C470" s="450" t="n"/>
      <c r="D470" s="450" t="n"/>
      <c r="E470" s="450" t="n"/>
      <c r="F470" s="450" t="n"/>
      <c r="G470" s="450" t="n"/>
      <c r="H470" s="450" t="n"/>
      <c r="I470" s="450" t="n"/>
      <c r="J470" s="83" t="n"/>
      <c r="K470" s="450" t="n"/>
      <c r="L470" s="450" t="n"/>
      <c r="M470" s="450" t="n"/>
      <c r="N470" s="450" t="n"/>
      <c r="O470" s="450" t="n"/>
      <c r="P470" s="450" t="n"/>
      <c r="Q470" s="450" t="n"/>
    </row>
    <row r="471" customFormat="1" s="45">
      <c r="A471" s="450" t="n"/>
      <c r="B471" s="450" t="n"/>
      <c r="C471" s="450" t="n"/>
      <c r="D471" s="450" t="n"/>
      <c r="E471" s="450" t="n"/>
      <c r="F471" s="450" t="n"/>
      <c r="G471" s="450" t="n"/>
      <c r="H471" s="450" t="n"/>
      <c r="I471" s="450" t="n"/>
      <c r="J471" s="83" t="n"/>
      <c r="K471" s="450" t="n"/>
      <c r="L471" s="450" t="n"/>
      <c r="M471" s="450" t="n"/>
      <c r="N471" s="450" t="n"/>
      <c r="O471" s="450" t="n"/>
      <c r="P471" s="450" t="n"/>
      <c r="Q471" s="450" t="n"/>
    </row>
    <row r="472" customFormat="1" s="45">
      <c r="A472" s="450" t="n"/>
      <c r="B472" s="450" t="n"/>
      <c r="C472" s="450" t="n"/>
      <c r="D472" s="450" t="n"/>
      <c r="E472" s="450" t="n"/>
      <c r="F472" s="450" t="n"/>
      <c r="G472" s="450" t="n"/>
      <c r="H472" s="450" t="n"/>
      <c r="I472" s="450" t="n"/>
      <c r="J472" s="83" t="n"/>
      <c r="K472" s="450" t="n"/>
      <c r="L472" s="450" t="n"/>
      <c r="M472" s="450" t="n"/>
      <c r="N472" s="450" t="n"/>
      <c r="O472" s="450" t="n"/>
      <c r="P472" s="450" t="n"/>
      <c r="Q472" s="450" t="n"/>
    </row>
    <row r="473" customFormat="1" s="45">
      <c r="A473" s="450" t="n"/>
      <c r="B473" s="450" t="n"/>
      <c r="C473" s="450" t="n"/>
      <c r="D473" s="450" t="n"/>
      <c r="E473" s="450" t="n"/>
      <c r="F473" s="450" t="n"/>
      <c r="G473" s="450" t="n"/>
      <c r="H473" s="450" t="n"/>
      <c r="I473" s="450" t="n"/>
      <c r="J473" s="83" t="n"/>
      <c r="K473" s="450" t="n"/>
      <c r="L473" s="450" t="n"/>
      <c r="M473" s="450" t="n"/>
      <c r="N473" s="450" t="n"/>
      <c r="O473" s="450" t="n"/>
      <c r="P473" s="450" t="n"/>
      <c r="Q473" s="450" t="n"/>
    </row>
    <row r="474" customFormat="1" s="45">
      <c r="A474" s="450" t="n"/>
      <c r="B474" s="450" t="n"/>
      <c r="C474" s="450" t="n"/>
      <c r="D474" s="450" t="n"/>
      <c r="E474" s="450" t="n"/>
      <c r="F474" s="450" t="n"/>
      <c r="G474" s="450" t="n"/>
      <c r="H474" s="450" t="n"/>
      <c r="I474" s="450" t="n"/>
      <c r="J474" s="83" t="n"/>
      <c r="K474" s="450" t="n"/>
      <c r="L474" s="450" t="n"/>
      <c r="M474" s="450" t="n"/>
      <c r="N474" s="450" t="n"/>
      <c r="O474" s="450" t="n"/>
      <c r="P474" s="450" t="n"/>
      <c r="Q474" s="450" t="n"/>
    </row>
    <row r="475" customFormat="1" s="45">
      <c r="A475" s="450" t="n"/>
      <c r="B475" s="450" t="n"/>
      <c r="C475" s="450" t="n"/>
      <c r="D475" s="450" t="n"/>
      <c r="E475" s="450" t="n"/>
      <c r="F475" s="450" t="n"/>
      <c r="G475" s="450" t="n"/>
      <c r="H475" s="450" t="n"/>
      <c r="I475" s="450" t="n"/>
      <c r="J475" s="83" t="n"/>
      <c r="K475" s="450" t="n"/>
      <c r="L475" s="450" t="n"/>
      <c r="M475" s="450" t="n"/>
      <c r="N475" s="450" t="n"/>
      <c r="O475" s="450" t="n"/>
      <c r="P475" s="450" t="n"/>
      <c r="Q475" s="450" t="n"/>
    </row>
    <row r="476" customFormat="1" s="45">
      <c r="A476" s="450" t="n"/>
      <c r="B476" s="450" t="n"/>
      <c r="C476" s="450" t="n"/>
      <c r="D476" s="450" t="n"/>
      <c r="E476" s="450" t="n"/>
      <c r="F476" s="450" t="n"/>
      <c r="G476" s="450" t="n"/>
      <c r="H476" s="450" t="n"/>
      <c r="I476" s="450" t="n"/>
      <c r="J476" s="83" t="n"/>
      <c r="K476" s="450" t="n"/>
      <c r="L476" s="450" t="n"/>
      <c r="M476" s="450" t="n"/>
      <c r="N476" s="450" t="n"/>
      <c r="O476" s="450" t="n"/>
      <c r="P476" s="450" t="n"/>
      <c r="Q476" s="450" t="n"/>
    </row>
    <row r="477" customFormat="1" s="45">
      <c r="A477" s="450" t="n"/>
      <c r="B477" s="450" t="n"/>
      <c r="C477" s="450" t="n"/>
      <c r="D477" s="450" t="n"/>
      <c r="E477" s="450" t="n"/>
      <c r="F477" s="450" t="n"/>
      <c r="G477" s="450" t="n"/>
      <c r="H477" s="450" t="n"/>
      <c r="I477" s="450" t="n"/>
      <c r="J477" s="83" t="n"/>
      <c r="K477" s="450" t="n"/>
      <c r="L477" s="450" t="n"/>
      <c r="M477" s="450" t="n"/>
      <c r="N477" s="450" t="n"/>
      <c r="O477" s="450" t="n"/>
      <c r="P477" s="450" t="n"/>
      <c r="Q477" s="450" t="n"/>
    </row>
    <row r="478" customFormat="1" s="45">
      <c r="A478" s="450" t="n"/>
      <c r="B478" s="450" t="n"/>
      <c r="C478" s="450" t="n"/>
      <c r="D478" s="450" t="n"/>
      <c r="E478" s="450" t="n"/>
      <c r="F478" s="450" t="n"/>
      <c r="G478" s="450" t="n"/>
      <c r="H478" s="450" t="n"/>
      <c r="I478" s="450" t="n"/>
      <c r="J478" s="83" t="n"/>
      <c r="K478" s="450" t="n"/>
      <c r="L478" s="450" t="n"/>
      <c r="M478" s="450" t="n"/>
      <c r="N478" s="450" t="n"/>
      <c r="O478" s="450" t="n"/>
      <c r="P478" s="450" t="n"/>
      <c r="Q478" s="450" t="n"/>
    </row>
    <row r="479" customFormat="1" s="45">
      <c r="A479" s="450" t="n"/>
      <c r="B479" s="450" t="n"/>
      <c r="C479" s="450" t="n"/>
      <c r="D479" s="450" t="n"/>
      <c r="E479" s="450" t="n"/>
      <c r="F479" s="450" t="n"/>
      <c r="G479" s="450" t="n"/>
      <c r="H479" s="450" t="n"/>
      <c r="I479" s="450" t="n"/>
      <c r="J479" s="83" t="n"/>
      <c r="K479" s="450" t="n"/>
      <c r="L479" s="450" t="n"/>
      <c r="M479" s="450" t="n"/>
      <c r="N479" s="450" t="n"/>
      <c r="O479" s="450" t="n"/>
      <c r="P479" s="450" t="n"/>
      <c r="Q479" s="450" t="n"/>
    </row>
    <row r="480" customFormat="1" s="45">
      <c r="A480" s="450" t="n"/>
      <c r="B480" s="450" t="n"/>
      <c r="C480" s="450" t="n"/>
      <c r="D480" s="450" t="n"/>
      <c r="E480" s="450" t="n"/>
      <c r="F480" s="450" t="n"/>
      <c r="G480" s="450" t="n"/>
      <c r="H480" s="450" t="n"/>
      <c r="I480" s="450" t="n"/>
      <c r="J480" s="83" t="n"/>
      <c r="K480" s="450" t="n"/>
      <c r="L480" s="450" t="n"/>
      <c r="M480" s="450" t="n"/>
      <c r="N480" s="450" t="n"/>
      <c r="O480" s="450" t="n"/>
      <c r="P480" s="450" t="n"/>
      <c r="Q480" s="450" t="n"/>
    </row>
    <row r="481" customFormat="1" s="45">
      <c r="A481" s="450" t="n"/>
      <c r="B481" s="450" t="n"/>
      <c r="C481" s="450" t="n"/>
      <c r="D481" s="450" t="n"/>
      <c r="E481" s="450" t="n"/>
      <c r="F481" s="450" t="n"/>
      <c r="G481" s="450" t="n"/>
      <c r="H481" s="450" t="n"/>
      <c r="I481" s="450" t="n"/>
      <c r="J481" s="83" t="n"/>
      <c r="K481" s="450" t="n"/>
      <c r="L481" s="450" t="n"/>
      <c r="M481" s="450" t="n"/>
      <c r="N481" s="450" t="n"/>
      <c r="O481" s="450" t="n"/>
      <c r="P481" s="450" t="n"/>
      <c r="Q481" s="450" t="n"/>
    </row>
    <row r="482" customFormat="1" s="45">
      <c r="A482" s="450" t="n"/>
      <c r="B482" s="450" t="n"/>
      <c r="C482" s="450" t="n"/>
      <c r="D482" s="450" t="n"/>
      <c r="E482" s="450" t="n"/>
      <c r="F482" s="450" t="n"/>
      <c r="G482" s="450" t="n"/>
      <c r="H482" s="450" t="n"/>
      <c r="I482" s="450" t="n"/>
      <c r="J482" s="83" t="n"/>
      <c r="K482" s="450" t="n"/>
      <c r="L482" s="450" t="n"/>
      <c r="M482" s="450" t="n"/>
      <c r="N482" s="450" t="n"/>
      <c r="O482" s="450" t="n"/>
      <c r="P482" s="450" t="n"/>
      <c r="Q482" s="450" t="n"/>
    </row>
    <row r="483" customFormat="1" s="45">
      <c r="A483" s="450" t="n"/>
      <c r="B483" s="450" t="n"/>
      <c r="C483" s="450" t="n"/>
      <c r="D483" s="450" t="n"/>
      <c r="E483" s="450" t="n"/>
      <c r="F483" s="450" t="n"/>
      <c r="G483" s="450" t="n"/>
      <c r="H483" s="450" t="n"/>
      <c r="I483" s="450" t="n"/>
      <c r="J483" s="83" t="n"/>
      <c r="K483" s="450" t="n"/>
      <c r="L483" s="450" t="n"/>
      <c r="M483" s="450" t="n"/>
      <c r="N483" s="450" t="n"/>
      <c r="O483" s="450" t="n"/>
      <c r="P483" s="450" t="n"/>
      <c r="Q483" s="450" t="n"/>
    </row>
    <row r="484" customFormat="1" s="45">
      <c r="A484" s="450" t="n"/>
      <c r="B484" s="450" t="n"/>
      <c r="C484" s="450" t="n"/>
      <c r="D484" s="450" t="n"/>
      <c r="E484" s="450" t="n"/>
      <c r="F484" s="450" t="n"/>
      <c r="G484" s="450" t="n"/>
      <c r="H484" s="450" t="n"/>
      <c r="I484" s="450" t="n"/>
      <c r="J484" s="83" t="n"/>
      <c r="K484" s="450" t="n"/>
      <c r="L484" s="450" t="n"/>
      <c r="M484" s="450" t="n"/>
      <c r="N484" s="450" t="n"/>
      <c r="O484" s="450" t="n"/>
      <c r="P484" s="450" t="n"/>
      <c r="Q484" s="450" t="n"/>
    </row>
    <row r="485" customFormat="1" s="45">
      <c r="A485" s="450" t="n"/>
      <c r="B485" s="450" t="n"/>
      <c r="C485" s="450" t="n"/>
      <c r="D485" s="450" t="n"/>
      <c r="E485" s="450" t="n"/>
      <c r="F485" s="450" t="n"/>
      <c r="G485" s="450" t="n"/>
      <c r="H485" s="450" t="n"/>
      <c r="I485" s="450" t="n"/>
      <c r="J485" s="83" t="n"/>
      <c r="K485" s="450" t="n"/>
      <c r="L485" s="450" t="n"/>
      <c r="M485" s="450" t="n"/>
      <c r="N485" s="450" t="n"/>
      <c r="O485" s="450" t="n"/>
      <c r="P485" s="450" t="n"/>
      <c r="Q485" s="450" t="n"/>
    </row>
    <row r="486" customFormat="1" s="45">
      <c r="A486" s="450" t="n"/>
      <c r="B486" s="450" t="n"/>
      <c r="C486" s="450" t="n"/>
      <c r="D486" s="450" t="n"/>
      <c r="E486" s="450" t="n"/>
      <c r="F486" s="450" t="n"/>
      <c r="G486" s="450" t="n"/>
      <c r="H486" s="450" t="n"/>
      <c r="I486" s="450" t="n"/>
      <c r="J486" s="83" t="n"/>
      <c r="K486" s="450" t="n"/>
      <c r="L486" s="450" t="n"/>
      <c r="M486" s="450" t="n"/>
      <c r="N486" s="450" t="n"/>
      <c r="O486" s="450" t="n"/>
      <c r="P486" s="450" t="n"/>
      <c r="Q486" s="450" t="n"/>
    </row>
    <row r="487" customFormat="1" s="45">
      <c r="A487" s="450" t="n"/>
      <c r="B487" s="450" t="n"/>
      <c r="C487" s="450" t="n"/>
      <c r="D487" s="450" t="n"/>
      <c r="E487" s="450" t="n"/>
      <c r="F487" s="450" t="n"/>
      <c r="G487" s="450" t="n"/>
      <c r="H487" s="450" t="n"/>
      <c r="I487" s="450" t="n"/>
      <c r="J487" s="83" t="n"/>
      <c r="K487" s="450" t="n"/>
      <c r="L487" s="450" t="n"/>
      <c r="M487" s="450" t="n"/>
      <c r="N487" s="450" t="n"/>
      <c r="O487" s="450" t="n"/>
      <c r="P487" s="450" t="n"/>
      <c r="Q487" s="450" t="n"/>
    </row>
    <row r="488" customFormat="1" s="45">
      <c r="A488" s="450" t="n"/>
      <c r="B488" s="450" t="n"/>
      <c r="C488" s="450" t="n"/>
      <c r="D488" s="450" t="n"/>
      <c r="E488" s="450" t="n"/>
      <c r="F488" s="450" t="n"/>
      <c r="G488" s="450" t="n"/>
      <c r="H488" s="450" t="n"/>
      <c r="I488" s="450" t="n"/>
      <c r="J488" s="83" t="n"/>
      <c r="K488" s="450" t="n"/>
      <c r="L488" s="450" t="n"/>
      <c r="M488" s="450" t="n"/>
      <c r="N488" s="450" t="n"/>
      <c r="O488" s="450" t="n"/>
      <c r="P488" s="450" t="n"/>
      <c r="Q488" s="450" t="n"/>
    </row>
    <row r="489" customFormat="1" s="45">
      <c r="A489" s="450" t="n"/>
      <c r="B489" s="450" t="n"/>
      <c r="C489" s="450" t="n"/>
      <c r="D489" s="450" t="n"/>
      <c r="E489" s="450" t="n"/>
      <c r="F489" s="450" t="n"/>
      <c r="G489" s="450" t="n"/>
      <c r="H489" s="450" t="n"/>
      <c r="I489" s="450" t="n"/>
      <c r="J489" s="83" t="n"/>
      <c r="K489" s="450" t="n"/>
      <c r="L489" s="450" t="n"/>
      <c r="M489" s="450" t="n"/>
      <c r="N489" s="450" t="n"/>
      <c r="O489" s="450" t="n"/>
      <c r="P489" s="450" t="n"/>
      <c r="Q489" s="450" t="n"/>
    </row>
    <row r="490" customFormat="1" s="45">
      <c r="A490" s="450" t="n"/>
      <c r="B490" s="450" t="n"/>
      <c r="C490" s="450" t="n"/>
      <c r="D490" s="450" t="n"/>
      <c r="E490" s="450" t="n"/>
      <c r="F490" s="450" t="n"/>
      <c r="G490" s="450" t="n"/>
      <c r="H490" s="450" t="n"/>
      <c r="I490" s="450" t="n"/>
      <c r="J490" s="83" t="n"/>
      <c r="K490" s="450" t="n"/>
      <c r="L490" s="450" t="n"/>
      <c r="M490" s="450" t="n"/>
      <c r="N490" s="450" t="n"/>
      <c r="O490" s="450" t="n"/>
      <c r="P490" s="450" t="n"/>
      <c r="Q490" s="450" t="n"/>
    </row>
    <row r="491" customFormat="1" s="45">
      <c r="A491" s="450" t="n"/>
      <c r="B491" s="450" t="n"/>
      <c r="C491" s="450" t="n"/>
      <c r="D491" s="450" t="n"/>
      <c r="E491" s="450" t="n"/>
      <c r="F491" s="450" t="n"/>
      <c r="G491" s="450" t="n"/>
      <c r="H491" s="450" t="n"/>
      <c r="I491" s="450" t="n"/>
      <c r="J491" s="83" t="n"/>
      <c r="K491" s="450" t="n"/>
      <c r="L491" s="450" t="n"/>
      <c r="M491" s="450" t="n"/>
      <c r="N491" s="450" t="n"/>
      <c r="O491" s="450" t="n"/>
      <c r="P491" s="450" t="n"/>
      <c r="Q491" s="450" t="n"/>
    </row>
    <row r="492" customFormat="1" s="45">
      <c r="A492" s="450" t="n"/>
      <c r="B492" s="450" t="n"/>
      <c r="C492" s="450" t="n"/>
      <c r="D492" s="450" t="n"/>
      <c r="E492" s="450" t="n"/>
      <c r="F492" s="450" t="n"/>
      <c r="G492" s="450" t="n"/>
      <c r="H492" s="450" t="n"/>
      <c r="I492" s="450" t="n"/>
      <c r="J492" s="83" t="n"/>
      <c r="K492" s="450" t="n"/>
      <c r="L492" s="450" t="n"/>
      <c r="M492" s="450" t="n"/>
      <c r="N492" s="450" t="n"/>
      <c r="O492" s="450" t="n"/>
      <c r="P492" s="450" t="n"/>
      <c r="Q492" s="450" t="n"/>
    </row>
    <row r="493" customFormat="1" s="45">
      <c r="A493" s="450" t="n"/>
      <c r="B493" s="450" t="n"/>
      <c r="C493" s="450" t="n"/>
      <c r="D493" s="450" t="n"/>
      <c r="E493" s="450" t="n"/>
      <c r="F493" s="450" t="n"/>
      <c r="G493" s="450" t="n"/>
      <c r="H493" s="450" t="n"/>
      <c r="I493" s="450" t="n"/>
      <c r="J493" s="83" t="n"/>
      <c r="K493" s="450" t="n"/>
      <c r="L493" s="450" t="n"/>
      <c r="M493" s="450" t="n"/>
      <c r="N493" s="450" t="n"/>
      <c r="O493" s="450" t="n"/>
      <c r="P493" s="450" t="n"/>
      <c r="Q493" s="450" t="n"/>
    </row>
    <row r="494" customFormat="1" s="45">
      <c r="A494" s="450" t="n"/>
      <c r="B494" s="450" t="n"/>
      <c r="C494" s="450" t="n"/>
      <c r="D494" s="450" t="n"/>
      <c r="E494" s="450" t="n"/>
      <c r="F494" s="450" t="n"/>
      <c r="G494" s="450" t="n"/>
      <c r="H494" s="450" t="n"/>
      <c r="I494" s="450" t="n"/>
      <c r="J494" s="83" t="n"/>
      <c r="K494" s="450" t="n"/>
      <c r="L494" s="450" t="n"/>
      <c r="M494" s="450" t="n"/>
      <c r="N494" s="450" t="n"/>
      <c r="O494" s="450" t="n"/>
      <c r="P494" s="450" t="n"/>
      <c r="Q494" s="450" t="n"/>
    </row>
    <row r="495" customFormat="1" s="45">
      <c r="A495" s="450" t="n"/>
      <c r="B495" s="450" t="n"/>
      <c r="C495" s="450" t="n"/>
      <c r="D495" s="450" t="n"/>
      <c r="E495" s="450" t="n"/>
      <c r="F495" s="450" t="n"/>
      <c r="G495" s="450" t="n"/>
      <c r="H495" s="450" t="n"/>
      <c r="I495" s="450" t="n"/>
      <c r="J495" s="83" t="n"/>
      <c r="K495" s="450" t="n"/>
      <c r="L495" s="450" t="n"/>
      <c r="M495" s="450" t="n"/>
      <c r="N495" s="450" t="n"/>
      <c r="O495" s="450" t="n"/>
      <c r="P495" s="450" t="n"/>
      <c r="Q495" s="450" t="n"/>
    </row>
    <row r="496" customFormat="1" s="45">
      <c r="A496" s="450" t="n"/>
      <c r="B496" s="450" t="n"/>
      <c r="C496" s="450" t="n"/>
      <c r="D496" s="450" t="n"/>
      <c r="E496" s="450" t="n"/>
      <c r="F496" s="450" t="n"/>
      <c r="G496" s="450" t="n"/>
      <c r="H496" s="450" t="n"/>
      <c r="I496" s="450" t="n"/>
      <c r="J496" s="83" t="n"/>
      <c r="K496" s="450" t="n"/>
      <c r="L496" s="450" t="n"/>
      <c r="M496" s="450" t="n"/>
      <c r="N496" s="450" t="n"/>
      <c r="O496" s="450" t="n"/>
      <c r="P496" s="450" t="n"/>
      <c r="Q496" s="450" t="n"/>
    </row>
    <row r="497" customFormat="1" s="45">
      <c r="A497" s="450" t="n"/>
      <c r="B497" s="450" t="n"/>
      <c r="C497" s="450" t="n"/>
      <c r="D497" s="450" t="n"/>
      <c r="E497" s="450" t="n"/>
      <c r="F497" s="450" t="n"/>
      <c r="G497" s="450" t="n"/>
      <c r="H497" s="450" t="n"/>
      <c r="I497" s="450" t="n"/>
      <c r="J497" s="83" t="n"/>
      <c r="K497" s="450" t="n"/>
      <c r="L497" s="450" t="n"/>
      <c r="M497" s="450" t="n"/>
      <c r="N497" s="450" t="n"/>
      <c r="O497" s="450" t="n"/>
      <c r="P497" s="450" t="n"/>
      <c r="Q497" s="450" t="n"/>
    </row>
    <row r="498" customFormat="1" s="45">
      <c r="A498" s="450" t="n"/>
      <c r="B498" s="450" t="n"/>
      <c r="C498" s="450" t="n"/>
      <c r="D498" s="450" t="n"/>
      <c r="E498" s="450" t="n"/>
      <c r="F498" s="450" t="n"/>
      <c r="G498" s="450" t="n"/>
      <c r="H498" s="450" t="n"/>
      <c r="I498" s="450" t="n"/>
      <c r="J498" s="83" t="n"/>
      <c r="K498" s="450" t="n"/>
      <c r="L498" s="450" t="n"/>
      <c r="M498" s="450" t="n"/>
      <c r="N498" s="450" t="n"/>
      <c r="O498" s="450" t="n"/>
      <c r="P498" s="450" t="n"/>
      <c r="Q498" s="450" t="n"/>
    </row>
    <row r="499" customFormat="1" s="45">
      <c r="A499" s="450" t="n"/>
      <c r="B499" s="450" t="n"/>
      <c r="C499" s="450" t="n"/>
      <c r="D499" s="450" t="n"/>
      <c r="E499" s="450" t="n"/>
      <c r="F499" s="450" t="n"/>
      <c r="G499" s="450" t="n"/>
      <c r="H499" s="450" t="n"/>
      <c r="I499" s="450" t="n"/>
      <c r="J499" s="83" t="n"/>
      <c r="K499" s="450" t="n"/>
      <c r="L499" s="450" t="n"/>
      <c r="M499" s="450" t="n"/>
      <c r="N499" s="450" t="n"/>
      <c r="O499" s="450" t="n"/>
      <c r="P499" s="450" t="n"/>
      <c r="Q499" s="450" t="n"/>
    </row>
    <row r="500" customFormat="1" s="45">
      <c r="A500" s="450" t="n"/>
      <c r="B500" s="450" t="n"/>
      <c r="C500" s="450" t="n"/>
      <c r="D500" s="450" t="n"/>
      <c r="E500" s="450" t="n"/>
      <c r="F500" s="450" t="n"/>
      <c r="G500" s="450" t="n"/>
      <c r="H500" s="450" t="n"/>
      <c r="I500" s="450" t="n"/>
      <c r="J500" s="83" t="n"/>
      <c r="K500" s="450" t="n"/>
      <c r="L500" s="450" t="n"/>
      <c r="M500" s="450" t="n"/>
      <c r="N500" s="450" t="n"/>
      <c r="O500" s="450" t="n"/>
      <c r="P500" s="450" t="n"/>
      <c r="Q500" s="450" t="n"/>
    </row>
    <row r="501" customFormat="1" s="45">
      <c r="A501" s="450" t="n"/>
      <c r="B501" s="450" t="n"/>
      <c r="C501" s="450" t="n"/>
      <c r="D501" s="450" t="n"/>
      <c r="E501" s="450" t="n"/>
      <c r="F501" s="450" t="n"/>
      <c r="G501" s="450" t="n"/>
      <c r="H501" s="450" t="n"/>
      <c r="I501" s="450" t="n"/>
      <c r="J501" s="83" t="n"/>
      <c r="K501" s="450" t="n"/>
      <c r="L501" s="450" t="n"/>
      <c r="M501" s="450" t="n"/>
      <c r="N501" s="450" t="n"/>
      <c r="O501" s="450" t="n"/>
      <c r="P501" s="450" t="n"/>
      <c r="Q501" s="450" t="n"/>
    </row>
    <row r="502" customFormat="1" s="45">
      <c r="A502" s="450" t="n"/>
      <c r="B502" s="450" t="n"/>
      <c r="C502" s="450" t="n"/>
      <c r="D502" s="450" t="n"/>
      <c r="E502" s="450" t="n"/>
      <c r="F502" s="450" t="n"/>
      <c r="G502" s="450" t="n"/>
      <c r="H502" s="450" t="n"/>
      <c r="I502" s="450" t="n"/>
      <c r="J502" s="83" t="n"/>
      <c r="K502" s="450" t="n"/>
      <c r="L502" s="450" t="n"/>
      <c r="M502" s="450" t="n"/>
      <c r="N502" s="450" t="n"/>
      <c r="O502" s="450" t="n"/>
      <c r="P502" s="450" t="n"/>
      <c r="Q502" s="450" t="n"/>
    </row>
    <row r="503" customFormat="1" s="45">
      <c r="A503" s="450" t="n"/>
      <c r="B503" s="450" t="n"/>
      <c r="C503" s="450" t="n"/>
      <c r="D503" s="450" t="n"/>
      <c r="E503" s="450" t="n"/>
      <c r="F503" s="450" t="n"/>
      <c r="G503" s="450" t="n"/>
      <c r="H503" s="450" t="n"/>
      <c r="I503" s="450" t="n"/>
      <c r="J503" s="83" t="n"/>
      <c r="K503" s="450" t="n"/>
      <c r="L503" s="450" t="n"/>
      <c r="M503" s="450" t="n"/>
      <c r="N503" s="450" t="n"/>
      <c r="O503" s="450" t="n"/>
      <c r="P503" s="450" t="n"/>
      <c r="Q503" s="450" t="n"/>
    </row>
    <row r="504" customFormat="1" s="45">
      <c r="A504" s="450" t="n"/>
      <c r="B504" s="450" t="n"/>
      <c r="C504" s="450" t="n"/>
      <c r="D504" s="450" t="n"/>
      <c r="E504" s="450" t="n"/>
      <c r="F504" s="450" t="n"/>
      <c r="G504" s="450" t="n"/>
      <c r="H504" s="450" t="n"/>
      <c r="I504" s="450" t="n"/>
      <c r="J504" s="83" t="n"/>
      <c r="K504" s="450" t="n"/>
      <c r="L504" s="450" t="n"/>
      <c r="M504" s="450" t="n"/>
      <c r="N504" s="450" t="n"/>
      <c r="O504" s="450" t="n"/>
      <c r="P504" s="450" t="n"/>
      <c r="Q504" s="450" t="n"/>
    </row>
    <row r="505" customFormat="1" s="45">
      <c r="A505" s="450" t="n"/>
      <c r="B505" s="450" t="n"/>
      <c r="C505" s="450" t="n"/>
      <c r="D505" s="450" t="n"/>
      <c r="E505" s="450" t="n"/>
      <c r="F505" s="450" t="n"/>
      <c r="G505" s="450" t="n"/>
      <c r="H505" s="450" t="n"/>
      <c r="I505" s="450" t="n"/>
      <c r="J505" s="83" t="n"/>
      <c r="K505" s="450" t="n"/>
      <c r="L505" s="450" t="n"/>
      <c r="M505" s="450" t="n"/>
      <c r="N505" s="450" t="n"/>
      <c r="O505" s="450" t="n"/>
      <c r="P505" s="450" t="n"/>
      <c r="Q505" s="450" t="n"/>
    </row>
    <row r="506" customFormat="1" s="45">
      <c r="A506" s="450" t="n"/>
      <c r="B506" s="450" t="n"/>
      <c r="C506" s="450" t="n"/>
      <c r="D506" s="450" t="n"/>
      <c r="E506" s="450" t="n"/>
      <c r="F506" s="450" t="n"/>
      <c r="G506" s="450" t="n"/>
      <c r="H506" s="450" t="n"/>
      <c r="I506" s="450" t="n"/>
      <c r="J506" s="83" t="n"/>
      <c r="K506" s="450" t="n"/>
      <c r="L506" s="450" t="n"/>
      <c r="M506" s="450" t="n"/>
      <c r="N506" s="450" t="n"/>
      <c r="O506" s="450" t="n"/>
      <c r="P506" s="450" t="n"/>
      <c r="Q506" s="450" t="n"/>
    </row>
    <row r="507" customFormat="1" s="45">
      <c r="A507" s="450" t="n"/>
      <c r="B507" s="450" t="n"/>
      <c r="C507" s="450" t="n"/>
      <c r="D507" s="450" t="n"/>
      <c r="E507" s="450" t="n"/>
      <c r="F507" s="450" t="n"/>
      <c r="G507" s="450" t="n"/>
      <c r="H507" s="450" t="n"/>
      <c r="I507" s="450" t="n"/>
      <c r="J507" s="83" t="n"/>
      <c r="K507" s="450" t="n"/>
      <c r="L507" s="450" t="n"/>
      <c r="M507" s="450" t="n"/>
      <c r="N507" s="450" t="n"/>
      <c r="O507" s="450" t="n"/>
      <c r="P507" s="450" t="n"/>
      <c r="Q507" s="450" t="n"/>
    </row>
    <row r="508" customFormat="1" s="45">
      <c r="A508" s="450" t="n"/>
      <c r="B508" s="450" t="n"/>
      <c r="C508" s="450" t="n"/>
      <c r="D508" s="450" t="n"/>
      <c r="E508" s="450" t="n"/>
      <c r="F508" s="450" t="n"/>
      <c r="G508" s="450" t="n"/>
      <c r="H508" s="450" t="n"/>
      <c r="I508" s="450" t="n"/>
      <c r="J508" s="83" t="n"/>
      <c r="K508" s="450" t="n"/>
      <c r="L508" s="450" t="n"/>
      <c r="M508" s="450" t="n"/>
      <c r="N508" s="450" t="n"/>
      <c r="O508" s="450" t="n"/>
      <c r="P508" s="450" t="n"/>
      <c r="Q508" s="450" t="n"/>
    </row>
    <row r="509" customFormat="1" s="45">
      <c r="A509" s="450" t="n"/>
      <c r="B509" s="450" t="n"/>
      <c r="C509" s="450" t="n"/>
      <c r="D509" s="450" t="n"/>
      <c r="E509" s="450" t="n"/>
      <c r="F509" s="450" t="n"/>
      <c r="G509" s="450" t="n"/>
      <c r="H509" s="450" t="n"/>
      <c r="I509" s="450" t="n"/>
      <c r="J509" s="83" t="n"/>
      <c r="K509" s="450" t="n"/>
      <c r="L509" s="450" t="n"/>
      <c r="M509" s="450" t="n"/>
      <c r="N509" s="450" t="n"/>
      <c r="O509" s="450" t="n"/>
      <c r="P509" s="450" t="n"/>
      <c r="Q509" s="450" t="n"/>
    </row>
    <row r="510" customFormat="1" s="45">
      <c r="A510" s="450" t="n"/>
      <c r="B510" s="450" t="n"/>
      <c r="C510" s="450" t="n"/>
      <c r="D510" s="450" t="n"/>
      <c r="E510" s="450" t="n"/>
      <c r="F510" s="450" t="n"/>
      <c r="G510" s="450" t="n"/>
      <c r="H510" s="450" t="n"/>
      <c r="I510" s="450" t="n"/>
      <c r="J510" s="83" t="n"/>
      <c r="K510" s="450" t="n"/>
      <c r="L510" s="450" t="n"/>
      <c r="M510" s="450" t="n"/>
      <c r="N510" s="450" t="n"/>
      <c r="O510" s="450" t="n"/>
      <c r="P510" s="450" t="n"/>
      <c r="Q510" s="450" t="n"/>
    </row>
    <row r="511" customFormat="1" s="45">
      <c r="A511" s="450" t="n"/>
      <c r="B511" s="450" t="n"/>
      <c r="C511" s="450" t="n"/>
      <c r="D511" s="450" t="n"/>
      <c r="E511" s="450" t="n"/>
      <c r="F511" s="450" t="n"/>
      <c r="G511" s="450" t="n"/>
      <c r="H511" s="450" t="n"/>
      <c r="I511" s="450" t="n"/>
      <c r="J511" s="83" t="n"/>
      <c r="K511" s="450" t="n"/>
      <c r="L511" s="450" t="n"/>
      <c r="M511" s="450" t="n"/>
      <c r="N511" s="450" t="n"/>
      <c r="O511" s="450" t="n"/>
      <c r="P511" s="450" t="n"/>
      <c r="Q511" s="450" t="n"/>
    </row>
    <row r="512" customFormat="1" s="45">
      <c r="A512" s="450" t="n"/>
      <c r="B512" s="450" t="n"/>
      <c r="C512" s="450" t="n"/>
      <c r="D512" s="450" t="n"/>
      <c r="E512" s="450" t="n"/>
      <c r="F512" s="450" t="n"/>
      <c r="G512" s="450" t="n"/>
      <c r="H512" s="450" t="n"/>
      <c r="I512" s="450" t="n"/>
      <c r="J512" s="83" t="n"/>
      <c r="K512" s="450" t="n"/>
      <c r="L512" s="450" t="n"/>
      <c r="M512" s="450" t="n"/>
      <c r="N512" s="450" t="n"/>
      <c r="O512" s="450" t="n"/>
      <c r="P512" s="450" t="n"/>
      <c r="Q512" s="450" t="n"/>
    </row>
    <row r="513" customFormat="1" s="45">
      <c r="A513" s="450" t="n"/>
      <c r="B513" s="450" t="n"/>
      <c r="C513" s="450" t="n"/>
      <c r="D513" s="450" t="n"/>
      <c r="E513" s="450" t="n"/>
      <c r="F513" s="450" t="n"/>
      <c r="G513" s="450" t="n"/>
      <c r="H513" s="450" t="n"/>
      <c r="I513" s="450" t="n"/>
      <c r="J513" s="83" t="n"/>
      <c r="K513" s="450" t="n"/>
      <c r="L513" s="450" t="n"/>
      <c r="M513" s="450" t="n"/>
      <c r="N513" s="450" t="n"/>
      <c r="O513" s="450" t="n"/>
      <c r="P513" s="450" t="n"/>
      <c r="Q513" s="450" t="n"/>
    </row>
    <row r="514" customFormat="1" s="45">
      <c r="A514" s="450" t="n"/>
      <c r="B514" s="450" t="n"/>
      <c r="C514" s="450" t="n"/>
      <c r="D514" s="450" t="n"/>
      <c r="E514" s="450" t="n"/>
      <c r="F514" s="450" t="n"/>
      <c r="G514" s="450" t="n"/>
      <c r="H514" s="450" t="n"/>
      <c r="I514" s="450" t="n"/>
      <c r="J514" s="83" t="n"/>
      <c r="K514" s="450" t="n"/>
      <c r="L514" s="450" t="n"/>
      <c r="M514" s="450" t="n"/>
      <c r="N514" s="450" t="n"/>
      <c r="O514" s="450" t="n"/>
      <c r="P514" s="450" t="n"/>
      <c r="Q514" s="450" t="n"/>
    </row>
    <row r="515" customFormat="1" s="45">
      <c r="A515" s="450" t="n"/>
      <c r="B515" s="450" t="n"/>
      <c r="C515" s="450" t="n"/>
      <c r="D515" s="450" t="n"/>
      <c r="E515" s="450" t="n"/>
      <c r="F515" s="450" t="n"/>
      <c r="G515" s="450" t="n"/>
      <c r="H515" s="450" t="n"/>
      <c r="I515" s="450" t="n"/>
      <c r="J515" s="83" t="n"/>
      <c r="K515" s="450" t="n"/>
      <c r="L515" s="450" t="n"/>
      <c r="M515" s="450" t="n"/>
      <c r="N515" s="450" t="n"/>
      <c r="O515" s="450" t="n"/>
      <c r="P515" s="450" t="n"/>
      <c r="Q515" s="450" t="n"/>
    </row>
    <row r="516" customFormat="1" s="45">
      <c r="A516" s="450" t="n"/>
      <c r="B516" s="450" t="n"/>
      <c r="C516" s="450" t="n"/>
      <c r="D516" s="450" t="n"/>
      <c r="E516" s="450" t="n"/>
      <c r="F516" s="450" t="n"/>
      <c r="G516" s="450" t="n"/>
      <c r="H516" s="450" t="n"/>
      <c r="I516" s="450" t="n"/>
      <c r="J516" s="83" t="n"/>
      <c r="K516" s="450" t="n"/>
      <c r="L516" s="450" t="n"/>
      <c r="M516" s="450" t="n"/>
      <c r="N516" s="450" t="n"/>
      <c r="O516" s="450" t="n"/>
      <c r="P516" s="450" t="n"/>
      <c r="Q516" s="450" t="n"/>
    </row>
    <row r="517" customFormat="1" s="45">
      <c r="A517" s="450" t="n"/>
      <c r="B517" s="450" t="n"/>
      <c r="C517" s="450" t="n"/>
      <c r="D517" s="450" t="n"/>
      <c r="E517" s="450" t="n"/>
      <c r="F517" s="450" t="n"/>
      <c r="G517" s="450" t="n"/>
      <c r="H517" s="450" t="n"/>
      <c r="I517" s="450" t="n"/>
      <c r="J517" s="83" t="n"/>
      <c r="K517" s="450" t="n"/>
      <c r="L517" s="450" t="n"/>
      <c r="M517" s="450" t="n"/>
      <c r="N517" s="450" t="n"/>
      <c r="O517" s="450" t="n"/>
      <c r="P517" s="450" t="n"/>
      <c r="Q517" s="450" t="n"/>
    </row>
    <row r="518" customFormat="1" s="45">
      <c r="A518" s="450" t="n"/>
      <c r="B518" s="450" t="n"/>
      <c r="C518" s="450" t="n"/>
      <c r="D518" s="450" t="n"/>
      <c r="E518" s="450" t="n"/>
      <c r="F518" s="450" t="n"/>
      <c r="G518" s="450" t="n"/>
      <c r="H518" s="450" t="n"/>
      <c r="I518" s="450" t="n"/>
      <c r="J518" s="83" t="n"/>
      <c r="K518" s="450" t="n"/>
      <c r="L518" s="450" t="n"/>
      <c r="M518" s="450" t="n"/>
      <c r="N518" s="450" t="n"/>
      <c r="O518" s="450" t="n"/>
      <c r="P518" s="450" t="n"/>
      <c r="Q518" s="450" t="n"/>
    </row>
    <row r="519" customFormat="1" s="45">
      <c r="A519" s="450" t="n"/>
      <c r="B519" s="450" t="n"/>
      <c r="C519" s="450" t="n"/>
      <c r="D519" s="450" t="n"/>
      <c r="E519" s="450" t="n"/>
      <c r="F519" s="450" t="n"/>
      <c r="G519" s="450" t="n"/>
      <c r="H519" s="450" t="n"/>
      <c r="I519" s="450" t="n"/>
      <c r="J519" s="83" t="n"/>
      <c r="K519" s="450" t="n"/>
      <c r="L519" s="450" t="n"/>
      <c r="M519" s="450" t="n"/>
      <c r="N519" s="450" t="n"/>
      <c r="O519" s="450" t="n"/>
      <c r="P519" s="450" t="n"/>
      <c r="Q519" s="450" t="n"/>
    </row>
    <row r="520" customFormat="1" s="45">
      <c r="A520" s="450" t="n"/>
      <c r="B520" s="450" t="n"/>
      <c r="C520" s="450" t="n"/>
      <c r="D520" s="450" t="n"/>
      <c r="E520" s="450" t="n"/>
      <c r="F520" s="450" t="n"/>
      <c r="G520" s="450" t="n"/>
      <c r="H520" s="450" t="n"/>
      <c r="I520" s="450" t="n"/>
      <c r="J520" s="83" t="n"/>
      <c r="K520" s="450" t="n"/>
      <c r="L520" s="450" t="n"/>
      <c r="M520" s="450" t="n"/>
      <c r="N520" s="450" t="n"/>
      <c r="O520" s="450" t="n"/>
      <c r="P520" s="450" t="n"/>
      <c r="Q520" s="450" t="n"/>
    </row>
    <row r="521" customFormat="1" s="45">
      <c r="A521" s="450" t="n"/>
      <c r="B521" s="450" t="n"/>
      <c r="C521" s="450" t="n"/>
      <c r="D521" s="450" t="n"/>
      <c r="E521" s="450" t="n"/>
      <c r="F521" s="450" t="n"/>
      <c r="G521" s="450" t="n"/>
      <c r="H521" s="450" t="n"/>
      <c r="I521" s="450" t="n"/>
      <c r="J521" s="83" t="n"/>
      <c r="K521" s="450" t="n"/>
      <c r="L521" s="450" t="n"/>
      <c r="M521" s="450" t="n"/>
      <c r="N521" s="450" t="n"/>
      <c r="O521" s="450" t="n"/>
      <c r="P521" s="450" t="n"/>
      <c r="Q521" s="450" t="n"/>
    </row>
    <row r="522" customFormat="1" s="45">
      <c r="A522" s="450" t="n"/>
      <c r="B522" s="450" t="n"/>
      <c r="C522" s="450" t="n"/>
      <c r="D522" s="450" t="n"/>
      <c r="E522" s="450" t="n"/>
      <c r="F522" s="450" t="n"/>
      <c r="G522" s="450" t="n"/>
      <c r="H522" s="450" t="n"/>
      <c r="I522" s="450" t="n"/>
      <c r="J522" s="83" t="n"/>
      <c r="K522" s="450" t="n"/>
      <c r="L522" s="450" t="n"/>
      <c r="M522" s="450" t="n"/>
      <c r="N522" s="450" t="n"/>
      <c r="O522" s="450" t="n"/>
      <c r="P522" s="450" t="n"/>
      <c r="Q522" s="450" t="n"/>
    </row>
    <row r="523" customFormat="1" s="45">
      <c r="A523" s="450" t="n"/>
      <c r="B523" s="450" t="n"/>
      <c r="C523" s="450" t="n"/>
      <c r="D523" s="450" t="n"/>
      <c r="E523" s="450" t="n"/>
      <c r="F523" s="450" t="n"/>
      <c r="G523" s="450" t="n"/>
      <c r="H523" s="450" t="n"/>
      <c r="I523" s="450" t="n"/>
      <c r="J523" s="83" t="n"/>
      <c r="K523" s="450" t="n"/>
      <c r="L523" s="450" t="n"/>
      <c r="M523" s="450" t="n"/>
      <c r="N523" s="450" t="n"/>
      <c r="O523" s="450" t="n"/>
      <c r="P523" s="450" t="n"/>
      <c r="Q523" s="450" t="n"/>
    </row>
    <row r="524" customFormat="1" s="45">
      <c r="A524" s="450" t="n"/>
      <c r="B524" s="450" t="n"/>
      <c r="C524" s="450" t="n"/>
      <c r="D524" s="450" t="n"/>
      <c r="E524" s="450" t="n"/>
      <c r="F524" s="450" t="n"/>
      <c r="G524" s="450" t="n"/>
      <c r="H524" s="450" t="n"/>
      <c r="I524" s="450" t="n"/>
      <c r="J524" s="83" t="n"/>
      <c r="K524" s="450" t="n"/>
      <c r="L524" s="450" t="n"/>
      <c r="M524" s="450" t="n"/>
      <c r="N524" s="450" t="n"/>
      <c r="O524" s="450" t="n"/>
      <c r="P524" s="450" t="n"/>
      <c r="Q524" s="450" t="n"/>
    </row>
    <row r="525" customFormat="1" s="45">
      <c r="A525" s="450" t="n"/>
      <c r="B525" s="450" t="n"/>
      <c r="C525" s="450" t="n"/>
      <c r="D525" s="450" t="n"/>
      <c r="E525" s="450" t="n"/>
      <c r="F525" s="450" t="n"/>
      <c r="G525" s="450" t="n"/>
      <c r="H525" s="450" t="n"/>
      <c r="I525" s="450" t="n"/>
      <c r="J525" s="83" t="n"/>
      <c r="K525" s="450" t="n"/>
      <c r="L525" s="450" t="n"/>
      <c r="M525" s="450" t="n"/>
      <c r="N525" s="450" t="n"/>
      <c r="O525" s="450" t="n"/>
      <c r="P525" s="450" t="n"/>
      <c r="Q525" s="450" t="n"/>
    </row>
    <row r="526" customFormat="1" s="45">
      <c r="A526" s="450" t="n"/>
      <c r="B526" s="450" t="n"/>
      <c r="C526" s="450" t="n"/>
      <c r="D526" s="450" t="n"/>
      <c r="E526" s="450" t="n"/>
      <c r="F526" s="450" t="n"/>
      <c r="G526" s="450" t="n"/>
      <c r="H526" s="450" t="n"/>
      <c r="I526" s="450" t="n"/>
      <c r="J526" s="83" t="n"/>
      <c r="K526" s="450" t="n"/>
      <c r="L526" s="450" t="n"/>
      <c r="M526" s="450" t="n"/>
      <c r="N526" s="450" t="n"/>
      <c r="O526" s="450" t="n"/>
      <c r="P526" s="450" t="n"/>
      <c r="Q526" s="450" t="n"/>
    </row>
    <row r="527" customFormat="1" s="45">
      <c r="A527" s="450" t="n"/>
      <c r="B527" s="450" t="n"/>
      <c r="C527" s="450" t="n"/>
      <c r="D527" s="450" t="n"/>
      <c r="E527" s="450" t="n"/>
      <c r="F527" s="450" t="n"/>
      <c r="G527" s="450" t="n"/>
      <c r="H527" s="450" t="n"/>
      <c r="I527" s="450" t="n"/>
      <c r="J527" s="83" t="n"/>
      <c r="K527" s="450" t="n"/>
      <c r="L527" s="450" t="n"/>
      <c r="M527" s="450" t="n"/>
      <c r="N527" s="450" t="n"/>
      <c r="O527" s="450" t="n"/>
      <c r="P527" s="450" t="n"/>
      <c r="Q527" s="450" t="n"/>
    </row>
    <row r="528" customFormat="1" s="45">
      <c r="A528" s="450" t="n"/>
      <c r="B528" s="450" t="n"/>
      <c r="C528" s="450" t="n"/>
      <c r="D528" s="450" t="n"/>
      <c r="E528" s="450" t="n"/>
      <c r="F528" s="450" t="n"/>
      <c r="G528" s="450" t="n"/>
      <c r="H528" s="450" t="n"/>
      <c r="I528" s="450" t="n"/>
      <c r="J528" s="83" t="n"/>
      <c r="K528" s="450" t="n"/>
      <c r="L528" s="450" t="n"/>
      <c r="M528" s="450" t="n"/>
      <c r="N528" s="450" t="n"/>
      <c r="O528" s="450" t="n"/>
      <c r="P528" s="450" t="n"/>
      <c r="Q528" s="450" t="n"/>
    </row>
    <row r="529" customFormat="1" s="45">
      <c r="A529" s="450" t="n"/>
      <c r="B529" s="450" t="n"/>
      <c r="C529" s="450" t="n"/>
      <c r="D529" s="450" t="n"/>
      <c r="E529" s="450" t="n"/>
      <c r="F529" s="450" t="n"/>
      <c r="G529" s="450" t="n"/>
      <c r="H529" s="450" t="n"/>
      <c r="I529" s="450" t="n"/>
      <c r="J529" s="83" t="n"/>
      <c r="K529" s="450" t="n"/>
      <c r="L529" s="450" t="n"/>
      <c r="M529" s="450" t="n"/>
      <c r="N529" s="450" t="n"/>
      <c r="O529" s="450" t="n"/>
      <c r="P529" s="450" t="n"/>
      <c r="Q529" s="450" t="n"/>
    </row>
    <row r="530" customFormat="1" s="45">
      <c r="A530" s="450" t="n"/>
      <c r="B530" s="450" t="n"/>
      <c r="C530" s="450" t="n"/>
      <c r="D530" s="450" t="n"/>
      <c r="E530" s="450" t="n"/>
      <c r="F530" s="450" t="n"/>
      <c r="G530" s="450" t="n"/>
      <c r="H530" s="450" t="n"/>
      <c r="I530" s="450" t="n"/>
      <c r="J530" s="83" t="n"/>
      <c r="K530" s="450" t="n"/>
      <c r="L530" s="450" t="n"/>
      <c r="M530" s="450" t="n"/>
      <c r="N530" s="450" t="n"/>
      <c r="O530" s="450" t="n"/>
      <c r="P530" s="450" t="n"/>
      <c r="Q530" s="450" t="n"/>
    </row>
    <row r="531" customFormat="1" s="45">
      <c r="A531" s="450" t="n"/>
      <c r="B531" s="450" t="n"/>
      <c r="C531" s="450" t="n"/>
      <c r="D531" s="450" t="n"/>
      <c r="E531" s="450" t="n"/>
      <c r="F531" s="450" t="n"/>
      <c r="G531" s="450" t="n"/>
      <c r="H531" s="450" t="n"/>
      <c r="I531" s="450" t="n"/>
      <c r="J531" s="83" t="n"/>
      <c r="K531" s="450" t="n"/>
      <c r="L531" s="450" t="n"/>
      <c r="M531" s="450" t="n"/>
      <c r="N531" s="450" t="n"/>
      <c r="O531" s="450" t="n"/>
      <c r="P531" s="450" t="n"/>
      <c r="Q531" s="450" t="n"/>
    </row>
    <row r="532" customFormat="1" s="45">
      <c r="A532" s="450" t="n"/>
      <c r="B532" s="450" t="n"/>
      <c r="C532" s="450" t="n"/>
      <c r="D532" s="450" t="n"/>
      <c r="E532" s="450" t="n"/>
      <c r="F532" s="450" t="n"/>
      <c r="G532" s="450" t="n"/>
      <c r="H532" s="450" t="n"/>
      <c r="I532" s="450" t="n"/>
      <c r="J532" s="83" t="n"/>
      <c r="K532" s="450" t="n"/>
      <c r="L532" s="450" t="n"/>
      <c r="M532" s="450" t="n"/>
      <c r="N532" s="450" t="n"/>
      <c r="O532" s="450" t="n"/>
      <c r="P532" s="450" t="n"/>
      <c r="Q532" s="450" t="n"/>
    </row>
    <row r="533" customFormat="1" s="45">
      <c r="A533" s="450" t="n"/>
      <c r="B533" s="450" t="n"/>
      <c r="C533" s="450" t="n"/>
      <c r="D533" s="450" t="n"/>
      <c r="E533" s="450" t="n"/>
      <c r="F533" s="450" t="n"/>
      <c r="G533" s="450" t="n"/>
      <c r="H533" s="450" t="n"/>
      <c r="I533" s="450" t="n"/>
      <c r="J533" s="83" t="n"/>
      <c r="K533" s="450" t="n"/>
      <c r="L533" s="450" t="n"/>
      <c r="M533" s="450" t="n"/>
      <c r="N533" s="450" t="n"/>
      <c r="O533" s="450" t="n"/>
      <c r="P533" s="450" t="n"/>
      <c r="Q533" s="450" t="n"/>
    </row>
    <row r="534" customFormat="1" s="45">
      <c r="A534" s="450" t="n"/>
      <c r="B534" s="450" t="n"/>
      <c r="C534" s="450" t="n"/>
      <c r="D534" s="450" t="n"/>
      <c r="E534" s="450" t="n"/>
      <c r="F534" s="450" t="n"/>
      <c r="G534" s="450" t="n"/>
      <c r="H534" s="450" t="n"/>
      <c r="I534" s="450" t="n"/>
      <c r="J534" s="83" t="n"/>
      <c r="K534" s="450" t="n"/>
      <c r="L534" s="450" t="n"/>
      <c r="M534" s="450" t="n"/>
      <c r="N534" s="450" t="n"/>
      <c r="O534" s="450" t="n"/>
      <c r="P534" s="450" t="n"/>
      <c r="Q534" s="450" t="n"/>
    </row>
    <row r="535" customFormat="1" s="45">
      <c r="A535" s="450" t="n"/>
      <c r="B535" s="450" t="n"/>
      <c r="C535" s="450" t="n"/>
      <c r="D535" s="450" t="n"/>
      <c r="E535" s="450" t="n"/>
      <c r="F535" s="450" t="n"/>
      <c r="G535" s="450" t="n"/>
      <c r="H535" s="450" t="n"/>
      <c r="I535" s="450" t="n"/>
      <c r="J535" s="83" t="n"/>
      <c r="K535" s="450" t="n"/>
      <c r="L535" s="450" t="n"/>
      <c r="M535" s="450" t="n"/>
      <c r="N535" s="450" t="n"/>
      <c r="O535" s="450" t="n"/>
      <c r="P535" s="450" t="n"/>
      <c r="Q535" s="450" t="n"/>
    </row>
    <row r="536" customFormat="1" s="45">
      <c r="A536" s="450" t="n"/>
      <c r="B536" s="450" t="n"/>
      <c r="C536" s="450" t="n"/>
      <c r="D536" s="450" t="n"/>
      <c r="E536" s="450" t="n"/>
      <c r="F536" s="450" t="n"/>
      <c r="G536" s="450" t="n"/>
      <c r="H536" s="450" t="n"/>
      <c r="I536" s="450" t="n"/>
      <c r="J536" s="83" t="n"/>
      <c r="K536" s="450" t="n"/>
      <c r="L536" s="450" t="n"/>
      <c r="M536" s="450" t="n"/>
      <c r="N536" s="450" t="n"/>
      <c r="O536" s="450" t="n"/>
      <c r="P536" s="450" t="n"/>
      <c r="Q536" s="450" t="n"/>
    </row>
    <row r="537" customFormat="1" s="45">
      <c r="A537" s="450" t="n"/>
      <c r="B537" s="450" t="n"/>
      <c r="C537" s="450" t="n"/>
      <c r="D537" s="450" t="n"/>
      <c r="E537" s="450" t="n"/>
      <c r="F537" s="450" t="n"/>
      <c r="G537" s="450" t="n"/>
      <c r="H537" s="450" t="n"/>
      <c r="I537" s="450" t="n"/>
      <c r="J537" s="83" t="n"/>
      <c r="K537" s="450" t="n"/>
      <c r="L537" s="450" t="n"/>
      <c r="M537" s="450" t="n"/>
      <c r="N537" s="450" t="n"/>
      <c r="O537" s="450" t="n"/>
      <c r="P537" s="450" t="n"/>
      <c r="Q537" s="450" t="n"/>
    </row>
    <row r="538" customFormat="1" s="45">
      <c r="A538" s="450" t="n"/>
      <c r="B538" s="450" t="n"/>
      <c r="C538" s="450" t="n"/>
      <c r="D538" s="450" t="n"/>
      <c r="E538" s="450" t="n"/>
      <c r="F538" s="450" t="n"/>
      <c r="G538" s="450" t="n"/>
      <c r="H538" s="450" t="n"/>
      <c r="I538" s="450" t="n"/>
      <c r="J538" s="83" t="n"/>
      <c r="K538" s="450" t="n"/>
      <c r="L538" s="450" t="n"/>
      <c r="M538" s="450" t="n"/>
      <c r="N538" s="450" t="n"/>
      <c r="O538" s="450" t="n"/>
      <c r="P538" s="450" t="n"/>
      <c r="Q538" s="450" t="n"/>
    </row>
    <row r="539" customFormat="1" s="45">
      <c r="A539" s="450" t="n"/>
      <c r="B539" s="450" t="n"/>
      <c r="C539" s="450" t="n"/>
      <c r="D539" s="450" t="n"/>
      <c r="E539" s="450" t="n"/>
      <c r="F539" s="450" t="n"/>
      <c r="G539" s="450" t="n"/>
      <c r="H539" s="450" t="n"/>
      <c r="I539" s="450" t="n"/>
      <c r="J539" s="83" t="n"/>
      <c r="K539" s="450" t="n"/>
      <c r="L539" s="450" t="n"/>
      <c r="M539" s="450" t="n"/>
      <c r="N539" s="450" t="n"/>
      <c r="O539" s="450" t="n"/>
      <c r="P539" s="450" t="n"/>
      <c r="Q539" s="450" t="n"/>
    </row>
    <row r="540" customFormat="1" s="45">
      <c r="A540" s="450" t="n"/>
      <c r="B540" s="450" t="n"/>
      <c r="C540" s="450" t="n"/>
      <c r="D540" s="450" t="n"/>
      <c r="E540" s="450" t="n"/>
      <c r="F540" s="450" t="n"/>
      <c r="G540" s="450" t="n"/>
      <c r="H540" s="450" t="n"/>
      <c r="I540" s="450" t="n"/>
      <c r="J540" s="83" t="n"/>
      <c r="K540" s="450" t="n"/>
      <c r="L540" s="450" t="n"/>
      <c r="M540" s="450" t="n"/>
      <c r="N540" s="450" t="n"/>
      <c r="O540" s="450" t="n"/>
      <c r="P540" s="450" t="n"/>
      <c r="Q540" s="450" t="n"/>
    </row>
    <row r="541" customFormat="1" s="45">
      <c r="A541" s="450" t="n"/>
      <c r="B541" s="450" t="n"/>
      <c r="C541" s="450" t="n"/>
      <c r="D541" s="450" t="n"/>
      <c r="E541" s="450" t="n"/>
      <c r="F541" s="450" t="n"/>
      <c r="G541" s="450" t="n"/>
      <c r="H541" s="450" t="n"/>
      <c r="I541" s="450" t="n"/>
      <c r="J541" s="83" t="n"/>
      <c r="K541" s="450" t="n"/>
      <c r="L541" s="450" t="n"/>
      <c r="M541" s="450" t="n"/>
      <c r="N541" s="450" t="n"/>
      <c r="O541" s="450" t="n"/>
      <c r="P541" s="450" t="n"/>
      <c r="Q541" s="450" t="n"/>
    </row>
    <row r="542" customFormat="1" s="45">
      <c r="A542" s="450" t="n"/>
      <c r="B542" s="450" t="n"/>
      <c r="C542" s="450" t="n"/>
      <c r="D542" s="450" t="n"/>
      <c r="E542" s="450" t="n"/>
      <c r="F542" s="450" t="n"/>
      <c r="G542" s="450" t="n"/>
      <c r="H542" s="450" t="n"/>
      <c r="I542" s="450" t="n"/>
      <c r="J542" s="83" t="n"/>
      <c r="K542" s="450" t="n"/>
      <c r="L542" s="450" t="n"/>
      <c r="M542" s="450" t="n"/>
      <c r="N542" s="450" t="n"/>
      <c r="O542" s="450" t="n"/>
      <c r="P542" s="450" t="n"/>
      <c r="Q542" s="450" t="n"/>
    </row>
    <row r="543" customFormat="1" s="45">
      <c r="A543" s="450" t="n"/>
      <c r="B543" s="450" t="n"/>
      <c r="C543" s="450" t="n"/>
      <c r="D543" s="450" t="n"/>
      <c r="E543" s="450" t="n"/>
      <c r="F543" s="450" t="n"/>
      <c r="G543" s="450" t="n"/>
      <c r="H543" s="450" t="n"/>
      <c r="I543" s="450" t="n"/>
      <c r="J543" s="83" t="n"/>
      <c r="K543" s="450" t="n"/>
      <c r="L543" s="450" t="n"/>
      <c r="M543" s="450" t="n"/>
      <c r="N543" s="450" t="n"/>
      <c r="O543" s="450" t="n"/>
      <c r="P543" s="450" t="n"/>
      <c r="Q543" s="450" t="n"/>
    </row>
    <row r="544" customFormat="1" s="45">
      <c r="A544" s="450" t="n"/>
      <c r="B544" s="450" t="n"/>
      <c r="C544" s="450" t="n"/>
      <c r="D544" s="450" t="n"/>
      <c r="E544" s="450" t="n"/>
      <c r="F544" s="450" t="n"/>
      <c r="G544" s="450" t="n"/>
      <c r="H544" s="450" t="n"/>
      <c r="I544" s="450" t="n"/>
      <c r="J544" s="83" t="n"/>
      <c r="K544" s="450" t="n"/>
      <c r="L544" s="450" t="n"/>
      <c r="M544" s="450" t="n"/>
      <c r="N544" s="450" t="n"/>
      <c r="O544" s="450" t="n"/>
      <c r="P544" s="450" t="n"/>
      <c r="Q544" s="450" t="n"/>
    </row>
    <row r="545" customFormat="1" s="45">
      <c r="A545" s="450" t="n"/>
      <c r="B545" s="450" t="n"/>
      <c r="C545" s="450" t="n"/>
      <c r="D545" s="450" t="n"/>
      <c r="E545" s="450" t="n"/>
      <c r="F545" s="450" t="n"/>
      <c r="G545" s="450" t="n"/>
      <c r="H545" s="450" t="n"/>
      <c r="I545" s="450" t="n"/>
      <c r="J545" s="83" t="n"/>
      <c r="K545" s="450" t="n"/>
      <c r="L545" s="450" t="n"/>
      <c r="M545" s="450" t="n"/>
      <c r="N545" s="450" t="n"/>
      <c r="O545" s="450" t="n"/>
      <c r="P545" s="450" t="n"/>
      <c r="Q545" s="450" t="n"/>
    </row>
    <row r="546" customFormat="1" s="45">
      <c r="A546" s="450" t="n"/>
      <c r="B546" s="450" t="n"/>
      <c r="C546" s="450" t="n"/>
      <c r="D546" s="450" t="n"/>
      <c r="E546" s="450" t="n"/>
      <c r="F546" s="450" t="n"/>
      <c r="G546" s="450" t="n"/>
      <c r="H546" s="450" t="n"/>
      <c r="I546" s="450" t="n"/>
      <c r="J546" s="83" t="n"/>
      <c r="K546" s="450" t="n"/>
      <c r="L546" s="450" t="n"/>
      <c r="M546" s="450" t="n"/>
      <c r="N546" s="450" t="n"/>
      <c r="O546" s="450" t="n"/>
      <c r="P546" s="450" t="n"/>
      <c r="Q546" s="450" t="n"/>
    </row>
    <row r="547" customFormat="1" s="45">
      <c r="A547" s="450" t="n"/>
      <c r="B547" s="450" t="n"/>
      <c r="C547" s="450" t="n"/>
      <c r="D547" s="450" t="n"/>
      <c r="E547" s="450" t="n"/>
      <c r="F547" s="450" t="n"/>
      <c r="G547" s="450" t="n"/>
      <c r="H547" s="450" t="n"/>
      <c r="I547" s="450" t="n"/>
      <c r="J547" s="83" t="n"/>
      <c r="K547" s="450" t="n"/>
      <c r="L547" s="450" t="n"/>
      <c r="M547" s="450" t="n"/>
      <c r="N547" s="450" t="n"/>
      <c r="O547" s="450" t="n"/>
      <c r="P547" s="450" t="n"/>
      <c r="Q547" s="450" t="n"/>
    </row>
    <row r="548" customFormat="1" s="45">
      <c r="A548" s="450" t="n"/>
      <c r="B548" s="450" t="n"/>
      <c r="C548" s="450" t="n"/>
      <c r="D548" s="450" t="n"/>
      <c r="E548" s="450" t="n"/>
      <c r="F548" s="450" t="n"/>
      <c r="G548" s="450" t="n"/>
      <c r="H548" s="450" t="n"/>
      <c r="I548" s="450" t="n"/>
      <c r="J548" s="83" t="n"/>
      <c r="K548" s="450" t="n"/>
      <c r="L548" s="450" t="n"/>
      <c r="M548" s="450" t="n"/>
      <c r="N548" s="450" t="n"/>
      <c r="O548" s="450" t="n"/>
      <c r="P548" s="450" t="n"/>
      <c r="Q548" s="450" t="n"/>
    </row>
    <row r="549" customFormat="1" s="45">
      <c r="A549" s="450" t="n"/>
      <c r="B549" s="450" t="n"/>
      <c r="C549" s="450" t="n"/>
      <c r="D549" s="450" t="n"/>
      <c r="E549" s="450" t="n"/>
      <c r="F549" s="450" t="n"/>
      <c r="G549" s="450" t="n"/>
      <c r="H549" s="450" t="n"/>
      <c r="I549" s="450" t="n"/>
      <c r="J549" s="83" t="n"/>
      <c r="K549" s="450" t="n"/>
      <c r="L549" s="450" t="n"/>
      <c r="M549" s="450" t="n"/>
      <c r="N549" s="450" t="n"/>
      <c r="O549" s="450" t="n"/>
      <c r="P549" s="450" t="n"/>
      <c r="Q549" s="450" t="n"/>
    </row>
    <row r="550" customFormat="1" s="45">
      <c r="A550" s="450" t="n"/>
      <c r="B550" s="450" t="n"/>
      <c r="C550" s="450" t="n"/>
      <c r="D550" s="450" t="n"/>
      <c r="E550" s="450" t="n"/>
      <c r="F550" s="450" t="n"/>
      <c r="G550" s="450" t="n"/>
      <c r="H550" s="450" t="n"/>
      <c r="I550" s="450" t="n"/>
      <c r="J550" s="83" t="n"/>
      <c r="K550" s="450" t="n"/>
      <c r="L550" s="450" t="n"/>
      <c r="M550" s="450" t="n"/>
      <c r="N550" s="450" t="n"/>
      <c r="O550" s="450" t="n"/>
      <c r="P550" s="450" t="n"/>
      <c r="Q550" s="450" t="n"/>
    </row>
    <row r="551" customFormat="1" s="45">
      <c r="A551" s="450" t="n"/>
      <c r="B551" s="450" t="n"/>
      <c r="C551" s="450" t="n"/>
      <c r="D551" s="450" t="n"/>
      <c r="E551" s="450" t="n"/>
      <c r="F551" s="450" t="n"/>
      <c r="G551" s="450" t="n"/>
      <c r="H551" s="450" t="n"/>
      <c r="I551" s="450" t="n"/>
      <c r="J551" s="83" t="n"/>
      <c r="K551" s="450" t="n"/>
      <c r="L551" s="450" t="n"/>
      <c r="M551" s="450" t="n"/>
      <c r="N551" s="450" t="n"/>
      <c r="O551" s="450" t="n"/>
      <c r="P551" s="450" t="n"/>
      <c r="Q551" s="450" t="n"/>
    </row>
    <row r="552" customFormat="1" s="45">
      <c r="A552" s="450" t="n"/>
      <c r="B552" s="450" t="n"/>
      <c r="C552" s="450" t="n"/>
      <c r="D552" s="450" t="n"/>
      <c r="E552" s="450" t="n"/>
      <c r="F552" s="450" t="n"/>
      <c r="G552" s="450" t="n"/>
      <c r="H552" s="450" t="n"/>
      <c r="I552" s="450" t="n"/>
      <c r="J552" s="83" t="n"/>
      <c r="K552" s="450" t="n"/>
      <c r="L552" s="450" t="n"/>
      <c r="M552" s="450" t="n"/>
      <c r="N552" s="450" t="n"/>
      <c r="O552" s="450" t="n"/>
      <c r="P552" s="450" t="n"/>
      <c r="Q552" s="450" t="n"/>
    </row>
    <row r="553" customFormat="1" s="45">
      <c r="A553" s="450" t="n"/>
      <c r="B553" s="450" t="n"/>
      <c r="C553" s="450" t="n"/>
      <c r="D553" s="450" t="n"/>
      <c r="E553" s="450" t="n"/>
      <c r="F553" s="450" t="n"/>
      <c r="G553" s="450" t="n"/>
      <c r="H553" s="450" t="n"/>
      <c r="I553" s="450" t="n"/>
      <c r="J553" s="83" t="n"/>
      <c r="K553" s="450" t="n"/>
      <c r="L553" s="450" t="n"/>
      <c r="M553" s="450" t="n"/>
      <c r="N553" s="450" t="n"/>
      <c r="O553" s="450" t="n"/>
      <c r="P553" s="450" t="n"/>
      <c r="Q553" s="450" t="n"/>
    </row>
    <row r="554" customFormat="1" s="45">
      <c r="A554" s="450" t="n"/>
      <c r="B554" s="450" t="n"/>
      <c r="C554" s="450" t="n"/>
      <c r="D554" s="450" t="n"/>
      <c r="E554" s="450" t="n"/>
      <c r="F554" s="450" t="n"/>
      <c r="G554" s="450" t="n"/>
      <c r="H554" s="450" t="n"/>
      <c r="I554" s="450" t="n"/>
      <c r="J554" s="83" t="n"/>
      <c r="K554" s="450" t="n"/>
      <c r="L554" s="450" t="n"/>
      <c r="M554" s="450" t="n"/>
      <c r="N554" s="450" t="n"/>
      <c r="O554" s="450" t="n"/>
      <c r="P554" s="450" t="n"/>
      <c r="Q554" s="450" t="n"/>
    </row>
    <row r="555" customFormat="1" s="45">
      <c r="A555" s="450" t="n"/>
      <c r="B555" s="450" t="n"/>
      <c r="C555" s="450" t="n"/>
      <c r="D555" s="450" t="n"/>
      <c r="E555" s="450" t="n"/>
      <c r="F555" s="450" t="n"/>
      <c r="G555" s="450" t="n"/>
      <c r="H555" s="450" t="n"/>
      <c r="I555" s="450" t="n"/>
      <c r="J555" s="83" t="n"/>
      <c r="K555" s="450" t="n"/>
      <c r="L555" s="450" t="n"/>
      <c r="M555" s="450" t="n"/>
      <c r="N555" s="450" t="n"/>
      <c r="O555" s="450" t="n"/>
      <c r="P555" s="450" t="n"/>
      <c r="Q555" s="450" t="n"/>
    </row>
    <row r="556" customFormat="1" s="45">
      <c r="A556" s="450" t="n"/>
      <c r="B556" s="450" t="n"/>
      <c r="C556" s="450" t="n"/>
      <c r="D556" s="450" t="n"/>
      <c r="E556" s="450" t="n"/>
      <c r="F556" s="450" t="n"/>
      <c r="G556" s="450" t="n"/>
      <c r="H556" s="450" t="n"/>
      <c r="I556" s="450" t="n"/>
      <c r="J556" s="83" t="n"/>
      <c r="K556" s="450" t="n"/>
      <c r="L556" s="450" t="n"/>
      <c r="M556" s="450" t="n"/>
      <c r="N556" s="450" t="n"/>
      <c r="O556" s="450" t="n"/>
      <c r="P556" s="450" t="n"/>
      <c r="Q556" s="450" t="n"/>
    </row>
  </sheetData>
  <mergeCells count="3">
    <mergeCell ref="A2:F2"/>
    <mergeCell ref="S23:S30"/>
    <mergeCell ref="A1:G1"/>
  </mergeCells>
  <conditionalFormatting sqref="G5:G9 G11:G41">
    <cfRule type="cellIs" priority="13" operator="equal" stopIfTrue="1">
      <formula>""</formula>
    </cfRule>
    <cfRule type="cellIs" priority="14" operator="greaterThan" dxfId="0" stopIfTrue="1">
      <formula>0.99</formula>
    </cfRule>
    <cfRule type="cellIs" priority="18" operator="between" dxfId="2">
      <formula>0.011</formula>
      <formula>0.5</formula>
    </cfRule>
    <cfRule type="cellIs" priority="19" operator="equal" dxfId="1" stopIfTrue="1">
      <formula>0</formula>
    </cfRule>
  </conditionalFormatting>
  <conditionalFormatting sqref="I17">
    <cfRule type="cellIs" priority="1" operator="equal" stopIfTrue="1">
      <formula>""</formula>
    </cfRule>
    <cfRule type="cellIs" priority="2" operator="greaterThan" dxfId="0" stopIfTrue="1">
      <formula>0.99</formula>
    </cfRule>
    <cfRule type="cellIs" priority="3" operator="between" dxfId="2">
      <formula>0.011</formula>
      <formula>0.5</formula>
    </cfRule>
    <cfRule type="cellIs" priority="4" operator="equal" dxfId="1" stopIfTrue="1">
      <formula>0</formula>
    </cfRule>
  </conditionalFormatting>
  <conditionalFormatting sqref="I23:I25">
    <cfRule type="cellIs" priority="5" operator="equal" stopIfTrue="1">
      <formula>""</formula>
    </cfRule>
    <cfRule type="cellIs" priority="6" operator="greaterThan" dxfId="0" stopIfTrue="1">
      <formula>0.99</formula>
    </cfRule>
    <cfRule type="cellIs" priority="7" operator="between" dxfId="2">
      <formula>0.011</formula>
      <formula>0.5</formula>
    </cfRule>
    <cfRule type="cellIs" priority="8" operator="equal" dxfId="1" stopIfTrue="1">
      <formula>0</formula>
    </cfRule>
  </conditionalFormatting>
  <conditionalFormatting sqref="I29">
    <cfRule type="cellIs" priority="9" operator="equal" stopIfTrue="1">
      <formula>""</formula>
    </cfRule>
    <cfRule type="cellIs" priority="10" operator="greaterThan" dxfId="0" stopIfTrue="1">
      <formula>0.99</formula>
    </cfRule>
    <cfRule type="cellIs" priority="11" operator="between" dxfId="2">
      <formula>0.011</formula>
      <formula>0.5</formula>
    </cfRule>
    <cfRule type="cellIs" priority="12" operator="equal" dxfId="1" stopIfTrue="1">
      <formula>0</formula>
    </cfRule>
  </conditionalFormatting>
  <conditionalFormatting sqref="I35">
    <cfRule type="cellIs" priority="15" operator="between" dxfId="2">
      <formula>0.011</formula>
      <formula>0.5</formula>
    </cfRule>
    <cfRule type="cellIs" priority="16" operator="equal" dxfId="1" stopIfTrue="1">
      <formula>0.01</formula>
    </cfRule>
    <cfRule type="cellIs" priority="17" operator="greaterThan" dxfId="0">
      <formula>0.99</formula>
    </cfRule>
  </conditionalFormatting>
  <pageMargins left="0.75" right="0.75" top="1" bottom="1" header="0.5" footer="0.5"/>
  <pageSetup orientation="portrait" horizontalDpi="0" verticalDpi="0"/>
</worksheet>
</file>

<file path=xl/worksheets/sheet10.xml><?xml version="1.0" encoding="utf-8"?>
<worksheet xmlns="http://schemas.openxmlformats.org/spreadsheetml/2006/main">
  <sheetPr codeName="Sheet9">
    <tabColor theme="3"/>
    <outlinePr summaryBelow="1" summaryRight="1"/>
    <pageSetUpPr/>
  </sheetPr>
  <dimension ref="A1:Z1048135"/>
  <sheetViews>
    <sheetView topLeftCell="A94" workbookViewId="0">
      <selection activeCell="A113" sqref="A113"/>
    </sheetView>
  </sheetViews>
  <sheetFormatPr baseColWidth="8" defaultColWidth="10.97265625" defaultRowHeight="15"/>
  <cols>
    <col width="5.671875" customWidth="1" style="37" min="1" max="1"/>
    <col width="9.125" customWidth="1" style="473" min="2" max="2"/>
    <col width="4.19140625" customWidth="1" style="37" min="3" max="3"/>
    <col width="5.79296875" customWidth="1" style="37" min="4" max="4"/>
    <col width="5.30078125" customWidth="1" style="37" min="5" max="5"/>
    <col width="18.98828125" customWidth="1" style="37" min="6" max="6"/>
    <col width="29.46875" customWidth="1" style="37" min="7" max="7"/>
    <col width="39.70703125" customWidth="1" style="37" min="8" max="8"/>
    <col width="14.796875" customWidth="1" style="37" min="9" max="9"/>
    <col width="3.8203125" customWidth="1" style="37" min="11" max="11"/>
    <col width="45.99609375" customWidth="1" style="37" min="12" max="12"/>
    <col width="45.87109375" customWidth="1" style="37" min="13" max="16"/>
    <col width="6.1640625" customWidth="1" style="37" min="17" max="17"/>
    <col width="3.203125" customWidth="1" style="83" min="18" max="18"/>
    <col width="10.97265625" customWidth="1" style="45" min="19" max="36"/>
  </cols>
  <sheetData>
    <row r="1" ht="59.25" customHeight="1" s="37">
      <c r="A1" s="98" t="inlineStr">
        <is>
          <t>Time</t>
        </is>
      </c>
      <c r="B1" s="102" t="inlineStr">
        <is>
          <t>Cat</t>
        </is>
      </c>
      <c r="C1" s="99" t="inlineStr">
        <is>
          <t>p(t)</t>
        </is>
      </c>
      <c r="D1" s="99" t="inlineStr">
        <is>
          <t>⊝分</t>
        </is>
      </c>
      <c r="E1" s="99" t="inlineStr">
        <is>
          <t>Pri</t>
        </is>
      </c>
      <c r="F1" s="98" t="inlineStr">
        <is>
          <t>Name</t>
        </is>
      </c>
      <c r="G1" s="98" t="inlineStr">
        <is>
          <t xml:space="preserve">Full Points means: </t>
        </is>
      </c>
      <c r="H1" s="98" t="inlineStr">
        <is>
          <t>Partial Points meons</t>
        </is>
      </c>
      <c r="I1" s="99" t="inlineStr">
        <is>
          <t>分 Details</t>
        </is>
      </c>
      <c r="J1" s="98" t="inlineStr">
        <is>
          <t>Who</t>
        </is>
      </c>
      <c r="K1" s="98" t="inlineStr">
        <is>
          <t xml:space="preserve">Advance </t>
        </is>
      </c>
      <c r="L1" s="98" t="inlineStr">
        <is>
          <t xml:space="preserve">Automation </t>
        </is>
      </c>
      <c r="M1" s="98" t="inlineStr">
        <is>
          <t>Q1 Neon Audit</t>
        </is>
      </c>
      <c r="N1" s="98" t="inlineStr">
        <is>
          <t xml:space="preserve">Q2 Neon Audit </t>
        </is>
      </c>
      <c r="O1" s="98" t="inlineStr">
        <is>
          <t xml:space="preserve">Q3 Neon Audit </t>
        </is>
      </c>
      <c r="P1" s="98" t="n"/>
      <c r="Q1" s="98" t="n"/>
      <c r="S1" s="530" t="n"/>
    </row>
    <row r="2" ht="18" customHeight="1" s="37">
      <c r="A2" s="63" t="n">
        <v>-1</v>
      </c>
      <c r="B2" s="171" t="inlineStr">
        <is>
          <t>صلاة</t>
        </is>
      </c>
      <c r="C2" s="450" t="n">
        <v>0.5</v>
      </c>
      <c r="D2" s="450" t="n">
        <v>10</v>
      </c>
      <c r="E2" s="450" t="inlineStr">
        <is>
          <t>P1</t>
        </is>
      </c>
      <c r="F2" s="450" t="inlineStr">
        <is>
          <t xml:space="preserve">Reset Tasks </t>
        </is>
      </c>
      <c r="G2" s="450" t="inlineStr">
        <is>
          <t xml:space="preserve">Nothing that is overdue </t>
        </is>
      </c>
      <c r="J2" s="450" t="inlineStr">
        <is>
          <t>me</t>
        </is>
      </c>
      <c r="K2" s="243" t="inlineStr">
        <is>
          <t>干</t>
        </is>
      </c>
      <c r="L2" s="97" t="inlineStr">
        <is>
          <t>Apple watch app, check back in 2026</t>
        </is>
      </c>
      <c r="P2" s="450" t="inlineStr">
        <is>
          <t xml:space="preserve">Seems fully automatable </t>
        </is>
      </c>
      <c r="Q2" s="450" t="n">
        <v>1</v>
      </c>
      <c r="S2" s="530" t="n">
        <v>9</v>
      </c>
    </row>
    <row r="3" ht="18" customHeight="1" s="37">
      <c r="A3" s="63" t="n">
        <v>-1</v>
      </c>
      <c r="B3" s="159" t="inlineStr">
        <is>
          <t xml:space="preserve"> -1g</t>
        </is>
      </c>
      <c r="C3" s="450" t="n">
        <v>0.5</v>
      </c>
      <c r="D3" s="450" t="n">
        <v>10</v>
      </c>
      <c r="E3" s="450" t="inlineStr">
        <is>
          <t>P1</t>
        </is>
      </c>
      <c r="F3" s="450" t="inlineStr">
        <is>
          <t xml:space="preserve">Reset Tasks </t>
        </is>
      </c>
      <c r="G3" s="450" t="inlineStr">
        <is>
          <t xml:space="preserve">Nothing that is overdue </t>
        </is>
      </c>
      <c r="J3" s="450" t="inlineStr">
        <is>
          <t>me</t>
        </is>
      </c>
      <c r="K3" s="243" t="inlineStr">
        <is>
          <t>干</t>
        </is>
      </c>
      <c r="L3" s="97" t="inlineStr">
        <is>
          <t xml:space="preserve">Watch Speech to notion. </t>
        </is>
      </c>
      <c r="P3" s="450" t="inlineStr">
        <is>
          <t xml:space="preserve">Seems fully automatable </t>
        </is>
      </c>
      <c r="Q3" s="450" t="n">
        <v>1</v>
      </c>
      <c r="S3" s="530" t="n">
        <v>9</v>
      </c>
    </row>
    <row r="4" ht="18" customHeight="1" s="37">
      <c r="A4" s="63" t="n">
        <v>-1</v>
      </c>
      <c r="B4" s="159" t="inlineStr">
        <is>
          <t xml:space="preserve"> -1l</t>
        </is>
      </c>
      <c r="C4" s="450" t="n">
        <v>0.5</v>
      </c>
      <c r="D4" s="450" t="n">
        <v>10</v>
      </c>
      <c r="E4" s="450" t="inlineStr">
        <is>
          <t>P1</t>
        </is>
      </c>
      <c r="F4" s="450" t="inlineStr">
        <is>
          <t xml:space="preserve">Reset Tasks </t>
        </is>
      </c>
      <c r="G4" s="450" t="inlineStr">
        <is>
          <t xml:space="preserve">Nothing that is overdue </t>
        </is>
      </c>
      <c r="J4" s="450" t="inlineStr">
        <is>
          <t>me</t>
        </is>
      </c>
      <c r="K4" s="243" t="inlineStr">
        <is>
          <t>干</t>
        </is>
      </c>
      <c r="L4" s="97" t="inlineStr">
        <is>
          <t xml:space="preserve">t779 -&gt; Neon Agentic Connector </t>
        </is>
      </c>
      <c r="P4" s="450" t="inlineStr">
        <is>
          <t xml:space="preserve">Seems fully automatable </t>
        </is>
      </c>
      <c r="Q4" s="450" t="n">
        <v>1</v>
      </c>
      <c r="S4" s="530" t="n">
        <v>9</v>
      </c>
    </row>
    <row r="5" ht="18" customHeight="1" s="37">
      <c r="A5" s="63" t="n">
        <v>-1</v>
      </c>
      <c r="B5" s="318" t="inlineStr">
        <is>
          <t xml:space="preserve"> -1t</t>
        </is>
      </c>
      <c r="C5" s="450" t="n">
        <v>0.5</v>
      </c>
      <c r="D5" s="450" t="n">
        <v>10</v>
      </c>
      <c r="E5" s="450" t="inlineStr">
        <is>
          <t>P1</t>
        </is>
      </c>
      <c r="F5" s="450" t="inlineStr">
        <is>
          <t xml:space="preserve">Reset Tasks </t>
        </is>
      </c>
      <c r="G5" s="450" t="inlineStr">
        <is>
          <t xml:space="preserve">Nothing that is overdue </t>
        </is>
      </c>
      <c r="J5" s="450" t="inlineStr">
        <is>
          <t>me</t>
        </is>
      </c>
      <c r="K5" s="243" t="inlineStr">
        <is>
          <t>干</t>
        </is>
      </c>
      <c r="L5" s="97" t="inlineStr">
        <is>
          <t xml:space="preserve">Time tracker from outlook. </t>
        </is>
      </c>
      <c r="P5" s="450" t="inlineStr">
        <is>
          <t xml:space="preserve">Seems fully automatable </t>
        </is>
      </c>
      <c r="Q5" s="450" t="n">
        <v>1</v>
      </c>
      <c r="S5" s="530" t="n">
        <v>9</v>
      </c>
    </row>
    <row r="6" ht="18" customHeight="1" s="37">
      <c r="A6" s="63" t="n">
        <v>-1</v>
      </c>
      <c r="B6" s="317" t="inlineStr">
        <is>
          <t>ibx</t>
        </is>
      </c>
      <c r="C6" s="450" t="n">
        <v>0.5</v>
      </c>
      <c r="D6" s="450" t="n">
        <v>10</v>
      </c>
      <c r="E6" s="450" t="inlineStr">
        <is>
          <t>P1</t>
        </is>
      </c>
      <c r="F6" s="450" t="inlineStr">
        <is>
          <t xml:space="preserve">Reset Tasks </t>
        </is>
      </c>
      <c r="G6" s="450" t="inlineStr">
        <is>
          <t xml:space="preserve">Nothing that is overdue </t>
        </is>
      </c>
      <c r="J6" s="450" t="inlineStr">
        <is>
          <t>me</t>
        </is>
      </c>
      <c r="K6" s="243" t="inlineStr">
        <is>
          <t>干</t>
        </is>
      </c>
      <c r="L6" s="97" t="inlineStr">
        <is>
          <t xml:space="preserve">Email Stats to motivate faster response times </t>
        </is>
      </c>
      <c r="P6" s="450" t="inlineStr">
        <is>
          <t xml:space="preserve">Seems fully automatable </t>
        </is>
      </c>
      <c r="Q6" s="450" t="n">
        <v>1</v>
      </c>
      <c r="S6" s="530" t="n">
        <v>9</v>
      </c>
    </row>
    <row r="7" ht="30" customHeight="1" s="37">
      <c r="A7" s="63" t="n"/>
      <c r="B7" s="103" t="inlineStr">
        <is>
          <t>i444</t>
        </is>
      </c>
      <c r="C7" s="450" t="n">
        <v>20</v>
      </c>
      <c r="D7" s="450" t="n">
        <v>5</v>
      </c>
      <c r="E7" s="450" t="inlineStr">
        <is>
          <t>P1</t>
        </is>
      </c>
      <c r="F7" s="450" t="inlineStr">
        <is>
          <t xml:space="preserve">Get to Work </t>
        </is>
      </c>
      <c r="G7" s="450" t="inlineStr">
        <is>
          <t xml:space="preserve">I'm at workstation and ready to work. </t>
        </is>
      </c>
      <c r="K7" s="243" t="n"/>
      <c r="L7" s="97" t="n"/>
      <c r="S7" s="530" t="n"/>
    </row>
    <row r="8" ht="59.25" customHeight="1" s="37">
      <c r="A8" s="63" t="n">
        <v>0</v>
      </c>
      <c r="B8" s="103" t="inlineStr">
        <is>
          <t>i447</t>
        </is>
      </c>
      <c r="D8" s="450" t="n">
        <v>5</v>
      </c>
      <c r="E8" s="450" t="inlineStr">
        <is>
          <t>P3</t>
        </is>
      </c>
      <c r="G8" s="450" t="inlineStr">
        <is>
          <t xml:space="preserve">My master suite clean 
desk cleared
kitchen table cleared
bag organized </t>
        </is>
      </c>
      <c r="H8" s="97" t="inlineStr">
        <is>
          <t>1 load of toys</t>
        </is>
      </c>
      <c r="I8" s="450" t="inlineStr">
        <is>
          <t>∅</t>
        </is>
      </c>
      <c r="J8" s="450" t="inlineStr">
        <is>
          <t>me</t>
        </is>
      </c>
      <c r="K8" s="243" t="inlineStr">
        <is>
          <t>干</t>
        </is>
      </c>
      <c r="L8" s="97" t="n"/>
      <c r="M8" s="450" t="inlineStr">
        <is>
          <t xml:space="preserve">Going to reduce the number of points for this, and something that I'm not currently doing </t>
        </is>
      </c>
      <c r="N8" s="450" t="inlineStr">
        <is>
          <t xml:space="preserve">Reducing to 5, and it has to be done, can't be automatic. </t>
        </is>
      </c>
      <c r="O8" s="450" t="inlineStr">
        <is>
          <t xml:space="preserve">need to reconnect with this habit </t>
        </is>
      </c>
      <c r="P8" s="45" t="inlineStr">
        <is>
          <t>atoms</t>
        </is>
      </c>
      <c r="Q8" s="450" t="n">
        <v>0</v>
      </c>
      <c r="S8" s="530" t="inlineStr">
        <is>
          <t>Y</t>
        </is>
      </c>
      <c r="T8" s="65" t="n"/>
      <c r="U8" s="65" t="n"/>
      <c r="V8" s="65" t="n"/>
      <c r="W8" s="65" t="n"/>
      <c r="X8" s="65" t="n"/>
      <c r="Y8" s="65" t="n"/>
      <c r="Z8" s="65" t="n"/>
    </row>
    <row r="9" ht="16.5" customHeight="1" s="37">
      <c r="A9" s="63" t="n">
        <v>0</v>
      </c>
      <c r="B9" s="160" t="inlineStr">
        <is>
          <t>tmrw</t>
        </is>
      </c>
      <c r="C9" s="450" t="n">
        <v>1</v>
      </c>
      <c r="D9" s="450" t="n">
        <v>5</v>
      </c>
      <c r="E9" s="450" t="inlineStr">
        <is>
          <t>P1</t>
        </is>
      </c>
      <c r="F9" s="450" t="inlineStr">
        <is>
          <t xml:space="preserve">Check Tomorrow </t>
        </is>
      </c>
      <c r="J9" s="450" t="inlineStr">
        <is>
          <t>me</t>
        </is>
      </c>
      <c r="K9" s="242" t="inlineStr">
        <is>
          <t>!</t>
        </is>
      </c>
      <c r="M9" s="450" t="inlineStr">
        <is>
          <t xml:space="preserve">Make sure I don't miss meetings </t>
        </is>
      </c>
      <c r="N9" s="450" t="inlineStr">
        <is>
          <t>✓</t>
        </is>
      </c>
      <c r="O9" s="387" t="inlineStr">
        <is>
          <t xml:space="preserve">Make this purple, and add what I'm looking forward to </t>
        </is>
      </c>
      <c r="P9" s="450" t="inlineStr">
        <is>
          <t xml:space="preserve">Seems fully automatable </t>
        </is>
      </c>
      <c r="Q9" s="450" t="n">
        <v>1</v>
      </c>
      <c r="S9" s="530" t="n">
        <v>5</v>
      </c>
      <c r="T9" s="64" t="n"/>
      <c r="U9" s="64" t="n"/>
      <c r="V9" s="64" t="n"/>
      <c r="W9" s="222" t="n"/>
      <c r="X9" s="222" t="n"/>
      <c r="Y9" s="68" t="n"/>
      <c r="Z9" s="68" t="n"/>
    </row>
    <row r="10" ht="16.5" customHeight="1" s="37">
      <c r="A10" s="63" t="n">
        <v>0</v>
      </c>
      <c r="B10" s="161" t="inlineStr">
        <is>
          <t>充</t>
        </is>
      </c>
      <c r="C10" s="450" t="n">
        <v>1</v>
      </c>
      <c r="D10" s="450" t="n">
        <v>3</v>
      </c>
      <c r="E10" s="450" t="inlineStr">
        <is>
          <t>P1</t>
        </is>
      </c>
      <c r="F10" s="450" t="inlineStr">
        <is>
          <t>Charge</t>
        </is>
      </c>
      <c r="J10" s="450" t="inlineStr">
        <is>
          <t>me</t>
        </is>
      </c>
      <c r="K10" s="242" t="inlineStr">
        <is>
          <t>!</t>
        </is>
      </c>
      <c r="M10" s="450" t="inlineStr">
        <is>
          <t xml:space="preserve">For me on the next day </t>
        </is>
      </c>
      <c r="N10" s="450" t="inlineStr">
        <is>
          <t>✓</t>
        </is>
      </c>
      <c r="O10" s="450" t="inlineStr">
        <is>
          <t xml:space="preserve">redo it from being automatic </t>
        </is>
      </c>
      <c r="P10" s="45" t="inlineStr">
        <is>
          <t>atoms</t>
        </is>
      </c>
      <c r="Q10" s="450" t="n">
        <v>0</v>
      </c>
      <c r="S10" s="530" t="inlineStr">
        <is>
          <t>Y</t>
        </is>
      </c>
      <c r="T10" s="66" t="n"/>
      <c r="U10" s="223" t="n"/>
      <c r="V10" s="67" t="n"/>
      <c r="W10" s="101" t="n"/>
      <c r="X10" s="224" t="n"/>
      <c r="Y10" s="213" t="n"/>
      <c r="Z10" s="450" t="n"/>
    </row>
    <row r="11" ht="30" customHeight="1" s="37">
      <c r="A11" s="63" t="n"/>
      <c r="B11" s="386" t="inlineStr">
        <is>
          <t>hci2</t>
        </is>
      </c>
      <c r="C11" s="450" t="n">
        <v>5</v>
      </c>
      <c r="D11" s="450" t="n">
        <v>7</v>
      </c>
      <c r="F11" s="450" t="inlineStr">
        <is>
          <t xml:space="preserve">2nd HCI </t>
        </is>
      </c>
      <c r="G11" s="450" t="inlineStr">
        <is>
          <t xml:space="preserve">Hair brushed, facial hair, teeth brushed. </t>
        </is>
      </c>
      <c r="K11" s="242" t="n"/>
      <c r="O11" s="387" t="n"/>
      <c r="P11" s="45" t="n"/>
      <c r="S11" s="530" t="n"/>
      <c r="T11" s="66" t="n"/>
      <c r="U11" s="223" t="n"/>
      <c r="V11" s="67" t="n"/>
      <c r="W11" s="101" t="n"/>
      <c r="X11" s="224" t="n"/>
      <c r="Y11" s="213" t="n"/>
      <c r="Z11" s="450" t="n"/>
    </row>
    <row r="12" ht="45" customHeight="1" s="37">
      <c r="A12" s="63" t="n">
        <v>0</v>
      </c>
      <c r="B12" s="163" t="inlineStr">
        <is>
          <t>hcmc</t>
        </is>
      </c>
      <c r="C12" s="450" t="n">
        <v>30</v>
      </c>
      <c r="D12" s="450" t="n">
        <v>10</v>
      </c>
      <c r="E12" s="450" t="inlineStr">
        <is>
          <t>P3</t>
        </is>
      </c>
      <c r="F12" s="450" t="inlineStr">
        <is>
          <t>Good Night Media</t>
        </is>
      </c>
      <c r="G12" s="450" t="inlineStr">
        <is>
          <t xml:space="preserve">No Youtube after 8:00pm, something in a different language </t>
        </is>
      </c>
      <c r="H12" s="450" t="inlineStr">
        <is>
          <t xml:space="preserve">Listen to a book, or nonfiction </t>
        </is>
      </c>
      <c r="J12" s="450" t="inlineStr">
        <is>
          <t>me</t>
        </is>
      </c>
      <c r="K12" s="242" t="inlineStr">
        <is>
          <t>!</t>
        </is>
      </c>
      <c r="N12" s="450" t="inlineStr">
        <is>
          <t xml:space="preserve">I let this go to seed a little bit. Listening in English is good too, sometimes I don't have the energy, should be worth half points. </t>
        </is>
      </c>
      <c r="O12" s="387" t="inlineStr">
        <is>
          <t xml:space="preserve">want to be disciplined. -1 + 1 for every point. Maybe let's double it during this time. </t>
        </is>
      </c>
      <c r="P12" s="450" t="inlineStr">
        <is>
          <t xml:space="preserve">partially automatable </t>
        </is>
      </c>
      <c r="Q12" s="450" t="n">
        <v>0.2</v>
      </c>
      <c r="S12" s="530" t="inlineStr">
        <is>
          <t>Y</t>
        </is>
      </c>
    </row>
    <row r="13" ht="47.25" customHeight="1" s="37">
      <c r="A13" s="63" t="n">
        <v>0</v>
      </c>
      <c r="B13" s="104" t="inlineStr">
        <is>
          <t>好睡觉</t>
        </is>
      </c>
      <c r="C13" s="450" t="n">
        <v>510</v>
      </c>
      <c r="D13" s="450" t="n">
        <v>40</v>
      </c>
      <c r="E13" s="450" t="inlineStr">
        <is>
          <t>P1</t>
        </is>
      </c>
      <c r="F13" s="450" t="inlineStr">
        <is>
          <t xml:space="preserve">Sleep Well </t>
        </is>
      </c>
      <c r="G13" s="450" t="inlineStr">
        <is>
          <t xml:space="preserve">7h &lt; 睡觉 &lt; 8.5h
Go to sleep with sleep mask on
No alcohol || caffeine at night  </t>
        </is>
      </c>
      <c r="H13" s="450" t="inlineStr">
        <is>
          <t>&lt;7 = -20, &gt;8.5 = -10</t>
        </is>
      </c>
      <c r="J13" s="450" t="inlineStr">
        <is>
          <t>me</t>
        </is>
      </c>
      <c r="K13" s="242" t="inlineStr">
        <is>
          <t>!</t>
        </is>
      </c>
      <c r="M13" s="450" t="inlineStr">
        <is>
          <t xml:space="preserve">I should really be willing to cut points, which will force me to pai attention </t>
        </is>
      </c>
      <c r="N13" s="450" t="inlineStr">
        <is>
          <t xml:space="preserve">Will require some manual adjustment. </t>
        </is>
      </c>
      <c r="O13" s="450" t="inlineStr">
        <is>
          <t xml:space="preserve">worth recording on its own. Should keep track of the media cushion of sleep. </t>
        </is>
      </c>
      <c r="P13" s="45" t="inlineStr">
        <is>
          <t>atoms</t>
        </is>
      </c>
      <c r="Q13" s="450" t="n">
        <v>0</v>
      </c>
      <c r="S13" s="530" t="inlineStr">
        <is>
          <t>Y</t>
        </is>
      </c>
    </row>
    <row r="14" ht="18" customHeight="1" s="37">
      <c r="A14" s="63" t="n">
        <v>0</v>
      </c>
      <c r="B14" s="160" t="inlineStr">
        <is>
          <t>ibx</t>
        </is>
      </c>
      <c r="C14" s="450" t="n">
        <v>3</v>
      </c>
      <c r="D14" s="450" t="n">
        <v>7</v>
      </c>
      <c r="E14" s="450" t="inlineStr">
        <is>
          <t>P1</t>
        </is>
      </c>
      <c r="F14" s="450" t="inlineStr">
        <is>
          <t>Social Inbox</t>
        </is>
      </c>
      <c r="J14" s="450" t="inlineStr">
        <is>
          <t>me</t>
        </is>
      </c>
      <c r="K14" s="243" t="inlineStr">
        <is>
          <t>干</t>
        </is>
      </c>
      <c r="L14" s="97" t="n"/>
      <c r="N14" s="450" t="inlineStr">
        <is>
          <t>✓</t>
        </is>
      </c>
      <c r="P14" s="450" t="inlineStr">
        <is>
          <t xml:space="preserve">partially automatable </t>
        </is>
      </c>
      <c r="Q14" s="450" t="n">
        <v>0.2</v>
      </c>
      <c r="S14" s="530" t="n">
        <v>9</v>
      </c>
    </row>
    <row r="15" ht="15.75" customHeight="1" s="37">
      <c r="A15" s="63" t="n">
        <v>0</v>
      </c>
      <c r="B15" s="105" t="inlineStr">
        <is>
          <t>cc</t>
        </is>
      </c>
      <c r="C15" s="450" t="n">
        <v>4</v>
      </c>
      <c r="D15" s="450" t="n">
        <v>8</v>
      </c>
      <c r="E15" s="450" t="inlineStr">
        <is>
          <t>P1</t>
        </is>
      </c>
      <c r="F15" s="450" t="inlineStr">
        <is>
          <t xml:space="preserve">Company Cam </t>
        </is>
      </c>
      <c r="J15" s="450" t="inlineStr">
        <is>
          <t>me</t>
        </is>
      </c>
      <c r="K15" s="242" t="inlineStr">
        <is>
          <t>!</t>
        </is>
      </c>
      <c r="M15" s="450" t="inlineStr">
        <is>
          <t xml:space="preserve">Understand what is happening </t>
        </is>
      </c>
      <c r="N15" s="450" t="inlineStr">
        <is>
          <t xml:space="preserve">Could be time to change the company cam requirement </t>
        </is>
      </c>
      <c r="P15" s="450" t="inlineStr">
        <is>
          <t xml:space="preserve">partially automatable </t>
        </is>
      </c>
      <c r="Q15" s="450" t="n">
        <v>0.5</v>
      </c>
      <c r="S15" s="530" t="n">
        <v>10</v>
      </c>
    </row>
    <row r="16" ht="74.25" customHeight="1" s="37">
      <c r="A16" s="63" t="n">
        <v>0</v>
      </c>
      <c r="B16" s="162" t="inlineStr">
        <is>
          <t>新闻 / hcmc</t>
        </is>
      </c>
      <c r="C16" s="450" t="n">
        <v>10</v>
      </c>
      <c r="D16" s="450" t="n">
        <v>2</v>
      </c>
      <c r="E16" s="450" t="inlineStr">
        <is>
          <t>P4</t>
        </is>
      </c>
      <c r="F16" s="450" t="inlineStr">
        <is>
          <t>日常新闻</t>
        </is>
      </c>
      <c r="G16" s="450" t="inlineStr">
        <is>
          <t>• Read China_IRL or 财新, min 5m
•Economist on Thursdays Allowed 
•Can get points for no news/distractions before the end of neon</t>
        </is>
      </c>
      <c r="I16" s="450" t="inlineStr">
        <is>
          <t xml:space="preserve">7 minutes of listening is the target per day, can spread across days. </t>
        </is>
      </c>
      <c r="J16" s="450" t="inlineStr">
        <is>
          <t>me</t>
        </is>
      </c>
      <c r="K16" s="242" t="inlineStr">
        <is>
          <t>!</t>
        </is>
      </c>
      <c r="M16" s="450" t="inlineStr">
        <is>
          <t>Try and have non - english content that I want to read</t>
        </is>
      </c>
      <c r="N16" s="450" t="inlineStr">
        <is>
          <t>✓</t>
        </is>
      </c>
      <c r="O16" s="450" t="inlineStr">
        <is>
          <t xml:space="preserve">This is more about preventing reading techmeme and memeorandum. I think these are not useful for me. Make this so 0 is a good score. 
Make news -1, and 中文 1. </t>
        </is>
      </c>
      <c r="P16" s="450" t="inlineStr">
        <is>
          <t xml:space="preserve">partially automatable </t>
        </is>
      </c>
      <c r="Q16" s="450" t="n">
        <v>0.3</v>
      </c>
      <c r="S16" s="530" t="inlineStr">
        <is>
          <t>Y</t>
        </is>
      </c>
    </row>
    <row r="17" ht="45" customHeight="1" s="37">
      <c r="A17" s="63" t="n">
        <v>0</v>
      </c>
      <c r="B17" s="163" t="inlineStr">
        <is>
          <t>词汇</t>
        </is>
      </c>
      <c r="C17" s="450" t="n">
        <v>10</v>
      </c>
      <c r="D17" s="450" t="n">
        <v>7</v>
      </c>
      <c r="E17" s="450" t="inlineStr">
        <is>
          <t>P4</t>
        </is>
      </c>
      <c r="F17" s="450" t="inlineStr">
        <is>
          <t>Vocab</t>
        </is>
      </c>
      <c r="G17" s="450" t="inlineStr">
        <is>
          <t>Did at least 100 vocab</t>
        </is>
      </c>
      <c r="H17" s="450" t="inlineStr">
        <is>
          <t xml:space="preserve">Can defer if I think I'll be able to get it done later in the day </t>
        </is>
      </c>
      <c r="I17" s="450" t="inlineStr">
        <is>
          <t xml:space="preserve">10 minutes is the target per day if not caught up </t>
        </is>
      </c>
      <c r="J17" s="450" t="inlineStr">
        <is>
          <t>me</t>
        </is>
      </c>
      <c r="K17" s="100" t="inlineStr">
        <is>
          <t>Q</t>
        </is>
      </c>
      <c r="M17" s="450" t="inlineStr">
        <is>
          <t>This, 其他人, 听书 all compete for othertime, which is oK</t>
        </is>
      </c>
      <c r="N17" s="450" t="inlineStr">
        <is>
          <t>✓</t>
        </is>
      </c>
      <c r="O17" s="387" t="inlineStr">
        <is>
          <t>Ideally this can now be done walking</t>
        </is>
      </c>
      <c r="P17" s="450" t="inlineStr">
        <is>
          <t xml:space="preserve">partially automatable </t>
        </is>
      </c>
      <c r="Q17" s="450" t="n">
        <v>0.5</v>
      </c>
      <c r="S17" s="530" t="n">
        <v>4</v>
      </c>
    </row>
    <row r="18" ht="30" customHeight="1" s="37">
      <c r="A18" s="63" t="n">
        <v>0</v>
      </c>
      <c r="B18" s="164" t="inlineStr">
        <is>
          <t>0t</t>
        </is>
      </c>
      <c r="C18" s="450" t="n">
        <v>3</v>
      </c>
      <c r="D18" s="450" t="n">
        <v>10</v>
      </c>
      <c r="E18" s="450" t="inlineStr">
        <is>
          <t>P0</t>
        </is>
      </c>
      <c r="F18" s="450" t="inlineStr">
        <is>
          <t xml:space="preserve">Time </t>
        </is>
      </c>
      <c r="G18" s="450" t="inlineStr">
        <is>
          <t>Done the next day</t>
        </is>
      </c>
      <c r="H18" s="450" t="inlineStr">
        <is>
          <t xml:space="preserve">9分 whenever done, to motivate completeness </t>
        </is>
      </c>
      <c r="J18" s="450" t="inlineStr">
        <is>
          <t>me</t>
        </is>
      </c>
      <c r="K18" s="243" t="inlineStr">
        <is>
          <t>干</t>
        </is>
      </c>
      <c r="L18" s="97" t="n"/>
      <c r="M18" s="450" t="inlineStr">
        <is>
          <t xml:space="preserve">Rounding out the time to understand what happened. A lot of this is just to be valuable in the moment </t>
        </is>
      </c>
      <c r="N18" s="450" t="inlineStr">
        <is>
          <t xml:space="preserve">Done a bit of backfilling </t>
        </is>
      </c>
      <c r="O18" s="450" t="inlineStr">
        <is>
          <t>✓</t>
        </is>
      </c>
      <c r="P18" s="450" t="inlineStr">
        <is>
          <t xml:space="preserve">partially automatable </t>
        </is>
      </c>
      <c r="Q18" s="450" t="n">
        <v>0.3</v>
      </c>
      <c r="S18" s="530" t="inlineStr">
        <is>
          <t>!</t>
        </is>
      </c>
    </row>
    <row r="19" ht="18" customHeight="1" s="37">
      <c r="A19" s="63" t="n">
        <v>0</v>
      </c>
      <c r="B19" s="106" t="inlineStr">
        <is>
          <t>0l</t>
        </is>
      </c>
      <c r="C19" s="450" t="n">
        <v>8</v>
      </c>
      <c r="D19" s="450" t="n">
        <v>20</v>
      </c>
      <c r="E19" s="450" t="inlineStr">
        <is>
          <t>P0</t>
        </is>
      </c>
      <c r="F19" s="450" t="inlineStr">
        <is>
          <t>Daily 分</t>
        </is>
      </c>
      <c r="J19" s="450" t="inlineStr">
        <is>
          <t>me</t>
        </is>
      </c>
      <c r="K19" s="243" t="inlineStr">
        <is>
          <t>干</t>
        </is>
      </c>
      <c r="L19" s="97" t="n"/>
      <c r="M19" s="450" t="inlineStr">
        <is>
          <t xml:space="preserve">This is what ties things toogether </t>
        </is>
      </c>
      <c r="N19" s="450" t="inlineStr">
        <is>
          <t>✓</t>
        </is>
      </c>
      <c r="O19" s="450" t="inlineStr">
        <is>
          <t>✓</t>
        </is>
      </c>
      <c r="P19" s="450" t="inlineStr">
        <is>
          <t xml:space="preserve">partially automatable </t>
        </is>
      </c>
      <c r="Q19" s="450" t="n">
        <v>0.4</v>
      </c>
      <c r="S19" s="530" t="inlineStr">
        <is>
          <t>!</t>
        </is>
      </c>
    </row>
    <row r="20" ht="30" customHeight="1" s="37">
      <c r="A20" s="63" t="n">
        <v>0</v>
      </c>
      <c r="B20" s="106" t="inlineStr">
        <is>
          <t>0₲</t>
        </is>
      </c>
      <c r="C20" s="450" t="n">
        <v>4</v>
      </c>
      <c r="D20" s="450" t="n">
        <v>8</v>
      </c>
      <c r="E20" s="450" t="inlineStr">
        <is>
          <t>P0</t>
        </is>
      </c>
      <c r="J20" s="450" t="inlineStr">
        <is>
          <t>me</t>
        </is>
      </c>
      <c r="K20" s="100" t="inlineStr">
        <is>
          <t>Q</t>
        </is>
      </c>
      <c r="M20" s="450" t="inlineStr">
        <is>
          <t xml:space="preserve">Setting goals for the day is important, even if only a few impressions </t>
        </is>
      </c>
      <c r="N20" s="450" t="inlineStr">
        <is>
          <t xml:space="preserve">Aim to move this to the day before </t>
        </is>
      </c>
      <c r="O20" s="450" t="inlineStr">
        <is>
          <t xml:space="preserve">Still would like to do this the day before. Calendar look, quick email, </t>
        </is>
      </c>
      <c r="P20" s="450" t="inlineStr">
        <is>
          <t xml:space="preserve">partially automatable </t>
        </is>
      </c>
      <c r="Q20" s="450" t="n">
        <v>0.5</v>
      </c>
      <c r="S20" s="530" t="inlineStr">
        <is>
          <t>!</t>
        </is>
      </c>
    </row>
    <row r="21" ht="30" customHeight="1" s="37">
      <c r="A21" s="63" t="n">
        <v>0</v>
      </c>
      <c r="B21" s="266" t="inlineStr">
        <is>
          <t>stats</t>
        </is>
      </c>
      <c r="C21" s="450" t="n">
        <v>6</v>
      </c>
      <c r="D21" s="450" t="n">
        <v>15</v>
      </c>
      <c r="E21" s="450" t="inlineStr">
        <is>
          <t>P1</t>
        </is>
      </c>
      <c r="J21" s="450" t="inlineStr">
        <is>
          <t>me</t>
        </is>
      </c>
      <c r="K21" s="100" t="inlineStr">
        <is>
          <t>Q</t>
        </is>
      </c>
      <c r="M21" s="450" t="inlineStr">
        <is>
          <t xml:space="preserve">I do think this gives me an edge. It ensures that I'm learning about my area </t>
        </is>
      </c>
      <c r="N21" s="450" t="inlineStr">
        <is>
          <t>✓</t>
        </is>
      </c>
      <c r="O21" s="450" t="inlineStr">
        <is>
          <t>✓</t>
        </is>
      </c>
      <c r="P21" s="450" t="inlineStr">
        <is>
          <t xml:space="preserve">partially automatable </t>
        </is>
      </c>
      <c r="Q21" s="450" t="n">
        <v>0</v>
      </c>
      <c r="S21" s="530" t="inlineStr">
        <is>
          <t>!</t>
        </is>
      </c>
    </row>
    <row r="22" ht="18" customHeight="1" s="37">
      <c r="A22" s="63" t="n">
        <v>0</v>
      </c>
      <c r="B22" s="267" t="inlineStr">
        <is>
          <t>slack</t>
        </is>
      </c>
      <c r="C22" s="450" t="n">
        <v>5</v>
      </c>
      <c r="D22" s="450" t="n">
        <v>8</v>
      </c>
      <c r="E22" s="450" t="inlineStr">
        <is>
          <t>P1</t>
        </is>
      </c>
      <c r="J22" s="450" t="inlineStr">
        <is>
          <t>me</t>
        </is>
      </c>
      <c r="K22" s="243" t="inlineStr">
        <is>
          <t>干</t>
        </is>
      </c>
      <c r="L22" s="97" t="n"/>
      <c r="M22" s="450" t="inlineStr">
        <is>
          <t xml:space="preserve">Comms are obvious, even in -1n </t>
        </is>
      </c>
      <c r="N22" s="450" t="inlineStr">
        <is>
          <t>✓</t>
        </is>
      </c>
      <c r="O22" s="450" t="inlineStr">
        <is>
          <t>✓</t>
        </is>
      </c>
      <c r="P22" s="450" t="inlineStr">
        <is>
          <t xml:space="preserve">partially automatable </t>
        </is>
      </c>
      <c r="Q22" s="450" t="n">
        <v>0.1</v>
      </c>
      <c r="S22" s="530" t="n">
        <v>14</v>
      </c>
    </row>
    <row r="23" ht="18" customHeight="1" s="37">
      <c r="A23" s="63" t="n">
        <v>0</v>
      </c>
      <c r="B23" s="356" t="inlineStr">
        <is>
          <t>ibx</t>
        </is>
      </c>
      <c r="C23" s="450" t="n">
        <v>4</v>
      </c>
      <c r="D23" s="450" t="n">
        <v>20</v>
      </c>
      <c r="E23" s="450" t="inlineStr">
        <is>
          <t>P1</t>
        </is>
      </c>
      <c r="F23" s="450" t="inlineStr">
        <is>
          <t>MSFT ibx</t>
        </is>
      </c>
      <c r="J23" s="450" t="inlineStr">
        <is>
          <t>me</t>
        </is>
      </c>
      <c r="K23" s="243" t="inlineStr">
        <is>
          <t>干</t>
        </is>
      </c>
      <c r="L23" s="97" t="n"/>
      <c r="M23" s="450" t="inlineStr">
        <is>
          <t xml:space="preserve">Comms are obvious, even in -1n </t>
        </is>
      </c>
      <c r="N23" s="450" t="inlineStr">
        <is>
          <t>✓</t>
        </is>
      </c>
      <c r="O23" s="450" t="inlineStr">
        <is>
          <t>✓</t>
        </is>
      </c>
      <c r="P23" s="450" t="inlineStr">
        <is>
          <t xml:space="preserve">partially automatable </t>
        </is>
      </c>
      <c r="Q23" s="450" t="n">
        <v>0.1</v>
      </c>
      <c r="S23" s="530" t="n">
        <v>9</v>
      </c>
    </row>
    <row r="24" ht="15.75" customHeight="1" s="37">
      <c r="A24" s="63" t="n">
        <v>0</v>
      </c>
      <c r="B24" s="356" t="inlineStr">
        <is>
          <t>teams</t>
        </is>
      </c>
      <c r="C24" s="450" t="n">
        <v>3</v>
      </c>
      <c r="D24" s="450" t="n">
        <v>10</v>
      </c>
      <c r="E24" s="450" t="inlineStr">
        <is>
          <t>P1</t>
        </is>
      </c>
      <c r="K24" s="243" t="n"/>
      <c r="L24" s="97" t="n"/>
      <c r="S24" s="530" t="n"/>
    </row>
    <row r="25" ht="17.1" customHeight="1" s="37">
      <c r="A25" s="63" t="n">
        <v>0</v>
      </c>
      <c r="B25" s="268" t="inlineStr">
        <is>
          <t>notes</t>
        </is>
      </c>
      <c r="C25" s="450" t="n">
        <v>3</v>
      </c>
      <c r="D25" s="450" t="n">
        <v>8</v>
      </c>
      <c r="E25" s="450" t="inlineStr">
        <is>
          <t>P1</t>
        </is>
      </c>
      <c r="F25" s="450" t="inlineStr">
        <is>
          <t>Sublime / Neon Notes</t>
        </is>
      </c>
      <c r="J25" s="450" t="inlineStr">
        <is>
          <t>me</t>
        </is>
      </c>
      <c r="K25" s="243" t="inlineStr">
        <is>
          <t>干</t>
        </is>
      </c>
      <c r="L25" s="97" t="n"/>
      <c r="M25" s="450" t="inlineStr">
        <is>
          <t>Once a day this makes sense</t>
        </is>
      </c>
      <c r="N25" s="450" t="inlineStr">
        <is>
          <t>✓</t>
        </is>
      </c>
      <c r="O25" s="450" t="inlineStr">
        <is>
          <t>✓</t>
        </is>
      </c>
      <c r="P25" s="450" t="inlineStr">
        <is>
          <t xml:space="preserve">partially automatable </t>
        </is>
      </c>
      <c r="Q25" s="450" t="n">
        <v>0.5</v>
      </c>
      <c r="S25" s="530" t="inlineStr">
        <is>
          <t>!</t>
        </is>
      </c>
    </row>
    <row r="26" ht="17.1" customHeight="1" s="37">
      <c r="A26" s="63" t="n">
        <v>0</v>
      </c>
      <c r="B26" s="355" t="inlineStr">
        <is>
          <t>slack</t>
        </is>
      </c>
      <c r="C26" s="450" t="n">
        <v>2</v>
      </c>
      <c r="D26" s="450" t="n">
        <v>6</v>
      </c>
      <c r="E26" s="450" t="inlineStr">
        <is>
          <t>P1</t>
        </is>
      </c>
      <c r="J26" s="450" t="inlineStr">
        <is>
          <t xml:space="preserve">me </t>
        </is>
      </c>
      <c r="K26" s="243" t="inlineStr">
        <is>
          <t>干</t>
        </is>
      </c>
      <c r="L26" s="97" t="n"/>
      <c r="O26" s="450" t="inlineStr">
        <is>
          <t>✓</t>
        </is>
      </c>
      <c r="S26" s="530" t="n"/>
    </row>
    <row r="27" ht="18" customHeight="1" s="37">
      <c r="A27" s="63" t="n">
        <v>0</v>
      </c>
      <c r="B27" s="319" t="inlineStr">
        <is>
          <t>slack</t>
        </is>
      </c>
      <c r="C27" s="450" t="n">
        <v>2</v>
      </c>
      <c r="D27" s="450" t="n">
        <v>8</v>
      </c>
      <c r="E27" s="450" t="inlineStr">
        <is>
          <t>P1</t>
        </is>
      </c>
      <c r="J27" s="450" t="inlineStr">
        <is>
          <t>me</t>
        </is>
      </c>
      <c r="K27" s="243" t="inlineStr">
        <is>
          <t>干</t>
        </is>
      </c>
      <c r="L27" s="97" t="n"/>
      <c r="M27" s="450" t="inlineStr">
        <is>
          <t xml:space="preserve">Comms are obvious, even in -1n </t>
        </is>
      </c>
      <c r="N27" s="450" t="inlineStr">
        <is>
          <t>✓</t>
        </is>
      </c>
      <c r="O27" s="450" t="inlineStr">
        <is>
          <t>✓</t>
        </is>
      </c>
      <c r="P27" s="450" t="inlineStr">
        <is>
          <t xml:space="preserve">partially automatable </t>
        </is>
      </c>
      <c r="Q27" s="450" t="n">
        <v>0.2</v>
      </c>
      <c r="S27" s="530" t="n">
        <v>9</v>
      </c>
    </row>
    <row r="28" ht="18" customHeight="1" s="37">
      <c r="A28" s="63" t="n">
        <v>0</v>
      </c>
      <c r="B28" s="107" t="inlineStr">
        <is>
          <t>@m5</t>
        </is>
      </c>
      <c r="C28" s="450" t="n">
        <v>7</v>
      </c>
      <c r="D28" s="450" t="n">
        <v>8</v>
      </c>
      <c r="E28" s="450" t="inlineStr">
        <is>
          <t>P1</t>
        </is>
      </c>
      <c r="H28" s="450" t="inlineStr">
        <is>
          <t xml:space="preserve"> -1分 if I don't get to zero </t>
        </is>
      </c>
      <c r="J28" s="450" t="inlineStr">
        <is>
          <t>me</t>
        </is>
      </c>
      <c r="K28" s="243" t="inlineStr">
        <is>
          <t>干</t>
        </is>
      </c>
      <c r="L28" s="97" t="n"/>
      <c r="M28" s="450" t="inlineStr">
        <is>
          <t xml:space="preserve">Comms are obvious, even in -1n </t>
        </is>
      </c>
      <c r="N28" s="450" t="inlineStr">
        <is>
          <t>✓</t>
        </is>
      </c>
      <c r="O28" s="450" t="inlineStr">
        <is>
          <t>✓</t>
        </is>
      </c>
      <c r="P28" s="450" t="inlineStr">
        <is>
          <t xml:space="preserve">partially automatable </t>
        </is>
      </c>
      <c r="Q28" s="450" t="n">
        <v>0.2</v>
      </c>
      <c r="S28" s="530" t="n">
        <v>9</v>
      </c>
    </row>
    <row r="29" ht="30" customHeight="1" s="37">
      <c r="A29" s="63" t="n">
        <v>0</v>
      </c>
      <c r="B29" s="165" t="inlineStr">
        <is>
          <t>早餐</t>
        </is>
      </c>
      <c r="C29" s="450" t="n">
        <v>15</v>
      </c>
      <c r="D29" s="450" t="n">
        <v>5</v>
      </c>
      <c r="E29" s="450" t="inlineStr">
        <is>
          <t>P2</t>
        </is>
      </c>
      <c r="F29" s="450" t="inlineStr">
        <is>
          <t xml:space="preserve">Healthy Breakfast </t>
        </is>
      </c>
      <c r="G29" s="450" t="inlineStr">
        <is>
          <t xml:space="preserve">Hit 4 healthy food groups out of the dozen </t>
        </is>
      </c>
      <c r="J29" s="450" t="inlineStr">
        <is>
          <t>me</t>
        </is>
      </c>
      <c r="K29" s="242" t="inlineStr">
        <is>
          <t>!</t>
        </is>
      </c>
      <c r="M29" s="450" t="inlineStr">
        <is>
          <t xml:space="preserve">This is the meal that I have the most control over, but might try and get it out of bed </t>
        </is>
      </c>
      <c r="N29" s="450" t="inlineStr">
        <is>
          <t xml:space="preserve">Might be worth adding something for lunch and dinner, but this is a great habit </t>
        </is>
      </c>
      <c r="O29" s="450" t="inlineStr">
        <is>
          <t>✓</t>
        </is>
      </c>
      <c r="P29" s="450" t="inlineStr">
        <is>
          <t xml:space="preserve">partially automatable </t>
        </is>
      </c>
      <c r="Q29" s="450" t="n">
        <v>0</v>
      </c>
      <c r="S29" s="530" t="inlineStr">
        <is>
          <t>Y</t>
        </is>
      </c>
    </row>
    <row r="30" ht="92.09999999999999" customHeight="1" s="37">
      <c r="A30" s="63" t="n">
        <v>0</v>
      </c>
      <c r="B30" s="166" t="inlineStr">
        <is>
          <t>hcbp</t>
        </is>
      </c>
      <c r="C30" s="450" t="n">
        <v>10</v>
      </c>
      <c r="D30" s="450" t="n">
        <v>23</v>
      </c>
      <c r="E30" s="450" t="inlineStr">
        <is>
          <t>P2</t>
        </is>
      </c>
      <c r="F30" s="450" t="inlineStr">
        <is>
          <t xml:space="preserve">Workout </t>
        </is>
      </c>
      <c r="G30" s="450" t="inlineStr">
        <is>
          <t xml:space="preserve">40 minutes || future fit exercise || caught up </t>
        </is>
      </c>
      <c r="I30" s="450" t="inlineStr">
        <is>
          <t xml:space="preserve">30 minutes will count regardless of caught up status </t>
        </is>
      </c>
      <c r="J30" s="450" t="inlineStr">
        <is>
          <t>me</t>
        </is>
      </c>
      <c r="K30" s="100" t="inlineStr">
        <is>
          <t>Q</t>
        </is>
      </c>
      <c r="M30" s="450" t="inlineStr">
        <is>
          <t xml:space="preserve">There needs to be some daily habit here, right now we can keep it at 7 minutes, and then we'll scale up or down </t>
        </is>
      </c>
      <c r="N30" s="450" t="inlineStr">
        <is>
          <t xml:space="preserve">Scaling this up </t>
        </is>
      </c>
      <c r="O30" s="450" t="inlineStr">
        <is>
          <t xml:space="preserve">goal is to do 20 minutes HIIT a day </t>
        </is>
      </c>
      <c r="P30" s="45" t="inlineStr">
        <is>
          <t>atoms</t>
        </is>
      </c>
      <c r="Q30" s="450" t="n">
        <v>0</v>
      </c>
      <c r="S30" s="530" t="inlineStr">
        <is>
          <t>Y</t>
        </is>
      </c>
    </row>
    <row r="31" ht="62.25" customHeight="1" s="37">
      <c r="A31" s="63" t="n">
        <v>0</v>
      </c>
      <c r="B31" s="167" t="inlineStr">
        <is>
          <t>d hci</t>
        </is>
      </c>
      <c r="C31" s="450" t="n">
        <v>10</v>
      </c>
      <c r="D31" s="450" t="n">
        <v>26</v>
      </c>
      <c r="E31" s="450" t="inlineStr">
        <is>
          <t>P1</t>
        </is>
      </c>
      <c r="F31" s="450" t="inlineStr">
        <is>
          <t>Daily Spa</t>
        </is>
      </c>
      <c r="G31" s="450" t="inlineStr">
        <is>
          <t xml:space="preserve">Picture in the hci folder </t>
        </is>
      </c>
      <c r="H31" s="450" t="inlineStr">
        <is>
          <t xml:space="preserve">includes being quiet. part of hci; don't use big headphones that can fall, phone ends up on charger
-5分 if picture not taken </t>
        </is>
      </c>
      <c r="I31" s="450" t="inlineStr">
        <is>
          <t xml:space="preserve">Can deduct at the end of the week </t>
        </is>
      </c>
      <c r="J31" s="450" t="inlineStr">
        <is>
          <t>me</t>
        </is>
      </c>
      <c r="K31" s="242" t="inlineStr">
        <is>
          <t>!</t>
        </is>
      </c>
      <c r="M31" s="450" t="inlineStr">
        <is>
          <t xml:space="preserve">Society's expectations </t>
        </is>
      </c>
      <c r="N31" s="450" t="inlineStr">
        <is>
          <t xml:space="preserve">Should be heavily docking points here, but this can also be an opportunity for meditation </t>
        </is>
      </c>
      <c r="O31" s="450" t="inlineStr">
        <is>
          <t xml:space="preserve">get back to the standard </t>
        </is>
      </c>
      <c r="P31" s="45" t="inlineStr">
        <is>
          <t>atoms</t>
        </is>
      </c>
      <c r="Q31" s="450" t="n">
        <v>0</v>
      </c>
      <c r="S31" s="530" t="inlineStr">
        <is>
          <t>Y</t>
        </is>
      </c>
    </row>
    <row r="32" ht="16.5" customHeight="1" s="37">
      <c r="A32" s="63" t="n">
        <v>0</v>
      </c>
      <c r="B32" s="168" t="inlineStr">
        <is>
          <t>i444</t>
        </is>
      </c>
      <c r="C32" s="450" t="n">
        <v>2</v>
      </c>
      <c r="D32" s="450" t="n">
        <v>5</v>
      </c>
      <c r="E32" s="450" t="inlineStr">
        <is>
          <t>P2</t>
        </is>
      </c>
      <c r="F32" s="450" t="n">
        <v>5</v>
      </c>
      <c r="H32" s="450" t="inlineStr">
        <is>
          <t xml:space="preserve">Get myself to the place to work </t>
        </is>
      </c>
      <c r="J32" s="450" t="inlineStr">
        <is>
          <t>me</t>
        </is>
      </c>
      <c r="K32" s="242" t="inlineStr">
        <is>
          <t>!</t>
        </is>
      </c>
      <c r="M32" s="450" t="inlineStr">
        <is>
          <t xml:space="preserve">Being in person is worth 30 points </t>
        </is>
      </c>
      <c r="N32" s="450" t="inlineStr">
        <is>
          <t>✓</t>
        </is>
      </c>
      <c r="O32" s="450" t="inlineStr">
        <is>
          <t xml:space="preserve">no points if remote. </t>
        </is>
      </c>
      <c r="P32" s="45" t="inlineStr">
        <is>
          <t>atoms</t>
        </is>
      </c>
      <c r="Q32" s="450" t="n">
        <v>0</v>
      </c>
      <c r="S32" s="530" t="inlineStr">
        <is>
          <t>Y</t>
        </is>
      </c>
    </row>
    <row r="33" ht="16.5" customHeight="1" s="37">
      <c r="A33" s="63" t="n">
        <v>0</v>
      </c>
      <c r="B33" s="162" t="inlineStr">
        <is>
          <t>₦156</t>
        </is>
      </c>
      <c r="D33" s="450" t="n">
        <v>4</v>
      </c>
      <c r="E33" s="450" t="inlineStr">
        <is>
          <t>P1</t>
        </is>
      </c>
      <c r="H33" s="450" t="inlineStr">
        <is>
          <t xml:space="preserve">Record the points of the day (separate from 0l) </t>
        </is>
      </c>
      <c r="J33" s="450" t="inlineStr">
        <is>
          <t>me</t>
        </is>
      </c>
      <c r="K33" s="242" t="inlineStr">
        <is>
          <t>!</t>
        </is>
      </c>
      <c r="M33" s="450" t="inlineStr">
        <is>
          <t xml:space="preserve">If I don't record I'm less likely to do it. </t>
        </is>
      </c>
      <c r="N33" s="450" t="inlineStr">
        <is>
          <t>✓</t>
        </is>
      </c>
      <c r="O33" s="450" t="inlineStr">
        <is>
          <t>✓</t>
        </is>
      </c>
      <c r="P33" s="450" t="inlineStr">
        <is>
          <t xml:space="preserve">partially automatable </t>
        </is>
      </c>
      <c r="Q33" s="450" t="n">
        <v>0.5</v>
      </c>
      <c r="S33" s="530" t="inlineStr">
        <is>
          <t>!</t>
        </is>
      </c>
    </row>
    <row r="34" ht="74.25" customHeight="1" s="37">
      <c r="A34" s="63" t="n">
        <v>0</v>
      </c>
      <c r="B34" s="169" t="inlineStr">
        <is>
          <t>教分</t>
        </is>
      </c>
      <c r="C34" s="450" t="n">
        <v>45</v>
      </c>
      <c r="D34" s="450" t="inlineStr">
        <is>
          <t xml:space="preserve"> </t>
        </is>
      </c>
      <c r="E34" s="450" t="inlineStr">
        <is>
          <t>P3</t>
        </is>
      </c>
      <c r="F34" s="450" t="inlineStr">
        <is>
          <t xml:space="preserve">Educational Time </t>
        </is>
      </c>
      <c r="H34" s="450" t="inlineStr">
        <is>
          <t xml:space="preserve">Notate with which kid so I can keep some balance.
Try 2x every day to read books or engage them in a longer language activity, ideal 1x in morning for like 10 minutes and ~30-60m at night. </t>
        </is>
      </c>
      <c r="J34" s="450" t="inlineStr">
        <is>
          <t>Kid</t>
        </is>
      </c>
      <c r="K34" s="100" t="inlineStr">
        <is>
          <t>Q</t>
        </is>
      </c>
      <c r="M34" s="450" t="inlineStr">
        <is>
          <t xml:space="preserve">This is lasting for the next generations, directly affecting a win condition. </t>
        </is>
      </c>
      <c r="N34" s="450" t="inlineStr">
        <is>
          <t xml:space="preserve">I'm not hitting 45 minutes a day here, which is A LOT. I should think about how much I do, how much Louisa does, how that translates into a habit. </t>
        </is>
      </c>
      <c r="P34" s="216" t="inlineStr">
        <is>
          <t xml:space="preserve">Social </t>
        </is>
      </c>
      <c r="Q34" s="450" t="n">
        <v>0</v>
      </c>
      <c r="S34" s="530" t="n"/>
    </row>
    <row r="35" ht="30" customHeight="1" s="37">
      <c r="A35" s="63" t="n">
        <v>0</v>
      </c>
      <c r="B35" s="169" t="inlineStr">
        <is>
          <t>试学</t>
        </is>
      </c>
      <c r="C35" s="450" t="n">
        <v>2</v>
      </c>
      <c r="D35" s="450" t="n">
        <v>5</v>
      </c>
      <c r="E35" s="450" t="inlineStr">
        <is>
          <t>P3</t>
        </is>
      </c>
      <c r="H35" s="450" t="inlineStr">
        <is>
          <t xml:space="preserve">Bonus points for just attempting to read, or do something enriching </t>
        </is>
      </c>
      <c r="K35" s="100" t="inlineStr">
        <is>
          <t>Q</t>
        </is>
      </c>
      <c r="M35" s="450" t="inlineStr">
        <is>
          <t xml:space="preserve">This is meant to reward attempts, not just </t>
        </is>
      </c>
      <c r="N35" s="97" t="inlineStr">
        <is>
          <t>✓</t>
        </is>
      </c>
      <c r="O35" s="388" t="inlineStr">
        <is>
          <t>Merge this in with 教训</t>
        </is>
      </c>
      <c r="P35" s="216" t="inlineStr">
        <is>
          <t xml:space="preserve">Social </t>
        </is>
      </c>
      <c r="Q35" s="97" t="n">
        <v>0</v>
      </c>
      <c r="S35" s="530" t="n"/>
    </row>
    <row r="36" ht="59.25" customHeight="1" s="37">
      <c r="A36" s="63" t="n">
        <v>0</v>
      </c>
      <c r="B36" s="169" t="inlineStr">
        <is>
          <t>qft</t>
        </is>
      </c>
      <c r="C36" s="450" t="n">
        <v>30</v>
      </c>
      <c r="D36" s="450" t="n">
        <v>200</v>
      </c>
      <c r="E36" s="450" t="inlineStr">
        <is>
          <t>P3</t>
        </is>
      </c>
      <c r="F36" s="450" t="inlineStr">
        <is>
          <t>Meals/Activities Together</t>
        </is>
      </c>
      <c r="H36" s="450" t="inlineStr">
        <is>
          <t xml:space="preserve">We spend time together (all 5, all one group) as a family. Everybody is happy||neutral, together, doing roughly the same activity / activities.
</t>
        </is>
      </c>
      <c r="I36" s="450" t="inlineStr">
        <is>
          <t>.5/m</t>
        </is>
      </c>
      <c r="J36" s="450" t="inlineStr">
        <is>
          <t>∀(adults) || ∀(kids)</t>
        </is>
      </c>
      <c r="K36" s="242" t="inlineStr">
        <is>
          <t>!</t>
        </is>
      </c>
      <c r="M36" s="450" t="inlineStr">
        <is>
          <t xml:space="preserve">Spending time together is what matters for the </t>
        </is>
      </c>
      <c r="N36" s="97" t="inlineStr">
        <is>
          <t>✓</t>
        </is>
      </c>
      <c r="O36" s="97" t="inlineStr">
        <is>
          <t>✓</t>
        </is>
      </c>
      <c r="P36" s="216" t="inlineStr">
        <is>
          <t xml:space="preserve">Social </t>
        </is>
      </c>
      <c r="Q36" s="97" t="n">
        <v>0</v>
      </c>
      <c r="S36" s="530" t="n"/>
    </row>
    <row r="37" ht="33" customHeight="1" s="37">
      <c r="A37" s="63" t="n">
        <v>0</v>
      </c>
      <c r="B37" s="169" t="inlineStr">
        <is>
          <t>lx:qt</t>
        </is>
      </c>
      <c r="C37" s="450" t="n">
        <v>30</v>
      </c>
      <c r="D37" s="450" t="n">
        <v>30</v>
      </c>
      <c r="E37" s="450" t="inlineStr">
        <is>
          <t>P4</t>
        </is>
      </c>
      <c r="F37" s="450" t="inlineStr">
        <is>
          <t>Quality time every day</t>
        </is>
      </c>
      <c r="G37" s="450" t="inlineStr">
        <is>
          <t>I can point to the thing I did just with her. Otherwise worth 15分</t>
        </is>
      </c>
      <c r="H37" s="450" t="inlineStr">
        <is>
          <t>Spending time with her talking about things that are important. 1:1 up to 30m, can be with kids.</t>
        </is>
      </c>
      <c r="I37" s="450" t="inlineStr">
        <is>
          <t>1分/m</t>
        </is>
      </c>
      <c r="J37" s="450" t="inlineStr">
        <is>
          <t>lx</t>
        </is>
      </c>
      <c r="K37" s="242" t="inlineStr">
        <is>
          <t>!</t>
        </is>
      </c>
      <c r="M37" s="450" t="inlineStr">
        <is>
          <t xml:space="preserve">While it doesn't always have to be 30m, the time is quite important </t>
        </is>
      </c>
      <c r="N37" s="450" t="inlineStr">
        <is>
          <t xml:space="preserve">Change to 15分 opportunity for each key member of the familpy. </t>
        </is>
      </c>
      <c r="O37" s="450" t="inlineStr">
        <is>
          <t xml:space="preserve">don't take this for granted. Needs to be recorded in n156 </t>
        </is>
      </c>
      <c r="P37" s="216" t="inlineStr">
        <is>
          <t xml:space="preserve">Social </t>
        </is>
      </c>
      <c r="Q37" s="450" t="n">
        <v>0</v>
      </c>
      <c r="S37" s="530" t="n"/>
    </row>
    <row r="38" ht="48" customHeight="1" s="37">
      <c r="A38" s="63" t="n">
        <v>0</v>
      </c>
      <c r="B38" s="169" t="inlineStr">
        <is>
          <t>NVC +e</t>
        </is>
      </c>
      <c r="C38" s="450" t="n">
        <v>3</v>
      </c>
      <c r="D38" s="38" t="inlineStr">
        <is>
          <t xml:space="preserve"> 1-60</t>
        </is>
      </c>
      <c r="E38" s="450" t="inlineStr">
        <is>
          <t>P4</t>
        </is>
      </c>
      <c r="F38" s="450" t="inlineStr">
        <is>
          <t xml:space="preserve">Emotional Education and support </t>
        </is>
      </c>
      <c r="H38" s="450" t="inlineStr">
        <is>
          <t xml:space="preserve">Discuss the things that are upsetting, do so kindly.
Set boundaries in a kind and consistent way.
1 point for every day checking in.
</t>
        </is>
      </c>
      <c r="I38" s="450" t="inlineStr">
        <is>
          <t>10分 tantrum 
1分 checkin
30分+ makeup || CC</t>
        </is>
      </c>
      <c r="J38" s="450" t="inlineStr">
        <is>
          <t>fam</t>
        </is>
      </c>
      <c r="K38" s="242" t="inlineStr">
        <is>
          <t>!</t>
        </is>
      </c>
      <c r="M38" s="450" t="inlineStr">
        <is>
          <t xml:space="preserve">This is definitely worth the time </t>
        </is>
      </c>
      <c r="N38" s="450" t="inlineStr">
        <is>
          <t xml:space="preserve">Remember to turn towards unhappiness and conflict. </t>
        </is>
      </c>
      <c r="O38" s="97" t="inlineStr">
        <is>
          <t>✓</t>
        </is>
      </c>
      <c r="P38" s="216" t="inlineStr">
        <is>
          <t xml:space="preserve">Social </t>
        </is>
      </c>
      <c r="Q38" s="450" t="n">
        <v>0</v>
      </c>
      <c r="S38" s="530" t="n"/>
    </row>
    <row r="39" ht="16.5" customHeight="1" s="37">
      <c r="A39" s="63" t="n">
        <v>0</v>
      </c>
      <c r="B39" s="160" t="inlineStr">
        <is>
          <t>音乐</t>
        </is>
      </c>
      <c r="C39" s="450" t="n">
        <v>10</v>
      </c>
      <c r="D39" s="450" t="n">
        <v>10</v>
      </c>
      <c r="E39" s="450" t="inlineStr">
        <is>
          <t>P6</t>
        </is>
      </c>
      <c r="K39" s="216" t="inlineStr">
        <is>
          <t>na</t>
        </is>
      </c>
      <c r="M39" s="450" t="inlineStr">
        <is>
          <t xml:space="preserve">This is a bonus that can be overlaid on family time </t>
        </is>
      </c>
      <c r="N39" s="97" t="inlineStr">
        <is>
          <t>✓</t>
        </is>
      </c>
      <c r="O39" s="97" t="inlineStr">
        <is>
          <t>✓</t>
        </is>
      </c>
      <c r="P39" s="45" t="inlineStr">
        <is>
          <t>atoms</t>
        </is>
      </c>
      <c r="Q39" s="97" t="n">
        <v>0</v>
      </c>
      <c r="S39" s="530" t="inlineStr">
        <is>
          <t>Y</t>
        </is>
      </c>
    </row>
    <row r="40" ht="47.25" customHeight="1" s="37">
      <c r="A40" s="63" t="n">
        <v>0</v>
      </c>
      <c r="B40" s="170" t="inlineStr">
        <is>
          <t>o314</t>
        </is>
      </c>
      <c r="C40" s="450" t="n">
        <v>15</v>
      </c>
      <c r="D40" s="450" t="inlineStr">
        <is>
          <t>1分/m</t>
        </is>
      </c>
      <c r="E40" s="450" t="inlineStr">
        <is>
          <t>P4</t>
        </is>
      </c>
      <c r="F40" s="450" t="inlineStr">
        <is>
          <t>日记</t>
        </is>
      </c>
      <c r="G40" s="450" t="inlineStr">
        <is>
          <t xml:space="preserve">15m writing down life </t>
        </is>
      </c>
      <c r="H40" s="450" t="inlineStr">
        <is>
          <t xml:space="preserve">less time </t>
        </is>
      </c>
      <c r="K40" s="100" t="inlineStr">
        <is>
          <t>Q</t>
        </is>
      </c>
      <c r="M40" s="450" t="inlineStr">
        <is>
          <t xml:space="preserve">Between these two, I think I can reduce the amount of time doing 幽思. But then why what am I going to do instead? </t>
        </is>
      </c>
      <c r="O40" s="97" t="inlineStr">
        <is>
          <t>✓</t>
        </is>
      </c>
      <c r="P40" s="450" t="inlineStr">
        <is>
          <t xml:space="preserve">partially automatable </t>
        </is>
      </c>
      <c r="Q40" s="450" t="n">
        <v>0.3</v>
      </c>
      <c r="S40" s="530" t="n">
        <v>9</v>
      </c>
    </row>
    <row r="41" ht="33" customHeight="1" s="37">
      <c r="A41" s="63" t="n">
        <v>0</v>
      </c>
      <c r="B41" s="171" t="inlineStr">
        <is>
          <t>冥想</t>
        </is>
      </c>
      <c r="C41" s="450" t="n">
        <v>10</v>
      </c>
      <c r="D41" s="450" t="inlineStr">
        <is>
          <t>1分/m</t>
        </is>
      </c>
      <c r="E41" s="450" t="inlineStr">
        <is>
          <t>P4</t>
        </is>
      </c>
      <c r="H41" s="450" t="inlineStr">
        <is>
          <t xml:space="preserve">10 minutes of meditation </t>
        </is>
      </c>
      <c r="K41" s="100" t="inlineStr">
        <is>
          <t>Q</t>
        </is>
      </c>
      <c r="N41" s="450" t="inlineStr">
        <is>
          <t xml:space="preserve">This should be something that is seen as a way to charge for the day </t>
        </is>
      </c>
      <c r="O41" s="97" t="inlineStr">
        <is>
          <t>✓</t>
        </is>
      </c>
      <c r="P41" s="450" t="inlineStr">
        <is>
          <t xml:space="preserve">partially automatable </t>
        </is>
      </c>
      <c r="Q41" s="450" t="n">
        <v>0</v>
      </c>
      <c r="S41" s="530" t="n">
        <v>9</v>
      </c>
    </row>
    <row r="42" ht="33" customHeight="1" s="37">
      <c r="A42" s="63" t="n">
        <v>0</v>
      </c>
      <c r="B42" s="172" t="inlineStr">
        <is>
          <t>其他人</t>
        </is>
      </c>
      <c r="C42" s="450" t="n">
        <v>5</v>
      </c>
      <c r="D42" s="450" t="inlineStr">
        <is>
          <t>1分/m</t>
        </is>
      </c>
      <c r="E42" s="450" t="inlineStr">
        <is>
          <t>P4</t>
        </is>
      </c>
      <c r="F42" s="450" t="inlineStr">
        <is>
          <t xml:space="preserve">Think about how to help others </t>
        </is>
      </c>
      <c r="K42" s="100" t="inlineStr">
        <is>
          <t>Q</t>
        </is>
      </c>
      <c r="M42" s="450" t="inlineStr">
        <is>
          <t xml:space="preserve">5 minutes is such a low cost </t>
        </is>
      </c>
      <c r="N42" s="97" t="inlineStr">
        <is>
          <t>✓</t>
        </is>
      </c>
      <c r="O42" s="97" t="inlineStr">
        <is>
          <t>✓</t>
        </is>
      </c>
      <c r="P42" s="450" t="inlineStr">
        <is>
          <t xml:space="preserve">partially automatable </t>
        </is>
      </c>
      <c r="Q42" s="97" t="n">
        <v>0</v>
      </c>
      <c r="S42" s="530" t="n">
        <v>9</v>
      </c>
    </row>
    <row r="43" ht="47.25" customHeight="1" s="37">
      <c r="A43" s="63" t="n">
        <v>0</v>
      </c>
      <c r="B43" s="357" t="n">
        <v>2</v>
      </c>
      <c r="C43" s="450" t="n">
        <v>0</v>
      </c>
      <c r="D43" s="450" t="inlineStr">
        <is>
          <t xml:space="preserve"> -1分 / m</t>
        </is>
      </c>
      <c r="E43" s="450" t="inlineStr">
        <is>
          <t>P-1</t>
        </is>
      </c>
      <c r="G43" s="450" t="inlineStr">
        <is>
          <t xml:space="preserve">Youtube, or unsanctioned gaming </t>
        </is>
      </c>
      <c r="H43" s="450" t="inlineStr">
        <is>
          <t xml:space="preserve">news that I don't want to watch </t>
        </is>
      </c>
      <c r="K43" s="100" t="n"/>
      <c r="N43" s="97" t="n"/>
      <c r="O43" s="97" t="n"/>
      <c r="Q43" s="97" t="n"/>
      <c r="S43" s="530" t="n"/>
    </row>
    <row r="44" ht="45" customHeight="1" s="37">
      <c r="A44" s="63" t="n">
        <v>0</v>
      </c>
      <c r="B44" s="108" t="n">
        <v>1</v>
      </c>
      <c r="C44" s="450" t="n">
        <v>0</v>
      </c>
      <c r="D44" s="450" t="n">
        <v>-0.1</v>
      </c>
      <c r="E44" s="450" t="inlineStr">
        <is>
          <t>n/a</t>
        </is>
      </c>
      <c r="G44" s="450" t="inlineStr">
        <is>
          <t xml:space="preserve">Blocker was on and apps remain uninstalled, not even a glance at the content. </t>
        </is>
      </c>
      <c r="K44" s="243" t="inlineStr">
        <is>
          <t>干</t>
        </is>
      </c>
      <c r="L44" s="97" t="n"/>
      <c r="M44" s="450" t="inlineStr">
        <is>
          <t xml:space="preserve">Continue to try and minimize this, </t>
        </is>
      </c>
      <c r="N44" s="97" t="inlineStr">
        <is>
          <t>✓</t>
        </is>
      </c>
      <c r="O44" s="97" t="n"/>
      <c r="P44" s="291" t="inlineStr">
        <is>
          <t>n/a</t>
        </is>
      </c>
      <c r="Q44" s="97" t="n"/>
      <c r="S44" s="530" t="inlineStr">
        <is>
          <t>!</t>
        </is>
      </c>
    </row>
    <row r="45" ht="16.5" customHeight="1" s="37">
      <c r="A45" s="63" t="n">
        <v>0</v>
      </c>
      <c r="B45" s="109" t="n">
        <v>-1</v>
      </c>
      <c r="C45" s="450" t="n">
        <v>0</v>
      </c>
      <c r="E45" s="450" t="inlineStr">
        <is>
          <t>n/a</t>
        </is>
      </c>
      <c r="K45" s="100" t="inlineStr">
        <is>
          <t>Q</t>
        </is>
      </c>
      <c r="M45" s="450" t="inlineStr">
        <is>
          <t xml:space="preserve">This is mainly a fallback to prevent bad habits </t>
        </is>
      </c>
      <c r="N45" s="97" t="inlineStr">
        <is>
          <t>✓</t>
        </is>
      </c>
      <c r="O45" s="97" t="n"/>
      <c r="P45" s="291" t="inlineStr">
        <is>
          <t>n/a</t>
        </is>
      </c>
      <c r="Q45" s="97" t="n"/>
      <c r="S45" s="530" t="inlineStr">
        <is>
          <t>!</t>
        </is>
      </c>
    </row>
    <row r="46" ht="33" customHeight="1" s="37">
      <c r="A46" s="63" t="n">
        <v>0</v>
      </c>
      <c r="B46" s="110" t="n">
        <v>-2</v>
      </c>
      <c r="C46" s="450" t="n">
        <v>0</v>
      </c>
      <c r="D46" s="450" t="inlineStr">
        <is>
          <t>.5分/m</t>
        </is>
      </c>
      <c r="E46" s="450" t="inlineStr">
        <is>
          <t>P4</t>
        </is>
      </c>
      <c r="K46" s="100" t="inlineStr">
        <is>
          <t>Q</t>
        </is>
      </c>
      <c r="M46" s="450" t="inlineStr">
        <is>
          <t xml:space="preserve">Learning about the world cannot be a bad thing. </t>
        </is>
      </c>
      <c r="N46" s="97" t="inlineStr">
        <is>
          <t>✓</t>
        </is>
      </c>
      <c r="O46" s="97" t="n"/>
      <c r="P46" s="291" t="inlineStr">
        <is>
          <t>n/a</t>
        </is>
      </c>
      <c r="Q46" s="97" t="n"/>
      <c r="S46" s="530" t="inlineStr">
        <is>
          <t>!</t>
        </is>
      </c>
    </row>
    <row r="47" ht="33" customHeight="1" s="37">
      <c r="A47" s="63" t="n">
        <v>0</v>
      </c>
      <c r="B47" s="111" t="n">
        <v>-3</v>
      </c>
      <c r="C47" s="450" t="n">
        <v>0</v>
      </c>
      <c r="D47" s="450" t="inlineStr">
        <is>
          <t>1分/m</t>
        </is>
      </c>
      <c r="E47" s="450" t="inlineStr">
        <is>
          <t>P4</t>
        </is>
      </c>
      <c r="G47" s="450" t="inlineStr">
        <is>
          <t xml:space="preserve">60ish minutes of time between listenening, studying, and teaching </t>
        </is>
      </c>
      <c r="K47" s="100" t="inlineStr">
        <is>
          <t>Q</t>
        </is>
      </c>
      <c r="M47" s="450" t="inlineStr">
        <is>
          <t xml:space="preserve">Doing anything in Chinese is worth a bonus. </t>
        </is>
      </c>
      <c r="N47" s="97" t="inlineStr">
        <is>
          <t>✓</t>
        </is>
      </c>
      <c r="O47" s="97" t="n"/>
      <c r="P47" s="291" t="inlineStr">
        <is>
          <t>n/a</t>
        </is>
      </c>
      <c r="Q47" s="97" t="n"/>
      <c r="S47" s="530" t="inlineStr">
        <is>
          <t>!</t>
        </is>
      </c>
    </row>
    <row r="48" ht="33" customHeight="1" s="37">
      <c r="A48" s="63" t="n">
        <v>0</v>
      </c>
      <c r="B48" s="111" t="n">
        <v>-4</v>
      </c>
      <c r="C48" s="450" t="n">
        <v>0</v>
      </c>
      <c r="D48" s="450" t="inlineStr">
        <is>
          <t>.5分/m</t>
        </is>
      </c>
      <c r="E48" s="450" t="inlineStr">
        <is>
          <t>P4</t>
        </is>
      </c>
      <c r="K48" s="100" t="n"/>
      <c r="N48" s="97" t="inlineStr">
        <is>
          <t>✓</t>
        </is>
      </c>
      <c r="O48" s="97" t="n"/>
      <c r="P48" s="291" t="inlineStr">
        <is>
          <t>n/a</t>
        </is>
      </c>
      <c r="Q48" s="97" t="n"/>
      <c r="S48" s="530" t="n"/>
    </row>
    <row r="49" ht="33" customHeight="1" s="37">
      <c r="A49" s="63" t="n">
        <v>0</v>
      </c>
      <c r="B49" s="358" t="inlineStr">
        <is>
          <t>bn</t>
        </is>
      </c>
      <c r="C49" s="445" t="n">
        <v>6</v>
      </c>
      <c r="D49" s="445" t="inlineStr">
        <is>
          <t>3.5分/pt</t>
        </is>
      </c>
      <c r="E49" s="473" t="inlineStr">
        <is>
          <t>P2</t>
        </is>
      </c>
      <c r="F49" s="545" t="n"/>
      <c r="G49" s="545" t="n"/>
      <c r="H49" s="545" t="n"/>
      <c r="I49" s="545" t="n"/>
      <c r="J49" s="545" t="n"/>
      <c r="K49" s="100" t="inlineStr">
        <is>
          <t>Q</t>
        </is>
      </c>
      <c r="M49" s="445" t="inlineStr">
        <is>
          <t xml:space="preserve">How much you eat matters, but what you eat matters as well, for things like inflammation and other reasons. How not to Diet does seem to cover the main reasons, and is pretty beneficial for the things that I should be eating, i.e. fruits, vegetables, and leafy greens, even though that's something that is difficult with the american diet.  </t>
        </is>
      </c>
      <c r="N49" s="97" t="inlineStr">
        <is>
          <t>✓</t>
        </is>
      </c>
      <c r="O49" s="97" t="n"/>
      <c r="P49" s="450" t="inlineStr">
        <is>
          <t xml:space="preserve">partially automatable </t>
        </is>
      </c>
      <c r="Q49" s="97" t="n"/>
      <c r="S49" s="530" t="n"/>
    </row>
    <row r="50" ht="33" customHeight="1" s="37">
      <c r="A50" s="63" t="n">
        <v>0</v>
      </c>
      <c r="B50" s="359" t="inlineStr">
        <is>
          <t>br</t>
        </is>
      </c>
      <c r="C50" s="445" t="n">
        <v>3</v>
      </c>
      <c r="D50" s="445" t="inlineStr">
        <is>
          <t>3.5分/pt</t>
        </is>
      </c>
      <c r="E50" s="473" t="inlineStr">
        <is>
          <t>P2</t>
        </is>
      </c>
      <c r="F50" s="545" t="n"/>
      <c r="G50" s="545" t="n"/>
      <c r="H50" s="545" t="n"/>
      <c r="I50" s="545" t="n"/>
      <c r="J50" s="545" t="n"/>
      <c r="K50" s="100" t="inlineStr">
        <is>
          <t>Q</t>
        </is>
      </c>
      <c r="N50" s="97" t="inlineStr">
        <is>
          <t>✓</t>
        </is>
      </c>
      <c r="O50" s="97" t="n"/>
      <c r="P50" s="450" t="inlineStr">
        <is>
          <t xml:space="preserve">partially automatable </t>
        </is>
      </c>
      <c r="Q50" s="97" t="n"/>
      <c r="S50" s="530" t="n"/>
    </row>
    <row r="51" ht="33" customHeight="1" s="37">
      <c r="A51" s="63" t="n">
        <v>0</v>
      </c>
      <c r="B51" s="367" t="inlineStr">
        <is>
          <t>fr</t>
        </is>
      </c>
      <c r="C51" s="445" t="n">
        <v>9</v>
      </c>
      <c r="D51" s="445" t="inlineStr">
        <is>
          <t>3.5分/pt</t>
        </is>
      </c>
      <c r="E51" s="473" t="inlineStr">
        <is>
          <t>P2</t>
        </is>
      </c>
      <c r="F51" s="545" t="n"/>
      <c r="G51" s="545" t="n"/>
      <c r="H51" s="445" t="inlineStr">
        <is>
          <t xml:space="preserve">Does not include wine </t>
        </is>
      </c>
      <c r="I51" s="545" t="n"/>
      <c r="J51" s="545" t="n"/>
      <c r="K51" s="100" t="inlineStr">
        <is>
          <t>Q</t>
        </is>
      </c>
      <c r="N51" s="97" t="inlineStr">
        <is>
          <t>✓</t>
        </is>
      </c>
      <c r="O51" s="97" t="n"/>
      <c r="P51" s="450" t="inlineStr">
        <is>
          <t xml:space="preserve">partially automatable </t>
        </is>
      </c>
      <c r="Q51" s="97" t="n"/>
      <c r="S51" s="530" t="n"/>
    </row>
    <row r="52" ht="33" customHeight="1" s="37">
      <c r="A52" s="63" t="n">
        <v>0</v>
      </c>
      <c r="B52" s="360" t="inlineStr">
        <is>
          <t>cr</t>
        </is>
      </c>
      <c r="C52" s="445" t="n">
        <v>6</v>
      </c>
      <c r="D52" s="445" t="inlineStr">
        <is>
          <t>3.5分/pt</t>
        </is>
      </c>
      <c r="E52" s="473" t="inlineStr">
        <is>
          <t>P2</t>
        </is>
      </c>
      <c r="F52" s="545" t="n"/>
      <c r="G52" s="545" t="n"/>
      <c r="H52" s="545" t="n"/>
      <c r="I52" s="545" t="n"/>
      <c r="J52" s="545" t="n"/>
      <c r="K52" s="100" t="inlineStr">
        <is>
          <t>Q</t>
        </is>
      </c>
      <c r="N52" s="97" t="inlineStr">
        <is>
          <t>✓</t>
        </is>
      </c>
      <c r="O52" s="97" t="n"/>
      <c r="P52" s="450" t="inlineStr">
        <is>
          <t xml:space="preserve">partially automatable </t>
        </is>
      </c>
      <c r="Q52" s="97" t="n"/>
      <c r="S52" s="530" t="n"/>
    </row>
    <row r="53" ht="33" customHeight="1" s="37">
      <c r="A53" s="63" t="n">
        <v>0</v>
      </c>
      <c r="B53" s="361" t="inlineStr">
        <is>
          <t>gr</t>
        </is>
      </c>
      <c r="C53" s="445" t="n">
        <v>3</v>
      </c>
      <c r="D53" s="445" t="inlineStr">
        <is>
          <t>3.5分/pt</t>
        </is>
      </c>
      <c r="E53" s="473" t="inlineStr">
        <is>
          <t>P2</t>
        </is>
      </c>
      <c r="F53" s="545" t="n"/>
      <c r="G53" s="545" t="n"/>
      <c r="H53" s="545" t="n"/>
      <c r="I53" s="545" t="n"/>
      <c r="J53" s="545" t="n"/>
      <c r="K53" s="100" t="inlineStr">
        <is>
          <t>Q</t>
        </is>
      </c>
      <c r="N53" s="97" t="inlineStr">
        <is>
          <t>✓</t>
        </is>
      </c>
      <c r="O53" s="97" t="n"/>
      <c r="P53" s="450" t="inlineStr">
        <is>
          <t xml:space="preserve">partially automatable </t>
        </is>
      </c>
      <c r="Q53" s="97" t="n"/>
      <c r="S53" s="530" t="n"/>
    </row>
    <row r="54" ht="33" customHeight="1" s="37">
      <c r="A54" s="63" t="n">
        <v>0</v>
      </c>
      <c r="B54" s="362" t="inlineStr">
        <is>
          <t>vg</t>
        </is>
      </c>
      <c r="C54" s="445" t="n">
        <v>6</v>
      </c>
      <c r="D54" s="445" t="inlineStr">
        <is>
          <t>3.5分/pt</t>
        </is>
      </c>
      <c r="E54" s="473" t="inlineStr">
        <is>
          <t>P2</t>
        </is>
      </c>
      <c r="F54" s="545" t="n"/>
      <c r="G54" s="545" t="n"/>
      <c r="H54" s="545" t="n"/>
      <c r="I54" s="545" t="n"/>
      <c r="J54" s="545" t="n"/>
      <c r="K54" s="100" t="inlineStr">
        <is>
          <t>Q</t>
        </is>
      </c>
      <c r="N54" s="97" t="inlineStr">
        <is>
          <t>✓</t>
        </is>
      </c>
      <c r="O54" s="97" t="n"/>
      <c r="P54" s="450" t="inlineStr">
        <is>
          <t xml:space="preserve">partially automatable </t>
        </is>
      </c>
      <c r="Q54" s="97" t="n"/>
      <c r="S54" s="530" t="n"/>
    </row>
    <row r="55" ht="33" customHeight="1" s="37">
      <c r="A55" s="63" t="n">
        <v>0</v>
      </c>
      <c r="B55" s="363" t="inlineStr">
        <is>
          <t>fx</t>
        </is>
      </c>
      <c r="C55" s="445" t="n">
        <v>3</v>
      </c>
      <c r="D55" s="445" t="inlineStr">
        <is>
          <t>3.5分/pt</t>
        </is>
      </c>
      <c r="E55" s="473" t="inlineStr">
        <is>
          <t>P2</t>
        </is>
      </c>
      <c r="F55" s="545" t="n"/>
      <c r="G55" s="545" t="n"/>
      <c r="H55" s="545" t="n"/>
      <c r="I55" s="545" t="n"/>
      <c r="J55" s="545" t="n"/>
      <c r="K55" s="100" t="inlineStr">
        <is>
          <t>Q</t>
        </is>
      </c>
      <c r="N55" s="97" t="inlineStr">
        <is>
          <t>✓</t>
        </is>
      </c>
      <c r="O55" s="97" t="n"/>
      <c r="P55" s="450" t="inlineStr">
        <is>
          <t xml:space="preserve">partially automatable </t>
        </is>
      </c>
      <c r="Q55" s="97" t="n"/>
      <c r="S55" s="530" t="n"/>
    </row>
    <row r="56" ht="33" customHeight="1" s="37">
      <c r="A56" s="63" t="n">
        <v>0</v>
      </c>
      <c r="B56" s="364" t="inlineStr">
        <is>
          <t>g</t>
        </is>
      </c>
      <c r="C56" s="445" t="n">
        <v>9</v>
      </c>
      <c r="D56" s="445" t="inlineStr">
        <is>
          <t>3.5分/pt</t>
        </is>
      </c>
      <c r="E56" s="473" t="inlineStr">
        <is>
          <t>P2</t>
        </is>
      </c>
      <c r="F56" s="545" t="n"/>
      <c r="G56" s="545" t="n"/>
      <c r="H56" s="445" t="inlineStr">
        <is>
          <t xml:space="preserve">Whole grains only </t>
        </is>
      </c>
      <c r="I56" s="545" t="n"/>
      <c r="J56" s="545" t="n"/>
      <c r="K56" s="100" t="inlineStr">
        <is>
          <t>Q</t>
        </is>
      </c>
      <c r="N56" s="97" t="inlineStr">
        <is>
          <t>✓</t>
        </is>
      </c>
      <c r="O56" s="97" t="n"/>
      <c r="P56" s="450" t="inlineStr">
        <is>
          <t xml:space="preserve">partially automatable </t>
        </is>
      </c>
      <c r="Q56" s="97" t="n"/>
      <c r="S56" s="530" t="n"/>
    </row>
    <row r="57" ht="33" customHeight="1" s="37">
      <c r="A57" s="63" t="n">
        <v>0</v>
      </c>
      <c r="B57" s="365" t="inlineStr">
        <is>
          <t>nt</t>
        </is>
      </c>
      <c r="C57" s="445" t="n">
        <v>3</v>
      </c>
      <c r="D57" s="445" t="inlineStr">
        <is>
          <t>3.5分/pt</t>
        </is>
      </c>
      <c r="E57" s="473" t="inlineStr">
        <is>
          <t>P2</t>
        </is>
      </c>
      <c r="F57" s="545" t="n"/>
      <c r="G57" s="545" t="n"/>
      <c r="H57" s="545" t="n"/>
      <c r="I57" s="545" t="n"/>
      <c r="J57" s="545" t="n"/>
      <c r="K57" s="100" t="inlineStr">
        <is>
          <t>Q</t>
        </is>
      </c>
      <c r="N57" s="97" t="inlineStr">
        <is>
          <t>✓</t>
        </is>
      </c>
      <c r="O57" s="97" t="n"/>
      <c r="P57" s="450" t="inlineStr">
        <is>
          <t xml:space="preserve">partially automatable </t>
        </is>
      </c>
      <c r="Q57" s="97" t="n"/>
      <c r="S57" s="530" t="n"/>
    </row>
    <row r="58" ht="33" customHeight="1" s="37">
      <c r="A58" s="63" t="n">
        <v>0</v>
      </c>
      <c r="B58" s="366" t="inlineStr">
        <is>
          <t>sp</t>
        </is>
      </c>
      <c r="C58" s="445" t="n">
        <v>3</v>
      </c>
      <c r="D58" s="445" t="inlineStr">
        <is>
          <t>3.5分/pt</t>
        </is>
      </c>
      <c r="E58" s="473" t="inlineStr">
        <is>
          <t>P2</t>
        </is>
      </c>
      <c r="F58" s="545" t="n"/>
      <c r="G58" s="545" t="n"/>
      <c r="H58" s="545" t="n"/>
      <c r="I58" s="545" t="n"/>
      <c r="J58" s="545" t="n"/>
      <c r="K58" s="100" t="inlineStr">
        <is>
          <t>Q</t>
        </is>
      </c>
      <c r="N58" s="97" t="inlineStr">
        <is>
          <t>✓</t>
        </is>
      </c>
      <c r="O58" s="97" t="n"/>
      <c r="P58" s="450" t="inlineStr">
        <is>
          <t xml:space="preserve">partially automatable </t>
        </is>
      </c>
      <c r="Q58" s="97" t="n"/>
      <c r="S58" s="530" t="n"/>
    </row>
    <row r="59" ht="33" customHeight="1" s="37">
      <c r="A59" s="63" t="n">
        <v>0</v>
      </c>
      <c r="B59" s="368" t="inlineStr">
        <is>
          <t>wtr</t>
        </is>
      </c>
      <c r="C59" s="445" t="n">
        <v>6</v>
      </c>
      <c r="D59" s="445" t="inlineStr">
        <is>
          <t>3.5分/pt</t>
        </is>
      </c>
      <c r="E59" s="473" t="inlineStr">
        <is>
          <t>P2</t>
        </is>
      </c>
      <c r="F59" s="545" t="n"/>
      <c r="G59" s="545" t="n"/>
      <c r="H59" s="445" t="inlineStr">
        <is>
          <t xml:space="preserve">1pt per Liter of water (33 oz) </t>
        </is>
      </c>
      <c r="I59" s="545" t="n"/>
      <c r="J59" s="545" t="n"/>
      <c r="K59" s="100" t="inlineStr">
        <is>
          <t>Q</t>
        </is>
      </c>
      <c r="N59" s="97" t="inlineStr">
        <is>
          <t>✓</t>
        </is>
      </c>
      <c r="O59" s="97" t="n"/>
      <c r="P59" s="450" t="inlineStr">
        <is>
          <t xml:space="preserve">partially automatable </t>
        </is>
      </c>
      <c r="Q59" s="97" t="n"/>
      <c r="S59" s="530" t="n"/>
    </row>
    <row r="60" ht="18.95" customHeight="1" s="37">
      <c r="A60" s="63" t="n">
        <v>0</v>
      </c>
      <c r="B60" s="226" t="inlineStr">
        <is>
          <t>5^1 s</t>
        </is>
      </c>
      <c r="C60" s="450" t="n">
        <v>20</v>
      </c>
      <c r="D60" s="450" t="n">
        <v>45</v>
      </c>
      <c r="E60" s="450" t="inlineStr">
        <is>
          <t>P2</t>
        </is>
      </c>
      <c r="F60" s="545" t="n"/>
      <c r="J60" s="225" t="inlineStr">
        <is>
          <t>link</t>
        </is>
      </c>
      <c r="K60" s="242" t="inlineStr">
        <is>
          <t>!</t>
        </is>
      </c>
      <c r="M60" s="225" t="n"/>
      <c r="N60" s="225" t="n"/>
      <c r="O60" s="225" t="n"/>
      <c r="P60" s="225" t="n"/>
      <c r="Q60" s="225" t="n"/>
      <c r="S60" s="530" t="inlineStr">
        <is>
          <t>!</t>
        </is>
      </c>
    </row>
    <row r="61" ht="18.95" customHeight="1" s="37">
      <c r="A61" s="96" t="n">
        <v>1</v>
      </c>
      <c r="B61" s="226" t="inlineStr">
        <is>
          <t>5^1 g</t>
        </is>
      </c>
      <c r="C61" s="450" t="n">
        <v>60</v>
      </c>
      <c r="D61" s="450" t="n">
        <v>60</v>
      </c>
      <c r="E61" s="450" t="inlineStr">
        <is>
          <t>P2</t>
        </is>
      </c>
      <c r="F61" s="545" t="n"/>
      <c r="K61" s="242" t="inlineStr">
        <is>
          <t>!</t>
        </is>
      </c>
      <c r="S61" s="530" t="inlineStr">
        <is>
          <t>!</t>
        </is>
      </c>
    </row>
    <row r="62" ht="18.95" customHeight="1" s="37">
      <c r="A62" s="96" t="n">
        <v>1</v>
      </c>
      <c r="B62" s="230" t="inlineStr">
        <is>
          <t>h335 upd8</t>
        </is>
      </c>
      <c r="C62" s="450" t="n">
        <v>60</v>
      </c>
      <c r="D62" s="450" t="n">
        <v>65</v>
      </c>
      <c r="E62" s="450" t="inlineStr">
        <is>
          <t>P3</t>
        </is>
      </c>
      <c r="F62" s="545" t="n"/>
      <c r="K62" s="100" t="inlineStr">
        <is>
          <t>Q</t>
        </is>
      </c>
      <c r="S62" s="530" t="inlineStr">
        <is>
          <t>!</t>
        </is>
      </c>
    </row>
    <row r="63" ht="18.95" customHeight="1" s="37">
      <c r="A63" s="96" t="n">
        <v>1</v>
      </c>
      <c r="B63" s="229" t="inlineStr">
        <is>
          <t>社
+
hcbp</t>
        </is>
      </c>
      <c r="C63" s="450" t="n">
        <v>20</v>
      </c>
      <c r="D63" s="450" t="n">
        <v>120</v>
      </c>
      <c r="E63" s="450" t="inlineStr">
        <is>
          <t>P3</t>
        </is>
      </c>
      <c r="F63" s="545" t="n"/>
      <c r="K63" s="100" t="inlineStr">
        <is>
          <t>Q</t>
        </is>
      </c>
      <c r="S63" s="530" t="inlineStr">
        <is>
          <t>!</t>
        </is>
      </c>
    </row>
    <row r="64" ht="18.95" customHeight="1" s="37">
      <c r="A64" s="96" t="n">
        <v>1</v>
      </c>
      <c r="B64" s="228" t="inlineStr">
        <is>
          <t>时→
f692</t>
        </is>
      </c>
      <c r="C64" s="450" t="n">
        <v>10</v>
      </c>
      <c r="D64" s="450" t="n">
        <v>20</v>
      </c>
      <c r="E64" s="450" t="inlineStr">
        <is>
          <t>P3</t>
        </is>
      </c>
      <c r="H64" s="450" t="inlineStr">
        <is>
          <t xml:space="preserve">* Do I have recs open for every position that I want? 
* Is there anything pending me for any of these recs? 
* Are we moving with sufficient urgency on P1 hires? </t>
        </is>
      </c>
      <c r="K64" s="242" t="inlineStr">
        <is>
          <t>!</t>
        </is>
      </c>
      <c r="S64" s="530" t="inlineStr">
        <is>
          <t>!</t>
        </is>
      </c>
    </row>
    <row r="65" ht="18.95" customHeight="1" s="37">
      <c r="A65" s="96" t="n">
        <v>1</v>
      </c>
      <c r="B65" s="221" t="inlineStr">
        <is>
          <t>a8</t>
        </is>
      </c>
      <c r="C65" s="450" t="n">
        <v>10</v>
      </c>
      <c r="D65" s="450" t="n">
        <v>30</v>
      </c>
      <c r="E65" s="450" t="inlineStr">
        <is>
          <t>P3</t>
        </is>
      </c>
      <c r="K65" s="242" t="inlineStr">
        <is>
          <t>!</t>
        </is>
      </c>
      <c r="S65" s="530" t="inlineStr">
        <is>
          <t>!</t>
        </is>
      </c>
    </row>
    <row r="66" ht="18.95" customHeight="1" s="37">
      <c r="A66" s="96" t="n">
        <v>1</v>
      </c>
      <c r="B66" s="227" t="inlineStr">
        <is>
          <t>1 -2₲</t>
        </is>
      </c>
      <c r="C66" s="450" t="n">
        <v>13</v>
      </c>
      <c r="D66" s="450" t="n">
        <v>20</v>
      </c>
      <c r="E66" s="450" t="inlineStr">
        <is>
          <t>P3</t>
        </is>
      </c>
      <c r="F66" s="450" t="inlineStr">
        <is>
          <t>t779 Streamlined + Complete</t>
        </is>
      </c>
      <c r="G66" s="450" t="inlineStr">
        <is>
          <t xml:space="preserve">* Include 1g + 0g in -2g 
* No overdue 1n
* List must not be more than 100 items </t>
        </is>
      </c>
      <c r="K66" s="243" t="inlineStr">
        <is>
          <t>干</t>
        </is>
      </c>
      <c r="L66" s="97" t="n"/>
      <c r="S66" s="530" t="inlineStr">
        <is>
          <t>!</t>
        </is>
      </c>
    </row>
    <row r="67" ht="18.95" customHeight="1" s="37">
      <c r="A67" s="96" t="n">
        <v>1</v>
      </c>
      <c r="B67" s="221" t="inlineStr">
        <is>
          <t>voicemail + LI</t>
        </is>
      </c>
      <c r="C67" s="450" t="n">
        <v>10</v>
      </c>
      <c r="D67" s="450" t="n">
        <v>20</v>
      </c>
      <c r="E67" s="450" t="inlineStr">
        <is>
          <t>P3</t>
        </is>
      </c>
      <c r="G67" s="450" t="inlineStr">
        <is>
          <t xml:space="preserve">Inbox empty || taskified across iPhone / Android voicemail and linkedin inbox to zero. Other long tail goes here </t>
        </is>
      </c>
      <c r="K67" s="243" t="inlineStr">
        <is>
          <t>干</t>
        </is>
      </c>
      <c r="L67" s="97" t="n"/>
      <c r="S67" s="530" t="inlineStr">
        <is>
          <t>!</t>
        </is>
      </c>
    </row>
    <row r="68" ht="18.95" customHeight="1" s="37">
      <c r="A68" s="96" t="n">
        <v>1</v>
      </c>
      <c r="B68" s="228" t="inlineStr">
        <is>
          <t>-1₦ checkin</t>
        </is>
      </c>
      <c r="C68" s="450" t="n">
        <v>10</v>
      </c>
      <c r="D68" s="450" t="n">
        <v>15</v>
      </c>
      <c r="E68" s="450" t="inlineStr">
        <is>
          <t>P3</t>
        </is>
      </c>
      <c r="K68" s="242" t="inlineStr">
        <is>
          <t>!</t>
        </is>
      </c>
      <c r="S68" s="530" t="inlineStr">
        <is>
          <t>!</t>
        </is>
      </c>
    </row>
    <row r="69" ht="18.95" customHeight="1" s="37">
      <c r="A69" s="96" t="n">
        <v>1</v>
      </c>
      <c r="B69" s="181" t="inlineStr">
        <is>
          <t>5^1 hcme</t>
        </is>
      </c>
      <c r="C69" s="450" t="n">
        <v>10</v>
      </c>
      <c r="D69" s="450" t="n">
        <v>20</v>
      </c>
      <c r="E69" s="450" t="inlineStr">
        <is>
          <t>P3</t>
        </is>
      </c>
      <c r="K69" s="242" t="inlineStr">
        <is>
          <t>!</t>
        </is>
      </c>
      <c r="S69" s="530" t="inlineStr">
        <is>
          <t>!</t>
        </is>
      </c>
    </row>
    <row r="70" ht="18.95" customHeight="1" s="37">
      <c r="A70" s="96" t="n">
        <v>1</v>
      </c>
      <c r="B70" s="177" t="inlineStr">
        <is>
          <t>xk87 meta</t>
        </is>
      </c>
      <c r="C70" s="450" t="n">
        <v>8</v>
      </c>
      <c r="D70" s="450" t="n">
        <v>30</v>
      </c>
      <c r="E70" s="450" t="inlineStr">
        <is>
          <t>P3</t>
        </is>
      </c>
      <c r="F70" s="450" t="inlineStr">
        <is>
          <t>Check in on how kids are doing</t>
        </is>
      </c>
      <c r="H70" s="450" t="inlineStr">
        <is>
          <t>Fill out the chart, update rules and academics</t>
        </is>
      </c>
      <c r="K70" s="242" t="inlineStr">
        <is>
          <t>!</t>
        </is>
      </c>
      <c r="S70" s="530" t="inlineStr">
        <is>
          <t>!</t>
        </is>
      </c>
    </row>
    <row r="71" ht="18.95" customHeight="1" s="37">
      <c r="A71" s="96" t="n">
        <v>1</v>
      </c>
      <c r="B71" s="177" t="inlineStr">
        <is>
          <t>Weekend planned</t>
        </is>
      </c>
      <c r="C71" s="450" t="n">
        <v>20</v>
      </c>
      <c r="D71" s="450" t="n">
        <v>20</v>
      </c>
      <c r="E71" s="450" t="inlineStr">
        <is>
          <t>P3</t>
        </is>
      </c>
      <c r="F71" s="450" t="inlineStr">
        <is>
          <t>Plan family weekend time together</t>
        </is>
      </c>
      <c r="G71" s="450" t="inlineStr">
        <is>
          <t>Fri + Sat</t>
        </is>
      </c>
      <c r="H71" s="450" t="inlineStr">
        <is>
          <t xml:space="preserve">Plan both Friday activity for Theo + a weekend activity (ideally cluster of activities) for the whole family. </t>
        </is>
      </c>
      <c r="J71" s="450" t="inlineStr">
        <is>
          <t>∀(fam)
Theo</t>
        </is>
      </c>
      <c r="K71" s="100" t="inlineStr">
        <is>
          <t>Q</t>
        </is>
      </c>
      <c r="S71" s="530" t="n">
        <v>10</v>
      </c>
    </row>
    <row r="72" ht="18.95" customHeight="1" s="37">
      <c r="A72" s="96" t="n">
        <v>1</v>
      </c>
      <c r="B72" s="176" t="inlineStr">
        <is>
          <t>5^1*2 c084</t>
        </is>
      </c>
      <c r="C72" s="450" t="n">
        <v>15</v>
      </c>
      <c r="D72" s="450" t="n">
        <v>15</v>
      </c>
      <c r="E72" s="450" t="inlineStr">
        <is>
          <t>P3</t>
        </is>
      </c>
      <c r="K72" s="242" t="inlineStr">
        <is>
          <t>!</t>
        </is>
      </c>
      <c r="S72" s="530" t="n">
        <v>10</v>
      </c>
    </row>
    <row r="73" ht="18.95" customHeight="1" s="37">
      <c r="A73" s="96" t="n">
        <v>1</v>
      </c>
      <c r="B73" s="219" t="inlineStr">
        <is>
          <t>s897</t>
        </is>
      </c>
      <c r="C73" s="450" t="n">
        <v>25</v>
      </c>
      <c r="D73" s="450" t="n">
        <v>35</v>
      </c>
      <c r="E73" s="450" t="inlineStr">
        <is>
          <t>P3</t>
        </is>
      </c>
      <c r="G73" s="384" t="inlineStr">
        <is>
          <t>Invites + Calendar Events Out 
Recorded the last week and thoughts</t>
        </is>
      </c>
      <c r="K73" s="100" t="inlineStr">
        <is>
          <t>Q</t>
        </is>
      </c>
      <c r="S73" s="530" t="n">
        <v>10</v>
      </c>
    </row>
    <row r="74" ht="18.95" customHeight="1" s="37">
      <c r="A74" s="96" t="n">
        <v>1</v>
      </c>
      <c r="B74" s="217" t="inlineStr">
        <is>
          <t>5^1 hcmc</t>
        </is>
      </c>
      <c r="C74" s="450" t="n">
        <v>8</v>
      </c>
      <c r="D74" s="450" t="n">
        <v>10</v>
      </c>
      <c r="E74" s="450" t="inlineStr">
        <is>
          <t>P3</t>
        </is>
      </c>
      <c r="H74" s="450" t="inlineStr">
        <is>
          <t xml:space="preserve">Includes the number of books read, youtube watched, and categories. </t>
        </is>
      </c>
      <c r="K74" s="242" t="inlineStr">
        <is>
          <t>!</t>
        </is>
      </c>
      <c r="S74" s="245" t="inlineStr">
        <is>
          <t>!</t>
        </is>
      </c>
    </row>
    <row r="75" ht="18.95" customHeight="1" s="37">
      <c r="A75" s="96" t="n">
        <v>1</v>
      </c>
      <c r="B75" s="218" t="inlineStr">
        <is>
          <t>5^1 hcbc</t>
        </is>
      </c>
      <c r="C75" s="450" t="n">
        <v>5</v>
      </c>
      <c r="D75" s="450" t="n">
        <v>10</v>
      </c>
      <c r="E75" s="450" t="inlineStr">
        <is>
          <t>P3</t>
        </is>
      </c>
      <c r="K75" s="242" t="inlineStr">
        <is>
          <t>!</t>
        </is>
      </c>
      <c r="S75" s="245" t="inlineStr">
        <is>
          <t>!</t>
        </is>
      </c>
    </row>
    <row r="76" ht="18.95" customHeight="1" s="37">
      <c r="A76" s="96" t="n">
        <v>1</v>
      </c>
      <c r="B76" s="196" t="inlineStr">
        <is>
          <t>5^1 hci</t>
        </is>
      </c>
      <c r="C76" s="450" t="n">
        <v>15</v>
      </c>
      <c r="D76" s="450" t="n">
        <v>15</v>
      </c>
      <c r="E76" s="450" t="inlineStr">
        <is>
          <t>P3</t>
        </is>
      </c>
      <c r="G76" s="450" t="inlineStr">
        <is>
          <t xml:space="preserve">Review images and dock points from last week, put images in folder </t>
        </is>
      </c>
      <c r="K76" s="242" t="inlineStr">
        <is>
          <t>!</t>
        </is>
      </c>
      <c r="S76" s="245" t="inlineStr">
        <is>
          <t>!</t>
        </is>
      </c>
    </row>
    <row r="77" ht="18.95" customHeight="1" s="37">
      <c r="A77" s="96" t="n">
        <v>1</v>
      </c>
      <c r="B77" s="176" t="inlineStr">
        <is>
          <t>5^1 c084</t>
        </is>
      </c>
      <c r="C77" s="450" t="n">
        <v>8</v>
      </c>
      <c r="D77" s="450" t="n">
        <v>10</v>
      </c>
      <c r="E77" s="450" t="inlineStr">
        <is>
          <t>P3</t>
        </is>
      </c>
      <c r="K77" s="242" t="inlineStr">
        <is>
          <t>!</t>
        </is>
      </c>
      <c r="S77" s="245" t="inlineStr">
        <is>
          <t>!</t>
        </is>
      </c>
    </row>
    <row r="78" ht="18.95" customHeight="1" s="37">
      <c r="A78" s="96" t="n">
        <v>1</v>
      </c>
      <c r="B78" s="218" t="inlineStr">
        <is>
          <t>hcbd: groceries</t>
        </is>
      </c>
      <c r="C78" s="450" t="n">
        <v>15</v>
      </c>
      <c r="D78" s="450" t="n">
        <v>35</v>
      </c>
      <c r="E78" s="450" t="inlineStr">
        <is>
          <t>P3</t>
        </is>
      </c>
      <c r="K78" s="100" t="inlineStr">
        <is>
          <t>Q</t>
        </is>
      </c>
      <c r="S78" s="530" t="n">
        <v>12</v>
      </c>
    </row>
    <row r="79" ht="18.95" customHeight="1" s="37">
      <c r="A79" s="96" t="n">
        <v>1</v>
      </c>
      <c r="B79" s="220" t="inlineStr">
        <is>
          <t>resilience plan</t>
        </is>
      </c>
      <c r="C79" s="450" t="n">
        <v>5</v>
      </c>
      <c r="D79" s="450" t="n">
        <v>15</v>
      </c>
      <c r="E79" s="450" t="inlineStr">
        <is>
          <t>P3</t>
        </is>
      </c>
      <c r="H79" s="450" t="inlineStr">
        <is>
          <t xml:space="preserve">Includes thoughts on how I can be a better husband. </t>
        </is>
      </c>
      <c r="K79" s="100" t="inlineStr">
        <is>
          <t>Q</t>
        </is>
      </c>
      <c r="S79" s="530" t="inlineStr">
        <is>
          <t>!</t>
        </is>
      </c>
    </row>
    <row r="80" ht="18.95" customHeight="1" s="37">
      <c r="A80" s="96" t="n">
        <v>1</v>
      </c>
      <c r="B80" s="112" t="inlineStr">
        <is>
          <t>出罗日</t>
        </is>
      </c>
      <c r="C80" s="450" t="n">
        <v>10</v>
      </c>
      <c r="D80" s="450" t="n">
        <v>20</v>
      </c>
      <c r="E80" s="450" t="inlineStr">
        <is>
          <t>P3</t>
        </is>
      </c>
      <c r="K80" s="100" t="inlineStr">
        <is>
          <t>Q</t>
        </is>
      </c>
      <c r="S80" s="530" t="n">
        <v>12</v>
      </c>
    </row>
    <row r="81" ht="18.95" customHeight="1" s="37">
      <c r="A81" s="96" t="n">
        <v>1</v>
      </c>
      <c r="B81" s="112" t="inlineStr">
        <is>
          <t>f694</t>
        </is>
      </c>
      <c r="C81" s="450" t="n">
        <v>5</v>
      </c>
      <c r="D81" s="450" t="n">
        <v>10</v>
      </c>
      <c r="E81" s="450" t="inlineStr">
        <is>
          <t>P3</t>
        </is>
      </c>
      <c r="G81" s="450" t="inlineStr">
        <is>
          <t xml:space="preserve">Move the f694 projects forward, fill out the f694 templote </t>
        </is>
      </c>
      <c r="H81" s="450" t="inlineStr">
        <is>
          <t xml:space="preserve">Think about it and what can make this good. I should at least do the things that are habits. </t>
        </is>
      </c>
      <c r="K81" s="100" t="inlineStr">
        <is>
          <t>Q</t>
        </is>
      </c>
      <c r="S81" s="530" t="inlineStr">
        <is>
          <t>!</t>
        </is>
      </c>
    </row>
    <row r="82" ht="18.95" customHeight="1" s="37">
      <c r="A82" s="96" t="n">
        <v>1</v>
      </c>
      <c r="B82" s="221" t="inlineStr">
        <is>
          <t>业写</t>
        </is>
      </c>
      <c r="C82" s="450" t="n">
        <v>60</v>
      </c>
      <c r="D82" s="450" t="n">
        <v>80</v>
      </c>
      <c r="E82" s="450" t="inlineStr">
        <is>
          <t>P3</t>
        </is>
      </c>
      <c r="K82" s="100" t="inlineStr">
        <is>
          <t>Q</t>
        </is>
      </c>
      <c r="S82" s="530" t="n">
        <v>16</v>
      </c>
    </row>
    <row r="83" ht="18.95" customHeight="1" s="37">
      <c r="A83" s="96" t="n">
        <v>1</v>
      </c>
      <c r="B83" s="435" t="inlineStr">
        <is>
          <t>nails</t>
        </is>
      </c>
      <c r="C83" s="450" t="n">
        <v>3</v>
      </c>
      <c r="D83" s="450" t="n">
        <v>3</v>
      </c>
      <c r="E83" s="450" t="inlineStr">
        <is>
          <t>P3</t>
        </is>
      </c>
      <c r="K83" s="242" t="inlineStr">
        <is>
          <t>!</t>
        </is>
      </c>
      <c r="S83" s="530" t="inlineStr">
        <is>
          <t>!</t>
        </is>
      </c>
    </row>
    <row r="84" ht="18.95" customHeight="1" s="37">
      <c r="A84" s="96" t="n">
        <v>1</v>
      </c>
      <c r="B84" s="112" t="inlineStr">
        <is>
          <t>f693</t>
        </is>
      </c>
      <c r="C84" s="450" t="n">
        <v>30</v>
      </c>
      <c r="D84" s="450" t="n">
        <v>30</v>
      </c>
      <c r="E84" s="450" t="inlineStr">
        <is>
          <t>P3</t>
        </is>
      </c>
      <c r="G84" s="450" t="inlineStr">
        <is>
          <t xml:space="preserve">Colors and sentence for each person, put into weekly review </t>
        </is>
      </c>
      <c r="K84" s="242" t="inlineStr">
        <is>
          <t>!</t>
        </is>
      </c>
      <c r="S84" s="530" t="inlineStr">
        <is>
          <t>!</t>
        </is>
      </c>
    </row>
    <row r="85" ht="18.95" customHeight="1" s="37">
      <c r="A85" s="96" t="n">
        <v>1</v>
      </c>
      <c r="B85" s="112" t="inlineStr">
        <is>
          <t>社
+
hcbp</t>
        </is>
      </c>
      <c r="C85" s="450" t="n">
        <v>20</v>
      </c>
      <c r="D85" s="450" t="n">
        <v>120</v>
      </c>
      <c r="E85" s="450" t="inlineStr">
        <is>
          <t>P3</t>
        </is>
      </c>
      <c r="F85" s="450" t="inlineStr">
        <is>
          <t>Physical activity</t>
        </is>
      </c>
      <c r="H85" s="450" t="inlineStr">
        <is>
          <t>Do something strenuous together, 2+ family members (Friday, Saturday + Sunday)</t>
        </is>
      </c>
      <c r="J85" s="450" t="inlineStr">
        <is>
          <t>any 2</t>
        </is>
      </c>
      <c r="K85" s="100" t="inlineStr">
        <is>
          <t>Q</t>
        </is>
      </c>
      <c r="S85" s="530" t="inlineStr">
        <is>
          <t>!</t>
        </is>
      </c>
    </row>
    <row r="86" ht="18.95" customHeight="1" s="37">
      <c r="A86" s="96" t="n">
        <v>1</v>
      </c>
      <c r="B86" s="177" t="inlineStr">
        <is>
          <t>AoS 2</t>
        </is>
      </c>
      <c r="C86" s="450" t="n">
        <v>15</v>
      </c>
      <c r="D86" s="450" t="n">
        <v>15</v>
      </c>
      <c r="E86" s="450" t="inlineStr">
        <is>
          <t>P3</t>
        </is>
      </c>
      <c r="F86" s="450" t="inlineStr">
        <is>
          <t xml:space="preserve">Acts of service </t>
        </is>
      </c>
      <c r="G86" s="450" t="inlineStr">
        <is>
          <t>&gt;10m and be obviously for her.
out of my responsibilities (i.e. cooking/cleaning doesn’t count unless special)</t>
        </is>
      </c>
      <c r="H86" s="450" t="inlineStr">
        <is>
          <t xml:space="preserve">See also: https://m5c7.quip.com/4Q0aAG9gw0fj/xk88-Acts-of-Service-Gifts
</t>
        </is>
      </c>
      <c r="K86" s="100" t="inlineStr">
        <is>
          <t>Q</t>
        </is>
      </c>
      <c r="S86" s="530" t="n">
        <v>16</v>
      </c>
    </row>
    <row r="87" ht="18.95" customHeight="1" s="37">
      <c r="A87" s="96" t="n">
        <v>1</v>
      </c>
      <c r="B87" s="177" t="inlineStr">
        <is>
          <t>一起吃</t>
        </is>
      </c>
      <c r="C87" s="450" t="n">
        <v>30</v>
      </c>
      <c r="D87" s="450" t="n">
        <v>30</v>
      </c>
      <c r="E87" s="450" t="inlineStr">
        <is>
          <t>p2</t>
        </is>
      </c>
      <c r="F87" s="450" t="inlineStr">
        <is>
          <t xml:space="preserve">Eat Together </t>
        </is>
      </c>
      <c r="G87" s="450" t="inlineStr">
        <is>
          <t xml:space="preserve">All 4 of us eating a meal together from start to finish, at home or out. Doesn't matter how it's cooked. </t>
        </is>
      </c>
      <c r="K87" s="100" t="n"/>
      <c r="S87" s="530" t="n"/>
    </row>
    <row r="88" ht="18.95" customHeight="1" s="37">
      <c r="A88" s="96" t="n">
        <v>1</v>
      </c>
      <c r="B88" s="450" t="inlineStr">
        <is>
          <t>f693</t>
        </is>
      </c>
      <c r="C88" s="335" t="n">
        <v>10</v>
      </c>
      <c r="D88" s="450" t="inlineStr">
        <is>
          <t>0-20</t>
        </is>
      </c>
      <c r="F88" s="450" t="inlineStr">
        <is>
          <t>Exec Update</t>
        </is>
      </c>
      <c r="G88" s="450" t="inlineStr">
        <is>
          <t xml:space="preserve">Read it before the 1:1, and comment. </t>
        </is>
      </c>
      <c r="H88" s="450" t="inlineStr">
        <is>
          <t xml:space="preserve">Update
₹5 Did they write an update according to their schedule? Or did they say it wasn't coming. 
₹5 Did I read and engage with that update? 
₹5 does it cover what is important for them/the team? 
₹5 How good was the update itself for a broader audience?
Recursion
₹5 Do I see that their reports are getting updates in on time? 
₹5 Is the quality good? 
</t>
        </is>
      </c>
      <c r="K88" s="100" t="n"/>
      <c r="S88" s="530" t="n"/>
    </row>
    <row r="89" ht="18.95" customHeight="1" s="37">
      <c r="A89" s="96" t="n">
        <v>1</v>
      </c>
      <c r="B89" s="450" t="inlineStr">
        <is>
          <t>f693</t>
        </is>
      </c>
      <c r="C89" s="335" t="n">
        <v>5</v>
      </c>
      <c r="D89" s="450" t="inlineStr">
        <is>
          <t>0-15</t>
        </is>
      </c>
      <c r="F89" s="450" t="inlineStr">
        <is>
          <t>Recursive Updates</t>
        </is>
      </c>
      <c r="H89" s="450" t="inlineStr">
        <is>
          <t>₹5 do they exist and abstract time away from report?
₹5 are they understandable to me? 
₹5 are they on time?</t>
        </is>
      </c>
      <c r="K89" s="100" t="n"/>
      <c r="S89" s="530" t="n"/>
    </row>
    <row r="90" ht="18.95" customHeight="1" s="37">
      <c r="A90" s="96" t="n">
        <v>1</v>
      </c>
      <c r="B90" s="450" t="inlineStr">
        <is>
          <t>f693</t>
        </is>
      </c>
      <c r="C90" s="335" t="n">
        <v>3</v>
      </c>
      <c r="D90" s="450" t="inlineStr">
        <is>
          <t>0-10</t>
        </is>
      </c>
      <c r="F90" s="450" t="inlineStr">
        <is>
          <t>1:1 Prep + Summary</t>
        </is>
      </c>
      <c r="G90" s="450" t="inlineStr">
        <is>
          <t>I have 1-2 things prepared. 
I followup on everything I say I'm going to do</t>
        </is>
      </c>
      <c r="H90" s="450" t="inlineStr">
        <is>
          <t>₹4 bullets prepped
 ₹3 tldr 
₹3 next in t779</t>
        </is>
      </c>
      <c r="K90" s="100" t="n"/>
      <c r="S90" s="530" t="n"/>
    </row>
    <row r="91" ht="18.95" customHeight="1" s="37">
      <c r="A91" s="96" t="n">
        <v>1</v>
      </c>
      <c r="B91" s="450" t="inlineStr">
        <is>
          <t>f693</t>
        </is>
      </c>
      <c r="C91" s="335" t="n">
        <v>30</v>
      </c>
      <c r="D91" s="450" t="inlineStr">
        <is>
          <t>15-35</t>
        </is>
      </c>
      <c r="F91" s="450" t="inlineStr">
        <is>
          <t>1:1</t>
        </is>
      </c>
      <c r="G91" s="450" t="inlineStr">
        <is>
          <t xml:space="preserve">We have a live touchpoint every week unless one of us is on PTO. </t>
        </is>
      </c>
      <c r="H91" s="450" t="inlineStr">
        <is>
          <t>What was the incremental impact of that meeting for them and for the org? Typical = ₹20, gaussian distribution
1. Did we use the time effectively? 
2. Did I demonstrate leadership traits? 
3. Did I help them improve output for the org?
4. Did I help them achieve their goals?</t>
        </is>
      </c>
      <c r="K91" s="100" t="n"/>
      <c r="S91" s="530" t="n"/>
    </row>
    <row r="92" ht="18.95" customHeight="1" s="37">
      <c r="A92" s="96" t="n">
        <v>1</v>
      </c>
      <c r="B92" s="450" t="inlineStr">
        <is>
          <t>f693</t>
        </is>
      </c>
      <c r="C92" s="335" t="n">
        <v>5</v>
      </c>
      <c r="D92" s="450" t="inlineStr">
        <is>
          <t>0-20</t>
        </is>
      </c>
      <c r="F92" s="450" t="inlineStr">
        <is>
          <t>Execution Tracking</t>
        </is>
      </c>
      <c r="H92" s="450" t="inlineStr">
        <is>
          <t>₹5 Does there exist a project tracker? 
₹5 Did I check and do I think it is honest + accurate? 
₹5 Do I trust that the person is on top of the things going wrong?</t>
        </is>
      </c>
      <c r="K92" s="100" t="n"/>
      <c r="S92" s="530" t="n"/>
    </row>
    <row r="93" ht="18.95" customHeight="1" s="37">
      <c r="A93" s="96" t="n">
        <v>1</v>
      </c>
      <c r="B93" s="450" t="inlineStr">
        <is>
          <t>f693</t>
        </is>
      </c>
      <c r="C93" s="335" t="n">
        <v>30</v>
      </c>
      <c r="D93" s="335" t="n">
        <v>50</v>
      </c>
      <c r="F93" s="450" t="inlineStr">
        <is>
          <t>Weekly Meta Checkin</t>
        </is>
      </c>
      <c r="H93" s="450" t="inlineStr">
        <is>
          <t xml:space="preserve">Tabulate points, set goals for the next week, spend 30 minutes on management meta. </t>
        </is>
      </c>
      <c r="K93" s="100" t="n"/>
      <c r="S93" s="530" t="n"/>
    </row>
    <row r="94" ht="57" customHeight="1" s="37">
      <c r="A94" s="96" t="n">
        <v>1</v>
      </c>
      <c r="B94" s="436" t="inlineStr">
        <is>
          <t>s897</t>
        </is>
      </c>
      <c r="C94" s="335" t="n">
        <v>25</v>
      </c>
      <c r="D94" s="335" t="inlineStr">
        <is>
          <t>25-50</t>
        </is>
      </c>
      <c r="E94" s="450" t="inlineStr">
        <is>
          <t>P2</t>
        </is>
      </c>
      <c r="F94" s="450" t="inlineStr">
        <is>
          <t xml:space="preserve">Social Overview </t>
        </is>
      </c>
      <c r="G94" s="450" t="inlineStr">
        <is>
          <t xml:space="preserve">Spend 25 minutes with pre-and-post work for activities. Planning and thanking. Make sure planning is delegated. </t>
        </is>
      </c>
      <c r="H94" s="450" t="inlineStr">
        <is>
          <t xml:space="preserve">Spent some amount of time reviewing and preparing. </t>
        </is>
      </c>
      <c r="K94" s="100" t="n"/>
      <c r="S94" s="530" t="n"/>
    </row>
    <row r="95" ht="18.95" customHeight="1" s="37">
      <c r="A95" s="96" t="n">
        <v>1</v>
      </c>
      <c r="B95" s="176" t="inlineStr">
        <is>
          <t>family</t>
        </is>
      </c>
      <c r="C95" s="450" t="n">
        <v>120</v>
      </c>
      <c r="D95" s="450" t="n">
        <v>120</v>
      </c>
      <c r="E95" s="450" t="inlineStr">
        <is>
          <t>P3</t>
        </is>
      </c>
      <c r="F95" s="450" t="inlineStr">
        <is>
          <t>Time with family</t>
        </is>
      </c>
      <c r="H95" s="450" t="inlineStr">
        <is>
          <t>time with our family and extended is 1x, just extended is 0.5x</t>
        </is>
      </c>
      <c r="I95" s="450" t="inlineStr">
        <is>
          <t>只我0.5x</t>
        </is>
      </c>
      <c r="J95" s="450" t="inlineStr">
        <is>
          <t>any 2</t>
        </is>
      </c>
      <c r="K95" s="100" t="inlineStr">
        <is>
          <t>Q</t>
        </is>
      </c>
      <c r="S95" s="530" t="inlineStr">
        <is>
          <t>!</t>
        </is>
      </c>
    </row>
    <row r="96" ht="18.95" customHeight="1" s="37">
      <c r="A96" s="96" t="n">
        <v>1</v>
      </c>
      <c r="B96" s="436" t="inlineStr">
        <is>
          <t>s897</t>
        </is>
      </c>
      <c r="C96" s="450" t="n">
        <v>120</v>
      </c>
      <c r="D96" s="450" t="n">
        <v>120</v>
      </c>
      <c r="E96" s="450" t="inlineStr">
        <is>
          <t>P3</t>
        </is>
      </c>
      <c r="F96" s="450" t="inlineStr">
        <is>
          <t>Time with friends</t>
        </is>
      </c>
      <c r="H96" s="472" t="inlineStr">
        <is>
          <t xml:space="preserve">time with friends 1x when with family or close friends, .5x for phone; Generally caps at 2 hours </t>
        </is>
      </c>
      <c r="I96" s="450" t="inlineStr">
        <is>
          <t xml:space="preserve">0.5 - 1x </t>
        </is>
      </c>
      <c r="J96" s="450" t="inlineStr">
        <is>
          <t>any 2</t>
        </is>
      </c>
      <c r="K96" s="100" t="inlineStr">
        <is>
          <t>Q</t>
        </is>
      </c>
      <c r="S96" s="530" t="inlineStr">
        <is>
          <t>!</t>
        </is>
      </c>
    </row>
    <row r="97" ht="18.95" customHeight="1" s="37">
      <c r="A97" s="96" t="n">
        <v>1</v>
      </c>
      <c r="B97" s="112" t="inlineStr">
        <is>
          <t>nat || rlx</t>
        </is>
      </c>
      <c r="C97" s="450" t="n">
        <v>120</v>
      </c>
      <c r="D97" s="450" t="n">
        <v>120</v>
      </c>
      <c r="E97" s="450" t="inlineStr">
        <is>
          <t>P3</t>
        </is>
      </c>
      <c r="F97" s="450" t="inlineStr">
        <is>
          <t>Time in Nature|| Relaxing</t>
        </is>
      </c>
      <c r="I97" s="450" t="inlineStr">
        <is>
          <t>只我0.5x</t>
        </is>
      </c>
      <c r="J97" s="450" t="inlineStr">
        <is>
          <t>any 2</t>
        </is>
      </c>
      <c r="K97" s="100" t="inlineStr">
        <is>
          <t>Q</t>
        </is>
      </c>
      <c r="S97" s="530" t="inlineStr">
        <is>
          <t>!</t>
        </is>
      </c>
    </row>
    <row r="98" ht="18.95" customHeight="1" s="37">
      <c r="A98" s="96" t="n">
        <v>1</v>
      </c>
      <c r="B98" s="141" t="inlineStr">
        <is>
          <t xml:space="preserve">Enriching for Theo / Ren </t>
        </is>
      </c>
      <c r="C98" s="450" t="n">
        <v>120</v>
      </c>
      <c r="D98" s="450" t="n">
        <v>120</v>
      </c>
      <c r="E98" s="450" t="inlineStr">
        <is>
          <t>P3</t>
        </is>
      </c>
      <c r="F98" s="450" t="inlineStr">
        <is>
          <t xml:space="preserve">Enriching Activity </t>
        </is>
      </c>
      <c r="G98" s="450" t="inlineStr">
        <is>
          <t xml:space="preserve">Parks that Ashan goes to don't count.
Somebody else doing something of their own accord doesn't count, but thanking them does. </t>
        </is>
      </c>
      <c r="H98" s="450" t="inlineStr">
        <is>
          <t xml:space="preserve">If delegated but instigated, I get 1/3 the points for it. 
Something that I plan or instigate (others doing something counts for half per time), that they could not do at school or with the nanny. 
Does not stack with s897, can stack with nature. </t>
        </is>
      </c>
      <c r="J98" s="450" t="inlineStr">
        <is>
          <t xml:space="preserve">Theo / Ren </t>
        </is>
      </c>
      <c r="K98" s="100" t="inlineStr">
        <is>
          <t>Q</t>
        </is>
      </c>
      <c r="S98" s="530" t="inlineStr">
        <is>
          <t>!</t>
        </is>
      </c>
    </row>
    <row r="99" ht="18.95" customHeight="1" s="37">
      <c r="A99" s="96" t="n">
        <v>1</v>
      </c>
      <c r="B99" s="112" t="inlineStr">
        <is>
          <t>cleaning</t>
        </is>
      </c>
      <c r="C99" s="450" t="n">
        <v>20</v>
      </c>
      <c r="D99" s="450" t="n">
        <v>25</v>
      </c>
      <c r="E99" s="450" t="inlineStr">
        <is>
          <t>P3</t>
        </is>
      </c>
      <c r="F99" s="450" t="inlineStr">
        <is>
          <t>Clean &amp; secure spaces</t>
        </is>
      </c>
      <c r="H99" s="450" t="inlineStr">
        <is>
          <t>Ask LX what she wants done, and go do it (up to 45m) Post COVID, focus on making it happen rather than doing it myself. (Saturday)</t>
        </is>
      </c>
      <c r="J99" s="450" t="inlineStr">
        <is>
          <t>lx</t>
        </is>
      </c>
      <c r="K99" s="100" t="inlineStr">
        <is>
          <t>Q</t>
        </is>
      </c>
      <c r="S99" s="530" t="n">
        <v>4</v>
      </c>
    </row>
    <row r="100" ht="18.95" customHeight="1" s="37">
      <c r="A100" s="96" t="n">
        <v>1</v>
      </c>
      <c r="B100" s="183" t="inlineStr">
        <is>
          <t>play</t>
        </is>
      </c>
      <c r="C100" s="450" t="n">
        <v>60</v>
      </c>
      <c r="D100" s="450" t="n">
        <v>20</v>
      </c>
      <c r="E100" s="450" t="inlineStr">
        <is>
          <t>P3</t>
        </is>
      </c>
      <c r="K100" s="100" t="inlineStr">
        <is>
          <t>Q</t>
        </is>
      </c>
      <c r="S100" s="530" t="inlineStr">
        <is>
          <t>!</t>
        </is>
      </c>
    </row>
    <row r="101" ht="18.95" customHeight="1" s="37">
      <c r="A101" s="96" t="n">
        <v>1</v>
      </c>
      <c r="B101" s="112" t="inlineStr">
        <is>
          <t>f695</t>
        </is>
      </c>
      <c r="C101" s="450" t="n">
        <v>10</v>
      </c>
      <c r="D101" s="450" t="n">
        <v>25</v>
      </c>
      <c r="E101" s="450" t="inlineStr">
        <is>
          <t>P3</t>
        </is>
      </c>
      <c r="K101" s="242" t="inlineStr">
        <is>
          <t>!</t>
        </is>
      </c>
      <c r="S101" s="530" t="inlineStr">
        <is>
          <t>!</t>
        </is>
      </c>
    </row>
    <row r="102" ht="18.95" customHeight="1" s="37">
      <c r="A102" s="96" t="n">
        <v>1</v>
      </c>
      <c r="B102" s="181" t="inlineStr">
        <is>
          <t>long o314</t>
        </is>
      </c>
      <c r="C102" s="450" t="n">
        <v>30</v>
      </c>
      <c r="D102" s="450" t="n">
        <v>15</v>
      </c>
      <c r="E102" s="450" t="inlineStr">
        <is>
          <t>P3</t>
        </is>
      </c>
      <c r="K102" s="100" t="inlineStr">
        <is>
          <t>Q</t>
        </is>
      </c>
      <c r="S102" s="530" t="inlineStr">
        <is>
          <t>!</t>
        </is>
      </c>
    </row>
    <row r="103" ht="18.95" customHeight="1" s="37">
      <c r="A103" s="96" t="n">
        <v>1</v>
      </c>
      <c r="B103" s="182" t="inlineStr">
        <is>
          <t>long 幽思</t>
        </is>
      </c>
      <c r="C103" s="450" t="n">
        <v>60</v>
      </c>
      <c r="D103" s="450" t="n">
        <v>30</v>
      </c>
      <c r="E103" s="450" t="inlineStr">
        <is>
          <t>P3</t>
        </is>
      </c>
      <c r="K103" s="100" t="inlineStr">
        <is>
          <t>Q</t>
        </is>
      </c>
      <c r="S103" s="530" t="inlineStr">
        <is>
          <t>!</t>
        </is>
      </c>
    </row>
    <row r="104" ht="18.95" customHeight="1" s="37">
      <c r="A104" s="96" t="n">
        <v>1</v>
      </c>
      <c r="B104" s="233" t="inlineStr">
        <is>
          <t>relax</t>
        </is>
      </c>
      <c r="C104" s="450" t="n">
        <v>60</v>
      </c>
      <c r="D104" s="450" t="inlineStr">
        <is>
          <t>.5分/m</t>
        </is>
      </c>
      <c r="H104" s="450" t="inlineStr">
        <is>
          <t xml:space="preserve">do something relaxing, which includes massage, leisurely dinner, time in nature with nice weather etc. </t>
        </is>
      </c>
      <c r="K104" s="100" t="inlineStr">
        <is>
          <t>Q</t>
        </is>
      </c>
      <c r="S104" s="530" t="n"/>
    </row>
    <row r="105" ht="18.95" customHeight="1" s="37">
      <c r="A105" s="96" t="n">
        <v>1</v>
      </c>
      <c r="B105" s="233" t="inlineStr">
        <is>
          <t xml:space="preserve">kids time in nature </t>
        </is>
      </c>
      <c r="C105" s="450" t="n">
        <v>120</v>
      </c>
      <c r="D105" s="450" t="inlineStr">
        <is>
          <t xml:space="preserve">.5分/m / kid </t>
        </is>
      </c>
      <c r="H105" s="450" t="inlineStr">
        <is>
          <t>get the kids out 自由 in 大自然</t>
        </is>
      </c>
      <c r="K105" s="100" t="inlineStr">
        <is>
          <t>Q</t>
        </is>
      </c>
      <c r="S105" s="530" t="n"/>
    </row>
    <row r="106" ht="18.95" customHeight="1" s="37">
      <c r="A106" s="100" t="n">
        <v>2</v>
      </c>
      <c r="B106" s="180" t="inlineStr">
        <is>
          <t>xk87</t>
        </is>
      </c>
      <c r="C106" s="450" t="n">
        <v>60</v>
      </c>
      <c r="D106" s="450" t="n">
        <v>30</v>
      </c>
      <c r="E106" s="450" t="inlineStr">
        <is>
          <t>P5</t>
        </is>
      </c>
      <c r="F106" s="450" t="inlineStr">
        <is>
          <t xml:space="preserve">Ashan Checkin </t>
        </is>
      </c>
      <c r="G106" s="450" t="inlineStr">
        <is>
          <t xml:space="preserve">Check in with Ashan once a month </t>
        </is>
      </c>
      <c r="K106" s="242" t="inlineStr">
        <is>
          <t>!</t>
        </is>
      </c>
      <c r="S106" s="530" t="inlineStr">
        <is>
          <t>!</t>
        </is>
      </c>
    </row>
    <row r="107" ht="38.1" customHeight="1" s="37">
      <c r="A107" s="96" t="n">
        <v>1</v>
      </c>
      <c r="B107" s="231" t="inlineStr">
        <is>
          <t>n156</t>
        </is>
      </c>
      <c r="C107" s="450" t="n">
        <v>10</v>
      </c>
      <c r="E107" s="450" t="inlineStr">
        <is>
          <t>P4</t>
        </is>
      </c>
      <c r="G107" s="450" t="inlineStr">
        <is>
          <t xml:space="preserve">Every day is within 15 of 1440, some basic analysis. </t>
        </is>
      </c>
      <c r="K107" s="100" t="inlineStr">
        <is>
          <t>Q</t>
        </is>
      </c>
      <c r="S107" s="530" t="inlineStr">
        <is>
          <t>!</t>
        </is>
      </c>
    </row>
    <row r="108" ht="44.1" customHeight="1" s="37">
      <c r="A108" s="100" t="n">
        <v>2</v>
      </c>
      <c r="B108" s="436" t="inlineStr">
        <is>
          <t>s897</t>
        </is>
      </c>
      <c r="C108" s="450" t="n">
        <v>180</v>
      </c>
      <c r="D108" s="450" t="n">
        <v>180</v>
      </c>
      <c r="E108" s="450" t="inlineStr">
        <is>
          <t>P5</t>
        </is>
      </c>
      <c r="F108" s="450" t="inlineStr">
        <is>
          <t xml:space="preserve">Medium Event </t>
        </is>
      </c>
      <c r="G108" s="472" t="inlineStr">
        <is>
          <t>Do a medium sized activity that involves many of us. (can be friends)</t>
        </is>
      </c>
      <c r="H108" s="450" t="inlineStr">
        <is>
          <t xml:space="preserve">We host (not participate) 
</t>
        </is>
      </c>
      <c r="I108" s="450" t="inlineStr">
        <is>
          <t xml:space="preserve">On top of the 120 分 for doing a social event with LX </t>
        </is>
      </c>
      <c r="J108" s="450" t="inlineStr">
        <is>
          <t>六人三家</t>
        </is>
      </c>
      <c r="K108" s="100" t="inlineStr">
        <is>
          <t>Q</t>
        </is>
      </c>
      <c r="S108" s="530" t="inlineStr">
        <is>
          <t>!</t>
        </is>
      </c>
    </row>
    <row r="109" ht="38.1" customHeight="1" s="37">
      <c r="A109" s="100" t="n">
        <v>2</v>
      </c>
      <c r="B109" s="530" t="inlineStr">
        <is>
          <t>xk87/i447</t>
        </is>
      </c>
      <c r="C109" s="450" t="n">
        <v>20</v>
      </c>
      <c r="D109" s="450" t="n">
        <v>20</v>
      </c>
      <c r="E109" s="450" t="inlineStr">
        <is>
          <t>P5</t>
        </is>
      </c>
      <c r="F109" s="450" t="inlineStr">
        <is>
          <t>Toy / Book Rotation</t>
        </is>
      </c>
      <c r="G109" s="450" t="inlineStr">
        <is>
          <t>Move toys around to keep the house neat and kids interested</t>
        </is>
      </c>
      <c r="K109" s="100" t="inlineStr">
        <is>
          <t>Q</t>
        </is>
      </c>
      <c r="S109" s="530" t="inlineStr">
        <is>
          <t>!</t>
        </is>
      </c>
    </row>
    <row r="110" ht="38.1" customHeight="1" s="37">
      <c r="A110" s="100" t="n">
        <v>2</v>
      </c>
      <c r="B110" s="473" t="inlineStr">
        <is>
          <t>f693</t>
        </is>
      </c>
      <c r="C110" s="335" t="n">
        <v>0</v>
      </c>
      <c r="D110" s="335" t="n">
        <v>20</v>
      </c>
      <c r="E110" s="450" t="inlineStr">
        <is>
          <t>Connect away from work</t>
        </is>
      </c>
      <c r="G110" s="450" t="inlineStr">
        <is>
          <t xml:space="preserve">Did we talk about something important to them outside of our professional relationship? </t>
        </is>
      </c>
      <c r="H110" s="450" t="inlineStr">
        <is>
          <t>Check in on habits</t>
        </is>
      </c>
      <c r="K110" s="242" t="inlineStr">
        <is>
          <t>!</t>
        </is>
      </c>
      <c r="S110" s="530" t="inlineStr">
        <is>
          <t>!</t>
        </is>
      </c>
    </row>
    <row r="111" ht="38.1" customHeight="1" s="37">
      <c r="A111" s="100" t="n">
        <v>2</v>
      </c>
      <c r="B111" s="473" t="inlineStr">
        <is>
          <t>f693</t>
        </is>
      </c>
      <c r="C111" s="335" t="n">
        <v>40</v>
      </c>
      <c r="D111" s="335" t="n">
        <v>60</v>
      </c>
      <c r="E111" s="450" t="inlineStr">
        <is>
          <t>Performance Pulse</t>
        </is>
      </c>
      <c r="G111" s="450" t="inlineStr">
        <is>
          <t xml:space="preserve">Did I record how happy they are and how I think they are doing? </t>
        </is>
      </c>
      <c r="H111" s="450" t="inlineStr">
        <is>
          <t>Holidays are special (x-mas, new years, 1st date anniversary, wedding anniversary, 4th of july, valentines day, chinese new year, birthdays)</t>
        </is>
      </c>
      <c r="K111" s="242" t="inlineStr">
        <is>
          <t>!</t>
        </is>
      </c>
      <c r="S111" s="530" t="inlineStr">
        <is>
          <t>!</t>
        </is>
      </c>
    </row>
    <row r="112" ht="38.1" customHeight="1" s="37">
      <c r="A112" s="100" t="n">
        <v>2</v>
      </c>
      <c r="B112" s="232" t="inlineStr">
        <is>
          <t>s897</t>
        </is>
      </c>
      <c r="D112" s="450" t="n">
        <v>150</v>
      </c>
      <c r="E112" s="450" t="inlineStr">
        <is>
          <t>P5</t>
        </is>
      </c>
      <c r="F112" s="450" t="inlineStr">
        <is>
          <t>Special Days are Special</t>
        </is>
      </c>
      <c r="G112" s="450" t="inlineStr">
        <is>
          <t>We go out all as a family to resort or something similar, and invite the rest of our family to come with</t>
        </is>
      </c>
      <c r="I112" s="450" t="inlineStr">
        <is>
          <t>200/day</t>
        </is>
      </c>
      <c r="K112" s="100" t="inlineStr">
        <is>
          <t>Q</t>
        </is>
      </c>
      <c r="S112" s="530" t="inlineStr">
        <is>
          <t>!</t>
        </is>
      </c>
    </row>
    <row r="113" ht="38.1" customHeight="1" s="37">
      <c r="A113" s="100" t="n">
        <v>2</v>
      </c>
      <c r="B113" s="180" t="inlineStr">
        <is>
          <t>xk87</t>
        </is>
      </c>
      <c r="C113" s="450" t="n">
        <v>120</v>
      </c>
      <c r="D113" s="450" t="n">
        <v>180</v>
      </c>
      <c r="E113" s="450" t="inlineStr">
        <is>
          <t>P3</t>
        </is>
      </c>
      <c r="F113" s="450" t="inlineStr">
        <is>
          <t>Date / Fancy Activity</t>
        </is>
      </c>
      <c r="G113" s="450" t="inlineStr">
        <is>
          <t xml:space="preserve">Exclusive with quality time (unlis it goes over 3 hours) do something that restores our relationship and helps her calm down. </t>
        </is>
      </c>
      <c r="J113" s="450" t="inlineStr">
        <is>
          <t xml:space="preserve">lx + me </t>
        </is>
      </c>
      <c r="K113" s="100" t="n"/>
      <c r="S113" s="530" t="n"/>
    </row>
    <row r="114" ht="38.1" customHeight="1" s="37">
      <c r="A114" s="100" t="n">
        <v>2</v>
      </c>
      <c r="B114" s="178" t="inlineStr">
        <is>
          <t>3 SoU</t>
        </is>
      </c>
      <c r="C114" s="450" t="n">
        <v>300</v>
      </c>
      <c r="D114" s="450" t="n">
        <v>300</v>
      </c>
      <c r="E114" s="450" t="inlineStr">
        <is>
          <t>P5</t>
        </is>
      </c>
      <c r="F114" s="450" t="inlineStr">
        <is>
          <t>State of the union</t>
        </is>
      </c>
      <c r="G114" s="450" t="inlineStr">
        <is>
          <t>Do something like Ballet, Lazy bear, etc. that is worthy of dressing up and being a datye</t>
        </is>
      </c>
      <c r="H114" s="450" t="inlineStr">
        <is>
          <t xml:space="preserve">Maybe do a very simple 'how are things going' with 5 questions or so on the off times </t>
        </is>
      </c>
      <c r="K114" s="100" t="inlineStr">
        <is>
          <t>Q</t>
        </is>
      </c>
      <c r="S114" s="530" t="inlineStr">
        <is>
          <t>!</t>
        </is>
      </c>
    </row>
    <row r="115" ht="38.1" customHeight="1" s="37">
      <c r="A115" s="101" t="n">
        <v>3</v>
      </c>
      <c r="B115" s="233" t="inlineStr">
        <is>
          <t>nat || rlx</t>
        </is>
      </c>
      <c r="C115" s="450" t="n">
        <v>200</v>
      </c>
      <c r="D115" s="450" t="n">
        <v>300</v>
      </c>
      <c r="E115" s="450" t="inlineStr">
        <is>
          <t>P5</t>
        </is>
      </c>
      <c r="F115" s="450" t="inlineStr">
        <is>
          <t>Relaxing Family Weekend</t>
        </is>
      </c>
      <c r="G115" s="450" t="inlineStr">
        <is>
          <t>Starts in August 23</t>
        </is>
      </c>
      <c r="K115" s="242" t="inlineStr">
        <is>
          <t>!</t>
        </is>
      </c>
      <c r="S115" s="530" t="inlineStr">
        <is>
          <t>!</t>
        </is>
      </c>
    </row>
    <row r="116" ht="30" customHeight="1" s="37">
      <c r="A116" s="101" t="n">
        <v>3</v>
      </c>
      <c r="B116" s="232" t="inlineStr">
        <is>
          <t>s897</t>
        </is>
      </c>
      <c r="C116" s="450" t="inlineStr">
        <is>
          <t>₹120</t>
        </is>
      </c>
      <c r="D116" s="450" t="n">
        <v>200</v>
      </c>
      <c r="E116" s="450" t="inlineStr">
        <is>
          <t>P5</t>
        </is>
      </c>
      <c r="F116" s="450" t="inlineStr">
        <is>
          <t>Fancy Activity</t>
        </is>
      </c>
      <c r="G116" s="450" t="inlineStr">
        <is>
          <t>Gatherings with big family (beyond immediate)</t>
        </is>
      </c>
      <c r="K116" s="242" t="inlineStr">
        <is>
          <t>!</t>
        </is>
      </c>
      <c r="S116" s="530" t="inlineStr">
        <is>
          <t>!</t>
        </is>
      </c>
    </row>
    <row r="117" ht="30" customHeight="1" s="37">
      <c r="A117" s="101" t="n">
        <v>3</v>
      </c>
      <c r="B117" s="178" t="inlineStr">
        <is>
          <t>x8</t>
        </is>
      </c>
      <c r="C117" s="450" t="n">
        <v>100</v>
      </c>
      <c r="D117" s="450" t="n">
        <v>150</v>
      </c>
      <c r="E117" s="450" t="inlineStr">
        <is>
          <t>P5</t>
        </is>
      </c>
      <c r="F117" s="450" t="inlineStr">
        <is>
          <t>Parent Teacher Conference</t>
        </is>
      </c>
      <c r="G117" s="450" t="inlineStr">
        <is>
          <t>Full Curriculum Update</t>
        </is>
      </c>
      <c r="H117" s="450" t="inlineStr">
        <is>
          <t xml:space="preserve">Check in on how kids are doing with curriculum in a narrative fashion. </t>
        </is>
      </c>
      <c r="S117" s="530" t="n"/>
    </row>
    <row r="118" ht="45" customHeight="1" s="37">
      <c r="A118" s="101" t="n">
        <v>3</v>
      </c>
      <c r="B118" s="473" t="inlineStr">
        <is>
          <t>f693</t>
        </is>
      </c>
      <c r="C118" s="335" t="n">
        <v>20</v>
      </c>
      <c r="D118" s="335" t="n">
        <v>80</v>
      </c>
      <c r="F118" s="450" t="inlineStr">
        <is>
          <t>f693 Summary</t>
        </is>
      </c>
      <c r="G118" s="450" t="inlineStr">
        <is>
          <t xml:space="preserve">Did I update their f693 document with what is important to them and ways to help them achieve it? </t>
        </is>
      </c>
      <c r="H118" s="450" t="inlineStr">
        <is>
          <t>Celebrate Family</t>
        </is>
      </c>
    </row>
    <row r="119" ht="74.25" customHeight="1" s="37">
      <c r="A119" s="101" t="n">
        <v>3</v>
      </c>
      <c r="B119" s="473" t="inlineStr">
        <is>
          <t>f693</t>
        </is>
      </c>
      <c r="D119" s="335" t="n">
        <v>300</v>
      </c>
      <c r="F119" s="450" t="inlineStr">
        <is>
          <t>Performance &amp; Feedback</t>
        </is>
      </c>
      <c r="G119" s="450" t="inlineStr">
        <is>
          <t>see: &lt;a href="https://m5c7.quip.com/vh7HAY8N2Rvy"&gt;f693 5^3 Performance Management Process&lt;/a&gt;</t>
        </is>
      </c>
      <c r="H119" s="450" t="inlineStr">
        <is>
          <t xml:space="preserve">Did they get high quality feedback about their strengths and how to improve in the job? </t>
        </is>
      </c>
    </row>
    <row r="120" ht="30" customHeight="1" s="37">
      <c r="A120" s="101" t="n">
        <v>3</v>
      </c>
      <c r="B120" s="473" t="inlineStr">
        <is>
          <t>f693</t>
        </is>
      </c>
      <c r="D120" s="335" t="n">
        <v>400</v>
      </c>
      <c r="F120" s="450" t="inlineStr">
        <is>
          <t>Solid Roadmap</t>
        </is>
      </c>
      <c r="H120" s="450" t="inlineStr">
        <is>
          <t xml:space="preserve">Do they have a solid plan for how their team is going to have impact over the next 3 months? </t>
        </is>
      </c>
    </row>
    <row r="121" ht="30" customHeight="1" s="37">
      <c r="A121" s="101" t="n">
        <v>3</v>
      </c>
      <c r="B121" s="473" t="inlineStr">
        <is>
          <t>f693</t>
        </is>
      </c>
      <c r="C121" s="335" t="n">
        <v>0</v>
      </c>
      <c r="D121" s="335" t="n">
        <v>20</v>
      </c>
      <c r="F121" s="450" t="inlineStr">
        <is>
          <t>Recursive Career Conversation</t>
        </is>
      </c>
      <c r="H121" s="450" t="inlineStr">
        <is>
          <t xml:space="preserve">Did we go through each of their reports and how they are doing? </t>
        </is>
      </c>
    </row>
    <row r="122" ht="45" customHeight="1" s="37">
      <c r="A122" s="101" t="n">
        <v>3</v>
      </c>
      <c r="B122" s="473" t="inlineStr">
        <is>
          <t>f693</t>
        </is>
      </c>
      <c r="C122" s="335" t="n">
        <v>0</v>
      </c>
      <c r="D122" s="335" t="n">
        <v>20</v>
      </c>
      <c r="F122" s="450" t="inlineStr">
        <is>
          <t>Career Conversation</t>
        </is>
      </c>
      <c r="H122" s="450" t="inlineStr">
        <is>
          <t>Did we talk about their long term plans, and what they want out of work, and their overall happiness?</t>
        </is>
      </c>
    </row>
    <row r="123" ht="45" customHeight="1" s="37">
      <c r="A123" s="101" t="n">
        <v>3</v>
      </c>
      <c r="B123" s="473" t="inlineStr">
        <is>
          <t>f693</t>
        </is>
      </c>
      <c r="D123" s="335" t="n">
        <v>300</v>
      </c>
      <c r="F123" s="450" t="inlineStr">
        <is>
          <t xml:space="preserve">Do I measure my own success with a 360 degree review? </t>
        </is>
      </c>
    </row>
    <row r="124" ht="18" customHeight="1" s="37">
      <c r="A124" s="101" t="n">
        <v>3</v>
      </c>
      <c r="B124" s="179" t="inlineStr">
        <is>
          <t>家</t>
        </is>
      </c>
      <c r="D124" s="450" t="n">
        <v>300</v>
      </c>
      <c r="E124" s="450" t="inlineStr">
        <is>
          <t>P5</t>
        </is>
      </c>
    </row>
    <row r="125" ht="15.75" customHeight="1" s="37">
      <c r="A125" s="64" t="n">
        <v>4</v>
      </c>
      <c r="B125" s="473" t="inlineStr">
        <is>
          <t>f693</t>
        </is>
      </c>
      <c r="C125" s="335" t="n">
        <v>15</v>
      </c>
      <c r="D125" s="335" t="n">
        <v>30</v>
      </c>
      <c r="F125" s="450" t="inlineStr">
        <is>
          <t>Workversary</t>
        </is>
      </c>
    </row>
    <row r="126" ht="15.75" customHeight="1" s="37">
      <c r="A126" s="64" t="n">
        <v>4</v>
      </c>
      <c r="B126" s="473" t="inlineStr">
        <is>
          <t>f693</t>
        </is>
      </c>
      <c r="C126" s="335" t="n">
        <v>15</v>
      </c>
      <c r="D126" s="335" t="n">
        <v>30</v>
      </c>
      <c r="F126" s="450" t="inlineStr">
        <is>
          <t>Happy Birthday</t>
        </is>
      </c>
    </row>
    <row r="127" ht="30" customHeight="1" s="37">
      <c r="A127" s="64" t="n">
        <v>4</v>
      </c>
      <c r="B127" s="473" t="inlineStr">
        <is>
          <t>f693</t>
        </is>
      </c>
      <c r="C127" s="335" t="n">
        <v>10</v>
      </c>
      <c r="D127" s="335" t="n">
        <v>40</v>
      </c>
      <c r="F127" s="450" t="inlineStr">
        <is>
          <t>New Year's/Solstice  Gratitude</t>
        </is>
      </c>
    </row>
    <row r="128" ht="30" customHeight="1" s="37">
      <c r="A128" s="64" t="n">
        <v>4</v>
      </c>
      <c r="B128" s="473" t="inlineStr">
        <is>
          <t>f693</t>
        </is>
      </c>
      <c r="C128" s="335" t="n">
        <v>40</v>
      </c>
      <c r="D128" s="335" t="n">
        <v>100</v>
      </c>
      <c r="F128" s="450" t="inlineStr">
        <is>
          <t>Job Description / Update</t>
        </is>
      </c>
    </row>
    <row r="129" ht="30" customHeight="1" s="37">
      <c r="A129" s="64" t="n">
        <v>4</v>
      </c>
      <c r="B129" s="473" t="inlineStr">
        <is>
          <t>hcb</t>
        </is>
      </c>
      <c r="C129" s="450" t="n">
        <v>160</v>
      </c>
      <c r="D129" s="450" t="n">
        <v>160</v>
      </c>
      <c r="F129" s="450" t="inlineStr">
        <is>
          <t xml:space="preserve">Bodyspec Scan + Overall Physical </t>
        </is>
      </c>
    </row>
    <row r="130" ht="45" customHeight="1" s="37">
      <c r="A130" s="100" t="n">
        <v>2</v>
      </c>
      <c r="B130" s="178" t="inlineStr">
        <is>
          <t>xk87</t>
        </is>
      </c>
      <c r="C130" s="450" t="n">
        <v>30</v>
      </c>
      <c r="D130" s="450" t="n">
        <v>45</v>
      </c>
      <c r="F130" s="450" t="inlineStr">
        <is>
          <t xml:space="preserve">Family Habits + Curriculum </t>
        </is>
      </c>
      <c r="G130" s="450" t="inlineStr">
        <is>
          <t xml:space="preserve">Checkin on habits, as well as the current status and predictions with curriculum. </t>
        </is>
      </c>
    </row>
    <row r="131" ht="30" customHeight="1" s="37">
      <c r="A131" s="450" t="n">
        <v>2</v>
      </c>
      <c r="B131" s="473" t="inlineStr">
        <is>
          <t>hcme</t>
        </is>
      </c>
      <c r="C131" s="450" t="n">
        <v>30</v>
      </c>
      <c r="D131" s="450" t="n">
        <v>30</v>
      </c>
      <c r="F131" s="450" t="inlineStr">
        <is>
          <t>Upset Checkin</t>
        </is>
      </c>
      <c r="G131" s="450" t="inlineStr">
        <is>
          <t xml:space="preserve">Check in on each setback and debug a bit </t>
        </is>
      </c>
    </row>
    <row r="132" ht="45" customHeight="1" s="37">
      <c r="A132" s="64" t="n">
        <v>4</v>
      </c>
      <c r="B132" s="405" t="inlineStr">
        <is>
          <t>m5x2</t>
        </is>
      </c>
      <c r="C132" s="450" t="n">
        <v>150</v>
      </c>
      <c r="D132" s="450" t="n">
        <v>500</v>
      </c>
      <c r="F132" s="450" t="inlineStr">
        <is>
          <t>Annual Rent Raises</t>
        </is>
      </c>
      <c r="G132" s="450" t="inlineStr">
        <is>
          <t xml:space="preserve">Get out the notices to raise rents for all units, ideally point and direction of rent raises over time. </t>
        </is>
      </c>
    </row>
    <row r="174" ht="45" customHeight="1" s="37">
      <c r="B174" s="385" t="inlineStr">
        <is>
          <t>s897</t>
        </is>
      </c>
      <c r="C174" s="450" t="n">
        <v>120</v>
      </c>
      <c r="D174" s="450" t="n">
        <v>120</v>
      </c>
      <c r="E174" s="450" t="inlineStr">
        <is>
          <t>P3</t>
        </is>
      </c>
      <c r="F174" s="450" t="inlineStr">
        <is>
          <t>Family s897</t>
        </is>
      </c>
      <c r="G174" s="450" t="inlineStr">
        <is>
          <t>Doing things with friends and family together for at least two hours</t>
        </is>
      </c>
      <c r="H174" s="450" t="inlineStr">
        <is>
          <t xml:space="preserve">Enabling others to do it (i.e. take care of Theo) </t>
        </is>
      </c>
      <c r="K174" s="100" t="inlineStr">
        <is>
          <t>Q</t>
        </is>
      </c>
    </row>
    <row r="175" ht="15.75" customHeight="1" s="37">
      <c r="A175" s="96" t="n">
        <v>1</v>
      </c>
    </row>
    <row r="1048135" ht="15.75" customHeight="1" s="37">
      <c r="N1048135" s="450" t="inlineStr">
        <is>
          <t>v</t>
        </is>
      </c>
    </row>
  </sheetData>
  <autoFilter ref="A1:R174"/>
  <mergeCells count="1">
    <mergeCell ref="M49:M59"/>
  </mergeCells>
  <hyperlinks>
    <hyperlink xmlns:r="http://schemas.openxmlformats.org/officeDocument/2006/relationships" ref="J60" r:id="rId1"/>
  </hyperlinks>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Julie</dc:creator>
  <dcterms:created xmlns:dcterms="http://purl.org/dc/terms/" xmlns:xsi="http://www.w3.org/2001/XMLSchema-instance" xsi:type="dcterms:W3CDTF">2014-09-16T23:14:48Z</dcterms:created>
  <dcterms:modified xmlns:dcterms="http://purl.org/dc/terms/" xmlns:xsi="http://www.w3.org/2001/XMLSchema-instance" xsi:type="dcterms:W3CDTF">2026-02-11T15:32:11Z</dcterms:modified>
  <cp:lastModifiedBy>Jonathan McKay</cp:lastModifiedBy>
</cp:coreProperties>
</file>